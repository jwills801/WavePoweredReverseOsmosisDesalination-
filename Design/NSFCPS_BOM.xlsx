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visible" name="Uni-strut cuts" sheetId="2" r:id="rId5"/>
    <sheet state="visible" name="Fasteners, racks" sheetId="3" r:id="rId6"/>
    <sheet state="visible" name="Sheet3" sheetId="4" r:id="rId7"/>
    <sheet state="visible" name="Sheet5" sheetId="5" r:id="rId8"/>
    <sheet state="visible" name="Sheet1 (2)" sheetId="6" r:id="rId9"/>
    <sheet state="visible" name="Sheet2" sheetId="7" r:id="rId10"/>
    <sheet state="visible" name="Sheet4" sheetId="8" r:id="rId11"/>
  </sheets>
  <definedNames/>
  <calcPr/>
  <extLst>
    <ext uri="GoogleSheetsCustomDataVersion2">
      <go:sheetsCustomData xmlns:go="http://customooxmlschemas.google.com/" r:id="rId12" roundtripDataChecksum="l52/v/l8Ovdo1EPjLDYJGIUrlbIC+KhTMtwWufkN0/w="/>
    </ext>
  </extLst>
</workbook>
</file>

<file path=xl/sharedStrings.xml><?xml version="1.0" encoding="utf-8"?>
<sst xmlns="http://schemas.openxmlformats.org/spreadsheetml/2006/main" count="2330" uniqueCount="866">
  <si>
    <t>Part Name</t>
  </si>
  <si>
    <t>Material Cost per Unit</t>
  </si>
  <si>
    <t>QTY</t>
  </si>
  <si>
    <t>Total Cost</t>
  </si>
  <si>
    <t>Purchase Date</t>
  </si>
  <si>
    <t>Supplier</t>
  </si>
  <si>
    <t>Supplier PN</t>
  </si>
  <si>
    <t>Manufacturer</t>
  </si>
  <si>
    <t>MPN (Manufacturer Part Number)</t>
  </si>
  <si>
    <t>Note</t>
  </si>
  <si>
    <t>Fluid stream handling</t>
  </si>
  <si>
    <t>Bulk hose</t>
  </si>
  <si>
    <t>R4-16 | 1" SAE 100R4 Suction Hose (by the foot) (1.43" OD)</t>
  </si>
  <si>
    <t>Discount hydraulic hose</t>
  </si>
  <si>
    <t>R16-12 | 3/4" SAE 100R16 Hydraulic Hose (by the foot)</t>
  </si>
  <si>
    <t>R16-08 | 1/2" SAE 100R16 Hydraulic Hose (by the foot)</t>
  </si>
  <si>
    <t>High-Pressure Soft PVC Plastic Tubing, 1" ID, 1-19/64" OD</t>
  </si>
  <si>
    <t>McMaster</t>
  </si>
  <si>
    <t>52375K17</t>
  </si>
  <si>
    <t>Water Hose, 3/4" ID, 1-1/8" OD (by the foot)</t>
  </si>
  <si>
    <t>7879N43</t>
  </si>
  <si>
    <t>Water Hose, 1/2" ID, 13/16" OD (by the foot)</t>
  </si>
  <si>
    <t>7879N29</t>
  </si>
  <si>
    <t>Worm-Drive Clamps, 1/2" Band Width, 11/16" to 1-1/4" Clamp ID, 10pk</t>
  </si>
  <si>
    <t>5415K14</t>
  </si>
  <si>
    <t>Hydraulic Hose Support Clamp, 1-1/2" max OD</t>
  </si>
  <si>
    <t>Grainger</t>
  </si>
  <si>
    <t>38YR73</t>
  </si>
  <si>
    <t>Hydraulic Hose Support Clamp, 1-1/2" max OD, 10pk</t>
  </si>
  <si>
    <t>mcmaster</t>
  </si>
  <si>
    <t>8863T21</t>
  </si>
  <si>
    <t>Hydraulic Hose Support Clamp, 1-3/16" max OD</t>
  </si>
  <si>
    <t>38YR71</t>
  </si>
  <si>
    <t>Hydraulic Hose Support Clamp, 1-1/4" max OD, 10pk</t>
  </si>
  <si>
    <t>3225T14</t>
  </si>
  <si>
    <t>Hydraulic Hose Support Clamp, multi line 1-1/8" max OD, 5pk</t>
  </si>
  <si>
    <t>3225T215</t>
  </si>
  <si>
    <t>Misc. fittings</t>
  </si>
  <si>
    <t>SS-304C-06 | 3/8" JIC Cap (Stainless)</t>
  </si>
  <si>
    <t>SS-304C-08 | 1/2" JIC Cap (Stainless)</t>
  </si>
  <si>
    <t>SS-304C-12 | 3/4" JIC Cap (Stainless)</t>
  </si>
  <si>
    <t>SS-6502-12-12 | 3/4" JIC M to F Swivel 45° (Stainless)</t>
  </si>
  <si>
    <t>SS-6502-12-12</t>
  </si>
  <si>
    <t>Storage</t>
  </si>
  <si>
    <t>150 gallon 45 degree conical bottom tank with tank stand</t>
  </si>
  <si>
    <t>Tank dealer</t>
  </si>
  <si>
    <t>N/A</t>
  </si>
  <si>
    <t>Acquired from Novus Technical parts lot</t>
  </si>
  <si>
    <t>Banjo UV-125-FP</t>
  </si>
  <si>
    <t xml:space="preserve">Novus Technical </t>
  </si>
  <si>
    <t>Banjo RN150-125</t>
  </si>
  <si>
    <t>Amazon</t>
  </si>
  <si>
    <t>Banjo HB125-100</t>
  </si>
  <si>
    <t>Banjo HB100-90</t>
  </si>
  <si>
    <t>Banjo HB100/075-90</t>
  </si>
  <si>
    <t xml:space="preserve">42 Gallon RV Concession Fresh and Gray Water Holding Tank | T-4200 </t>
  </si>
  <si>
    <t>Plastic Hydraulic Breather Cap 3/4" NPT HBF12P</t>
  </si>
  <si>
    <t>Banjo RB150-100</t>
  </si>
  <si>
    <t>Banjo SL150-90</t>
  </si>
  <si>
    <t>Banjo PLUG050</t>
  </si>
  <si>
    <t>1MKA1</t>
  </si>
  <si>
    <t>Banjo EL075-90</t>
  </si>
  <si>
    <t>amazon</t>
  </si>
  <si>
    <t>Banjo RN075-050</t>
  </si>
  <si>
    <t>1MKE2</t>
  </si>
  <si>
    <t>Intake Manifold</t>
  </si>
  <si>
    <t>Banjo V-150-SL</t>
  </si>
  <si>
    <t>Banjo TEE100</t>
  </si>
  <si>
    <t>Banjo RN150-100</t>
  </si>
  <si>
    <t>Banjo NIP100-SH</t>
  </si>
  <si>
    <t>Banjo HB150-100</t>
  </si>
  <si>
    <t>Banjo HB100</t>
  </si>
  <si>
    <t>Cooling</t>
  </si>
  <si>
    <t>ECO Plus 1/2 HP Chiller</t>
  </si>
  <si>
    <t>Horticulture Source</t>
  </si>
  <si>
    <t>EcoPlus</t>
  </si>
  <si>
    <t>1/2 HP water chiller</t>
  </si>
  <si>
    <t>1/3 HP Transfer Pump</t>
  </si>
  <si>
    <t>Mcmaster</t>
  </si>
  <si>
    <t>4320K81</t>
  </si>
  <si>
    <t>Banjo CV100, Low pressure check valve, cooling circulator outlet</t>
  </si>
  <si>
    <t>BANJO</t>
  </si>
  <si>
    <t>CV100</t>
  </si>
  <si>
    <t>Banjo RN100-050</t>
  </si>
  <si>
    <t>Banjo HB075-100</t>
  </si>
  <si>
    <t>3/4" 90deg street elbow, 304SS, LOW-PRESSURE</t>
  </si>
  <si>
    <t>B08Z72YBZ2</t>
  </si>
  <si>
    <t>Bonsicoky</t>
  </si>
  <si>
    <t>JIAWONG210317004</t>
  </si>
  <si>
    <t>For Oil cooler water fittings</t>
  </si>
  <si>
    <t>Filtering</t>
  </si>
  <si>
    <t>Filter &amp; Housing</t>
  </si>
  <si>
    <t>43715K35, 4411K923</t>
  </si>
  <si>
    <t>Banjo HB075/100-90</t>
  </si>
  <si>
    <t>Threaded-Rod-Mount Clamping Hanger, 3.5" ID for 3" pipe</t>
  </si>
  <si>
    <t>2615T24</t>
  </si>
  <si>
    <t>Strut Channel Bracket, U-shaped</t>
  </si>
  <si>
    <t>Low-Pressure Manifold</t>
  </si>
  <si>
    <t>Banjo CR100</t>
  </si>
  <si>
    <t>Banjo TEE075</t>
  </si>
  <si>
    <t>Banjo NIP075-SH</t>
  </si>
  <si>
    <t>Banjo RB100-050</t>
  </si>
  <si>
    <t>Banjo RB075-025</t>
  </si>
  <si>
    <t>Banjo RN100-075</t>
  </si>
  <si>
    <t>ordered 1 extra</t>
  </si>
  <si>
    <t>Banjo HB100-075</t>
  </si>
  <si>
    <t>Banjo HB075</t>
  </si>
  <si>
    <t>Banjo HB075-90</t>
  </si>
  <si>
    <t>Banjo HB050-90</t>
  </si>
  <si>
    <t>Banjo HB075/050-90</t>
  </si>
  <si>
    <t>Unused, Ordered by mistake</t>
  </si>
  <si>
    <t>Banjo HB050/075-90</t>
  </si>
  <si>
    <t>3DTP9</t>
  </si>
  <si>
    <t>3DTR9</t>
  </si>
  <si>
    <t>Banjo</t>
  </si>
  <si>
    <t>RN075-050</t>
  </si>
  <si>
    <t>Pressure Gauge Snubber</t>
  </si>
  <si>
    <t>4072K9</t>
  </si>
  <si>
    <t>Bushing Adapter 316SS , 3/4 NPT Male x 1/2 NPT Female</t>
  </si>
  <si>
    <t>4443K734</t>
  </si>
  <si>
    <t>Low-Pressure return</t>
  </si>
  <si>
    <t xml:space="preserve">Koflo 1-40C-4-6-2 Clear PVC Schedule 40 Pipe Mixer; 1" NPT(M), 6 Elements </t>
  </si>
  <si>
    <t>Koflo</t>
  </si>
  <si>
    <t>1-40C-4-6-2</t>
  </si>
  <si>
    <t>Banjo V-075-SL</t>
  </si>
  <si>
    <t>ordered one extra</t>
  </si>
  <si>
    <t>not used, used HB075-90 instead</t>
  </si>
  <si>
    <t>Banjo CPLG075</t>
  </si>
  <si>
    <t>Banjo HBF100</t>
  </si>
  <si>
    <t>Sch. 80 PVC adaptor 3/4"socket to 3/4"NPT female</t>
  </si>
  <si>
    <t>McMaster-Carr</t>
  </si>
  <si>
    <t>4596K845</t>
  </si>
  <si>
    <t>Sch, 80 PVC 3/4" pipe (5ft)</t>
  </si>
  <si>
    <t>48855K22</t>
  </si>
  <si>
    <t>Sch, 80 PVC inline reducing tee, 3/4" socket w/ 1/2" NPT branch</t>
  </si>
  <si>
    <t>4596K211</t>
  </si>
  <si>
    <t>Pipe Cement for Plastic Pipe</t>
  </si>
  <si>
    <t>74605A24</t>
  </si>
  <si>
    <t>Banjo SL100-90</t>
  </si>
  <si>
    <t>Low-pressure Manifold Mounting</t>
  </si>
  <si>
    <t>Backplate</t>
  </si>
  <si>
    <t>in lab stock</t>
  </si>
  <si>
    <t>Clamping U-Bolt, 1 7/8in ID</t>
  </si>
  <si>
    <t>3042T91</t>
  </si>
  <si>
    <t xml:space="preserve">Rubber strip, adhesive-backed, 3/4"x10'x3/32" </t>
  </si>
  <si>
    <t>56DC59</t>
  </si>
  <si>
    <t>U-bolt, 1.5in ID</t>
  </si>
  <si>
    <t>3043T646</t>
  </si>
  <si>
    <t>2 unused</t>
  </si>
  <si>
    <t>Z-shaped Uni-strut bracket, for ball-valve bracket, 2-7/16" unistrut, 2-3/4' offset, 1/4" thick</t>
  </si>
  <si>
    <t>33125T55</t>
  </si>
  <si>
    <t>1/4"-20 x 1/2" Hex Drive Button Socket Cap Screw</t>
  </si>
  <si>
    <t>Fastenal</t>
  </si>
  <si>
    <t>U-bolt, 1.75in ID</t>
  </si>
  <si>
    <t>3043T647</t>
  </si>
  <si>
    <t>Hex nuts, Grade 8, 1/4"-20, 100pk</t>
  </si>
  <si>
    <t>94895A029</t>
  </si>
  <si>
    <t>1/8 in spacer for z shaped bracket</t>
  </si>
  <si>
    <t>High-Pressure Manifold, upstream of  orifice plate</t>
  </si>
  <si>
    <t>SS-5652-16-16-16-16 - 1" Female Pipe Cross</t>
  </si>
  <si>
    <t>SS-5652-12-12-12-12 - 3/4" Female Pipe Cross</t>
  </si>
  <si>
    <t>SS-5602-08-08-08 - 1/2" m-f-f Pipe Tee</t>
  </si>
  <si>
    <t>Central Hydraulics</t>
  </si>
  <si>
    <t>Hydraulics direct</t>
  </si>
  <si>
    <t>missed 1 on first order</t>
  </si>
  <si>
    <t>SS-5604-08-08-08 - 1/2" f-m-f Pipe Tee</t>
  </si>
  <si>
    <t>SS-5404-16-12 - 1" Male Pipe x 3/4" Male Pipe</t>
  </si>
  <si>
    <t>SS-5404-12-12 - 3/4" Male Pipe x 3/4" Male Pipe</t>
  </si>
  <si>
    <t>SS-5404-12-08 - 3/4" Male Pipe x 1/2" Male Pipe</t>
  </si>
  <si>
    <t>SS-5404-08-06 - 1/2" Male Pipe x 3/8" Male Pipe</t>
  </si>
  <si>
    <t>SS-5404-06-06 - 3/8" Male Pipe x 3/8" Male Pipe</t>
  </si>
  <si>
    <t>SS-5406-16-08 - 1" Male Pipe x 1/2" Female Pipe</t>
  </si>
  <si>
    <t>SS-5406-12-06 - 3/4" Male Pipe x 3/8" Female Pipe</t>
  </si>
  <si>
    <t>SS-5406-08-04 - 1/2" Male Pipe x 1/4" Female Pipe</t>
  </si>
  <si>
    <t>for pressure transducer</t>
  </si>
  <si>
    <t>SS-2404-16-16 - 1" JIC (1 5/16"-12 thread) 37° x 1" Male Pipe</t>
  </si>
  <si>
    <t>SS-2404-12-12 - 3/4" JIC (1 1/16"-12 thread) 37° x 3/4" Male Pipe</t>
  </si>
  <si>
    <t>SS-2404-08-12 - 1/2" JIC (3/4"-16 thread) 37° x 3/4" Male Pipe</t>
  </si>
  <si>
    <t>Not in use</t>
  </si>
  <si>
    <t>SS-5600-08-08-08 - 1/2" Male Pipe Tee</t>
  </si>
  <si>
    <t>SS-2405-08-08 - 1/2" JIC (3/4"-16 thread) 37° x 1/2" Female Pipe</t>
  </si>
  <si>
    <t>SS-5406-12-08 - 3/4" Male Pipe x 1/2" Female Pipe</t>
  </si>
  <si>
    <t>1MJZ5</t>
  </si>
  <si>
    <t>Missing one? Missed in order?</t>
  </si>
  <si>
    <t>Banjo HBT075</t>
  </si>
  <si>
    <t>SS-5604-08-08-08, 1/2" Female Pipe x 1/2" Male Pipe Branch Tee</t>
  </si>
  <si>
    <t>Replacement due to galling</t>
  </si>
  <si>
    <t>SS-5406-08-04, 1/2" Male Pipe x 1/4" Female Pipe</t>
  </si>
  <si>
    <t>SS-5602-08-08-08, Street Tee, 1/2" NPTF M x 1/2" NPTF F x 1/2" NPTF F</t>
  </si>
  <si>
    <t>SS-5404-12-08, 3/4" Male Pipe x 1/2" Male Pipe</t>
  </si>
  <si>
    <t>SS-5404-08-06, 1/2" Male Pipe x 3/8" Male Pipe</t>
  </si>
  <si>
    <t>SS-1404-08-08, 1/2" NPT Male Pipe x 1/2" NPSM Female Pipe Swivel</t>
  </si>
  <si>
    <t>Added to make replacements easier in the future</t>
  </si>
  <si>
    <t>High-Pressure Manifold, downstream of  orifice plate</t>
  </si>
  <si>
    <t>SS-5404-08-08 - 1/2" Male Pipe x 1/2" Male Pipe</t>
  </si>
  <si>
    <t>SS-2404-08-08 - 1/2" JIC (3/4"-16 thread) 37° x 1/2" Male Pipe</t>
  </si>
  <si>
    <t>SS-2404-06-06 - 3/8" JIC (9/16"-18 thread) 37° x 3/8" Male Pipe</t>
  </si>
  <si>
    <t>SS-2501-08-08 - 1/2" JIC 37° x 1/2" Male Pipe 90</t>
  </si>
  <si>
    <t>not in use</t>
  </si>
  <si>
    <t>Banjo HB075-050</t>
  </si>
  <si>
    <t>Brine Pass-through</t>
  </si>
  <si>
    <t>SS-5605-12-12-12 - 3/4" Female Pipe Tee</t>
  </si>
  <si>
    <t>Discount Hydraulic Hose</t>
  </si>
  <si>
    <t>added with design change</t>
  </si>
  <si>
    <t>SS-2404-08-12 - 1/2" JIC 37° x 3/4" Male Pipe</t>
  </si>
  <si>
    <t>not used after design change</t>
  </si>
  <si>
    <t>SS-2404-06-06 - 3/8" JIC 37° x 3/8" Male Pipe</t>
  </si>
  <si>
    <t>Banjo SL038-90</t>
  </si>
  <si>
    <t>Banjo HB038-050</t>
  </si>
  <si>
    <t>High-pressure Manifold Mounting</t>
  </si>
  <si>
    <t>U-bolt, 3 1/8" ID</t>
  </si>
  <si>
    <t>3042T18</t>
  </si>
  <si>
    <t>U-bolt, 1 1/8" ID, 2.25in Lg</t>
  </si>
  <si>
    <t>8875T852</t>
  </si>
  <si>
    <t>SAE Washer: For Screw Size 1/4 in, Steel, Grade 8, Zinc Yellow, 0.281 in In Dia, 100 PK</t>
  </si>
  <si>
    <t>6YPJ5</t>
  </si>
  <si>
    <t>Clamping U-Bolt, 2 3/8in ID</t>
  </si>
  <si>
    <t>3/16 in spacer for ball-valve bracket</t>
  </si>
  <si>
    <t>ERU</t>
  </si>
  <si>
    <t>Axial Piston Motor</t>
  </si>
  <si>
    <t>Danfoss</t>
  </si>
  <si>
    <t>180B3043</t>
  </si>
  <si>
    <t>APM 1.5 Danfoss p/n 180B3043</t>
  </si>
  <si>
    <t>Axial Piston Pump</t>
  </si>
  <si>
    <t>APP 1.5 Danfoss p/n 180B3043</t>
  </si>
  <si>
    <t>Electric Motor</t>
  </si>
  <si>
    <t>First Electric</t>
  </si>
  <si>
    <t>CEM3663T**DBL SHAFT</t>
  </si>
  <si>
    <t>Baldor</t>
  </si>
  <si>
    <t>184TC</t>
  </si>
  <si>
    <t>Electric Motor VFD</t>
  </si>
  <si>
    <t>CIMR-VU-2A0020FAA</t>
  </si>
  <si>
    <t>Yaskawa</t>
  </si>
  <si>
    <t>SAE-AA to 184TC 6.81inch face-to-face</t>
  </si>
  <si>
    <t>Applied Industrial Technologies</t>
  </si>
  <si>
    <t>Magnalloy</t>
  </si>
  <si>
    <t>M182682AA</t>
  </si>
  <si>
    <t>Inlet</t>
  </si>
  <si>
    <t>SS-9035-12-12 - 3/4" Male BSPP x 3/4" Female NPTF</t>
  </si>
  <si>
    <t>Hydraulics Direct</t>
  </si>
  <si>
    <t>Outlet</t>
  </si>
  <si>
    <t>Motor/Generator</t>
  </si>
  <si>
    <t>APM 2.2 Danfoss p/n 180B3043</t>
  </si>
  <si>
    <t>WEG Electric Motor</t>
  </si>
  <si>
    <t>00736ET3E213TC-W22**MOD**</t>
  </si>
  <si>
    <t>WEG</t>
  </si>
  <si>
    <t>R00736ET3E213TC-W22</t>
  </si>
  <si>
    <t>4 Quad VFD</t>
  </si>
  <si>
    <t>CIMR-UU2A 0028UA</t>
  </si>
  <si>
    <t xml:space="preserve">  </t>
  </si>
  <si>
    <t>Hall effect sensor</t>
  </si>
  <si>
    <t>For counting revolutions</t>
  </si>
  <si>
    <t>T-Slot Nut</t>
  </si>
  <si>
    <t>824TJ8</t>
  </si>
  <si>
    <t>SS-9005-12-12 - 3/4" Male JIC x 3/4" Male BSPP</t>
  </si>
  <si>
    <t>1 missing from order, reorder</t>
  </si>
  <si>
    <t>Hose assem. 3/4", stainless steel, 68" (Hyd. motor/generator)</t>
  </si>
  <si>
    <t>68inches, R16-12-ASB with SS-FJX-12-12 and SS-FJX90-12-12, 1.07"OD</t>
  </si>
  <si>
    <t>Primary Drive</t>
  </si>
  <si>
    <t>Shaft coupler, H1T053 to L225 lovejoyk, L225 Coupling Hub with Splines</t>
  </si>
  <si>
    <t>heavydutydepot.com</t>
  </si>
  <si>
    <t>Lovejoy</t>
  </si>
  <si>
    <t>https://heavydutydepot.com/product/lo-vejoy-68514437937-l225-coupling-hub-with-splines</t>
  </si>
  <si>
    <t>RO module</t>
  </si>
  <si>
    <t>2.5" x 40" Fiberglass/FRP Seawater Membrane Housing Pressure Vessel for Watermaker</t>
  </si>
  <si>
    <t>Hydrocomponents &amp; Technologies, Inc.</t>
  </si>
  <si>
    <t>PV-2540SW</t>
  </si>
  <si>
    <t>2.5"x40" | 700 GPD | 99.4% Salt Rejection | Watermaker | FilmTec Seawater Membrane</t>
  </si>
  <si>
    <t>Applied Membranes</t>
  </si>
  <si>
    <t>M-S2540A</t>
  </si>
  <si>
    <t xml:space="preserve">Rubber strip, adhesive-backed, 1"x10'x3/32" </t>
  </si>
  <si>
    <t>56DC60</t>
  </si>
  <si>
    <t>SS-6600-06-06-06 - 3/8" JIC tee, m-f-m, female swivel, stainless steel</t>
  </si>
  <si>
    <t>SS-2404-06-04 - 1/4" NPT male to 3/8" JIC male, stainless steel</t>
  </si>
  <si>
    <t>SS-2404-04-04 - 1/4" NPT male to 1/4" JIC male, stainless steel</t>
  </si>
  <si>
    <t>SS-2503-04-04 - 1/4" NPT male to 1/4" JIC male, 45deg, stainless steel</t>
  </si>
  <si>
    <t>SS-6500-04-04 - 1/4" JIC female swivel to 1/4" JIC Male, 90deg, stainless steel</t>
  </si>
  <si>
    <t>SS-6500-06-06 - 3/8" JIC female swivel to 3/8" JIC Male, 90deg, stainless steel</t>
  </si>
  <si>
    <t>Banjo SL025-90</t>
  </si>
  <si>
    <t>Banjo HB025-050</t>
  </si>
  <si>
    <t>Hose assem. 3/8", stainless steel, 23" (Feed intake)</t>
  </si>
  <si>
    <t>23inches, R17-06-ASB with  SS-FJX-06-06 both ends</t>
  </si>
  <si>
    <t>Hose assem. 3/8", stainless steel, 18" (Feed connector)</t>
  </si>
  <si>
    <t>18inches, R17-06-ASB with SS-FJX-06-06 both ends</t>
  </si>
  <si>
    <t>Hose assem. 3/8", stainless steel, 18" (Brine connector)</t>
  </si>
  <si>
    <t>Hose assem. 1/2", stainless steel, 38" (brine outlet)</t>
  </si>
  <si>
    <t>34inches, R17-06-ASB with SS-FJX-06-06 and SS-FJX90-06-06</t>
  </si>
  <si>
    <t>Hose assem. 1/4", stainless steel, 14" (Intermediate, 1)</t>
  </si>
  <si>
    <t>14inches, R17-04-ASB with SS-FJX-04-04 both ends</t>
  </si>
  <si>
    <t>Hose assem. 1/4", stainless steel, 24" (Intermediate, 2)</t>
  </si>
  <si>
    <t>24inches, R17-04-ASB with SS-FJX-04-04 both ends</t>
  </si>
  <si>
    <t>Hose assem. 1/4", stainless steel, 12" (Intermediate, 3)</t>
  </si>
  <si>
    <t>12inches, R17-04-ASB with SS-FJX-04-04 both ends</t>
  </si>
  <si>
    <t>Permeate manifold</t>
  </si>
  <si>
    <t>Banjo TM075050</t>
  </si>
  <si>
    <t>Banjo CV100</t>
  </si>
  <si>
    <t>Banjo NIP050-SH</t>
  </si>
  <si>
    <t>Banjo EL050-90</t>
  </si>
  <si>
    <t>not used</t>
  </si>
  <si>
    <t>Banjo HB050</t>
  </si>
  <si>
    <t>Banjo PLUG025</t>
  </si>
  <si>
    <t>Boost Pump</t>
  </si>
  <si>
    <t>Goulds boost pump</t>
  </si>
  <si>
    <t>Hall Trask</t>
  </si>
  <si>
    <t>5SV7NE4F60</t>
  </si>
  <si>
    <t>GOULDS</t>
  </si>
  <si>
    <t>Boost Pump VFD</t>
  </si>
  <si>
    <t>CIMR-VU-2A0056FAA</t>
  </si>
  <si>
    <t>Yasakawa</t>
  </si>
  <si>
    <t>JWS- actually CIMR-VU-2A0012FAA; Acquired from Novus Technical parts lot</t>
  </si>
  <si>
    <t>Banjo CV100, Check valves, boost pump outlet</t>
  </si>
  <si>
    <t>Banjo RN125-100</t>
  </si>
  <si>
    <t>Banjo HB125/100-90</t>
  </si>
  <si>
    <t>Mounting</t>
  </si>
  <si>
    <t>Strut Channel Bracket, 3-bolt flat elbow</t>
  </si>
  <si>
    <t>2HAK4</t>
  </si>
  <si>
    <t>Strut channel, 1-5/8 x 1-5/8 12ga painted, 18in</t>
  </si>
  <si>
    <t>45YV21</t>
  </si>
  <si>
    <t>Socket Head Cap Screws, 1/2"-13 1in, pack of 10</t>
  </si>
  <si>
    <t>29DU64</t>
  </si>
  <si>
    <t>1/2"-13 Yellow Zinc Finish Grade 8 Finished Hex Nut, 50pk</t>
  </si>
  <si>
    <t>3HED8</t>
  </si>
  <si>
    <t>1/2" x 1.062" OD  Yellow Zinc SAE Washer, Pack of 25</t>
  </si>
  <si>
    <t>54FV90</t>
  </si>
  <si>
    <t>Spring Nut Anti-Rotation: 1/2"-13 Thread Size, 1/2 in Bolt Size, Steel, 25pk Electroplated</t>
  </si>
  <si>
    <t>4A986</t>
  </si>
  <si>
    <t>Salt water circuit, Misc. Valves</t>
  </si>
  <si>
    <t>Ball valve, 2160 psi, 3/4"</t>
  </si>
  <si>
    <t>Duncon CO</t>
  </si>
  <si>
    <t>KECKLEY</t>
  </si>
  <si>
    <t>BVS2THFSSRGSL-075</t>
  </si>
  <si>
    <t>Check valves, low-pressure to high pressure</t>
  </si>
  <si>
    <t>Hy-Lok</t>
  </si>
  <si>
    <t>CV3-F-6N-1/3-S316</t>
  </si>
  <si>
    <t>ASCO 8223G010 120/60,110/50, ½” NPT PORTS, 3/8” ORIFICE, 2-WAY NORMALLY CLOSED SS SOLENOID VALVE, Cv 3.2, ½” NPT CONDUIT W/ 18” LEAD WIRES</t>
  </si>
  <si>
    <t>Duncan Co</t>
  </si>
  <si>
    <t>ASCO 8212A020L0100F2 ½” 2-WAY, NORMALLY OPEN COMPOSITE SOLENOID, 120VAC</t>
  </si>
  <si>
    <t>45AL68</t>
  </si>
  <si>
    <t>Replaced due to galling</t>
  </si>
  <si>
    <t>Pressure Relief Valves</t>
  </si>
  <si>
    <t>Pressure Relief Valve</t>
  </si>
  <si>
    <t>6871K41</t>
  </si>
  <si>
    <t>Kunkle Valve</t>
  </si>
  <si>
    <t>0266VC04-MG</t>
  </si>
  <si>
    <t>Only received 2, inlet - 1/2" NPT, Outlet - 3/4" NPT</t>
  </si>
  <si>
    <t>Accumulators</t>
  </si>
  <si>
    <t>5 gal stainless steel accumulator</t>
  </si>
  <si>
    <t>Accumulators Inc</t>
  </si>
  <si>
    <t>A531001XS</t>
  </si>
  <si>
    <t xml:space="preserve">2.5 gal stainless steel accumulators </t>
  </si>
  <si>
    <t>A2.53100XS</t>
  </si>
  <si>
    <t xml:space="preserve">1.5 gal stainless steel accumulators </t>
  </si>
  <si>
    <t>A1.53100XS</t>
  </si>
  <si>
    <t>1 gal accumulator</t>
  </si>
  <si>
    <t>A13100XS</t>
  </si>
  <si>
    <t>10 GAL ACCUMULATOR, 3000 PSI</t>
  </si>
  <si>
    <t>Reasontek Corporation</t>
  </si>
  <si>
    <t>RAS-10C3B01NW3</t>
  </si>
  <si>
    <t>5 GAL ACCUMULATOR, 3000 PSI</t>
  </si>
  <si>
    <t>RAS-05C3B01NW3</t>
  </si>
  <si>
    <t>Accumulator Mounting Base Bracket with Rubber Ring, 2.5-15gal</t>
  </si>
  <si>
    <t>RBB-66</t>
  </si>
  <si>
    <t>qty 2 for 5 gal and 10 gal</t>
  </si>
  <si>
    <t>Accumulator Double Bolt Mounting Clamp, 2.5-15G, 3K/5K PSI</t>
  </si>
  <si>
    <t>RMD-91</t>
  </si>
  <si>
    <t xml:space="preserve"> | (Stainless)1/2" JIC 37° Flare Female Swivel</t>
  </si>
  <si>
    <t>Accumulator Mounting Base Bracket with Rubber Ring, 1gal</t>
  </si>
  <si>
    <t>RBB-45</t>
  </si>
  <si>
    <t>Accumulator Single Bolt Mounting Clamp, 1Gal</t>
  </si>
  <si>
    <t>RMS-67Z</t>
  </si>
  <si>
    <t>SS-5406-32-16 - 2" Male Pipe to 1" NPT Female Pipe</t>
  </si>
  <si>
    <t>4443K426</t>
  </si>
  <si>
    <t>SS-5406-32-16</t>
  </si>
  <si>
    <t>SS-5406-20-08 - 1-1/4" Male Pipe to 1/2" Female Pipe</t>
  </si>
  <si>
    <t>Acquired qty 4 from Novus Technical parts lot, only using 1</t>
  </si>
  <si>
    <t>SS-5406-16-12 - 1" Male Pipe x 3/4" Female Pipe</t>
  </si>
  <si>
    <t>SS-5406-16-08 - 1" Male Pipe to 1/2" Female Pipe</t>
  </si>
  <si>
    <t>SS-5406-16-08</t>
  </si>
  <si>
    <t>SS-2501-08-08 - 1/2" JIC (3/4"-16 thread) 37° x 1/2" Male Pipe 90</t>
  </si>
  <si>
    <t>SS-2501-12-12 - 3/4" JIC (1 1/16"-12 thread) 37° x 3/4" Male Pipe 90°</t>
  </si>
  <si>
    <t>Banjo RB125-100</t>
  </si>
  <si>
    <t>Banjo RB100-075</t>
  </si>
  <si>
    <t>Banjo HB125-075</t>
  </si>
  <si>
    <t>Hose assem. 3/4", stainless steel, 19" (10gal accumulator, upstream of orifice)</t>
  </si>
  <si>
    <t>19inches, R16-12-ASB with SS-FJX-12-12 both ends</t>
  </si>
  <si>
    <t>Hose assem. 1/2", stainless steel, 36" (5gal accumulator, upstream of orifice)</t>
  </si>
  <si>
    <t>36inches, R17-08-ASB with SS-FJX-08-08 both ends</t>
  </si>
  <si>
    <t>Hose assem. 1/2", stainless steel, 29" (5gal accum., downstream of orifice)</t>
  </si>
  <si>
    <t>29inches, R17-08-ASB with SS-FJX-08-08 both ends</t>
  </si>
  <si>
    <t>Hose assem. 1/2", stainless steel, 23" (10gal accum., downstream of orifice)</t>
  </si>
  <si>
    <t>Accumulator racks</t>
  </si>
  <si>
    <t>High-pressure accumulator and RO module rack</t>
  </si>
  <si>
    <t>Strut channel, 1-5/8 x 1-5/8 12ga painted, 10ft</t>
  </si>
  <si>
    <t>4A974</t>
  </si>
  <si>
    <t>Double check the length required due to cutting</t>
  </si>
  <si>
    <t>Strut channel, 1-5/8 x 1-5/8 12ga painted, 2ft</t>
  </si>
  <si>
    <t>Corner Strut Channel Brackets, Outside 45deg, four bolt</t>
  </si>
  <si>
    <t>33125T426</t>
  </si>
  <si>
    <t>Corner Strut Channel Brackets, Inside 45deg, two bolt</t>
  </si>
  <si>
    <t>33125T42</t>
  </si>
  <si>
    <t>Corner Strut Channel Brackets, Inside 90deg, two bolt</t>
  </si>
  <si>
    <t>33125T32</t>
  </si>
  <si>
    <t>steel flat bar, 12"x0.125", 58" lengths</t>
  </si>
  <si>
    <t>Coremark Metals</t>
  </si>
  <si>
    <t>steel flat bar, 2"x0.125", 90" lengths</t>
  </si>
  <si>
    <t>Req.: steel bar, 2"x58'x0.125" (qty 3) &amp; steel bar, 2"x3'x0.125" (qty 1),  ordered as:  90" 3x (covers material req. for "Low-pressure accumulator and Power Electronics rack"</t>
  </si>
  <si>
    <t>Strut channel cover, 10ft</t>
  </si>
  <si>
    <t>3204T74</t>
  </si>
  <si>
    <t>EPDM Strip: Std, 1 in x 10 ft, 0.0625 in Thick, 60A, Acrylic Adhesive Backed, Black, Smooth</t>
  </si>
  <si>
    <t>497M52</t>
  </si>
  <si>
    <t>for floor contact</t>
  </si>
  <si>
    <t>Threaded-Rod-Mount Clamping Hanger, 1.5" ID for 1.5" pipe</t>
  </si>
  <si>
    <t>2615T17</t>
  </si>
  <si>
    <t>Low-pressure accumulator and Power Electronics rack</t>
  </si>
  <si>
    <t>Strut channel, 1-5/8 x 13/16 14ga painted, 10ft</t>
  </si>
  <si>
    <t>5YB81</t>
  </si>
  <si>
    <t>33125T54</t>
  </si>
  <si>
    <t>steel bar, 6"x0.125", 64" lengths</t>
  </si>
  <si>
    <t>req: 32" lengths (qty 2), ordered as 64" qty 1</t>
  </si>
  <si>
    <t>steel bar, 2"x3'x0.125"`</t>
  </si>
  <si>
    <t>Req: 3' (qty 2), covered by 90" stock under "High-pressure accumulator and RO module rack"</t>
  </si>
  <si>
    <t>Fasteners for Accumulator Racks</t>
  </si>
  <si>
    <t>Spring Nut: 1/2"-13 Thread Size, 1/2 in Bolt Size, Steel, Galvanized, 25pk</t>
  </si>
  <si>
    <t>4A985</t>
  </si>
  <si>
    <t>Socket Head Cap Screws, 1/2"-13 1-1/2in, pack of 10</t>
  </si>
  <si>
    <t>22TR59</t>
  </si>
  <si>
    <t xml:space="preserve">1/2"-13 Yellow Zinc Finish Grade 8 Finished Hex Nut </t>
  </si>
  <si>
    <t>6YPJ9</t>
  </si>
  <si>
    <t>WEC simulating actuator</t>
  </si>
  <si>
    <t>Standard hyd. Cylinder</t>
  </si>
  <si>
    <t>baileyhydraulics</t>
  </si>
  <si>
    <t>Chief WT Welded Hydraulic Cylinder: 6 Bore x 18 Stroke - 3 Rod</t>
  </si>
  <si>
    <t>1" Carbon Steel Plate A36 Hot Rolled - 12″ X 36″ (1 X 3 ft.)</t>
  </si>
  <si>
    <t>spherical bearing mount to be water jet cut</t>
  </si>
  <si>
    <t>1.500" Alloy Steel Round Bar 4140 Cold Finished Heat Treated, 18inch</t>
  </si>
  <si>
    <t>orderd in anealed state</t>
  </si>
  <si>
    <t>Socket Head Screw, 5/8"-18 Thread Size, 2" Long</t>
  </si>
  <si>
    <t>5/8" bolt for spherical bearing mount</t>
  </si>
  <si>
    <t>Washer for 5/8" Screw Size, 0.656" ID, 1.312" OD</t>
  </si>
  <si>
    <t>Hairpin Cotter Pins for 1-1/4"-1-1/2" Pin Diameter, 1/4" Wire Diameter, 5 Pack</t>
  </si>
  <si>
    <t>90492A210</t>
  </si>
  <si>
    <t>500mm Draw Wire Encoder</t>
  </si>
  <si>
    <t>CALT</t>
  </si>
  <si>
    <t>CWP-S500V1</t>
  </si>
  <si>
    <t>https://www.amazon.com/Encoder-24Vdc-Supply-500mm-Output/dp/B0C48X9SXK/ref=sr_1_2_sspa?crid=3FTJ21BDIRAF6&amp;keywords=string%2Bpotentiometer&amp;qid=1699396941&amp;sprefix=string%2Bpotentiometer%2Caps%2C120&amp;sr=8-2-spons&amp;sp_csd=d2lkZ2V0TmFtZT1zcF9hdGY&amp;th=1</t>
  </si>
  <si>
    <t>3/4in NPT to #12 JIC</t>
  </si>
  <si>
    <t>1/2" x 1.062" OD  Yellow Zinc SAE Washer, Pack of 50</t>
  </si>
  <si>
    <t>washers for mounting low-pressure return manifold</t>
  </si>
  <si>
    <t>1/2"-13 x 5-1/2" L 3/8" Hex Drive Socket Head Cap Screw</t>
  </si>
  <si>
    <t>bolts for mounting low-pressure return manifold</t>
  </si>
  <si>
    <t>Heavy Duty Zip Ties (50 pack)</t>
  </si>
  <si>
    <t>VWR</t>
  </si>
  <si>
    <t>77269-824</t>
  </si>
  <si>
    <t>Triton</t>
  </si>
  <si>
    <t>ZT-24N</t>
  </si>
  <si>
    <t>Preventing piston rotation</t>
  </si>
  <si>
    <t>WEC-driven pump</t>
  </si>
  <si>
    <t>Stainless Steel Cylinder</t>
  </si>
  <si>
    <t>custom</t>
  </si>
  <si>
    <t>custom, per print</t>
  </si>
  <si>
    <t>Rod gland repair, Central Hydraulics Labor</t>
  </si>
  <si>
    <t>Requested 2/28/25</t>
  </si>
  <si>
    <t>Socket Head Screw, 5/8"-18 Thread Size, 2.5" Long</t>
  </si>
  <si>
    <t>(Pack of 5) 5/8"-18 x 4" L 1/2" Hex Drive ASTM A574 Black Oxide Alloy Steel Socket Head Cap Screw</t>
  </si>
  <si>
    <t>Requested 11/13/2025</t>
  </si>
  <si>
    <t>(5-pack) Black-Oxide Alloy Steel Socket Head Screw, 5/8"-18 Thread Size, 3" Long</t>
  </si>
  <si>
    <t>Requested 11/26/2025</t>
  </si>
  <si>
    <t>91251A486</t>
  </si>
  <si>
    <t>(Package of 20) Washer for 5/8" Screw Size, 0.656" ID, 1.312" OD</t>
  </si>
  <si>
    <t>2 1/2-12 stel nut, for clevis</t>
  </si>
  <si>
    <t>90490A275</t>
  </si>
  <si>
    <t>1" steel plate for clevis</t>
  </si>
  <si>
    <t>to be cut from same stock as actuator mount</t>
  </si>
  <si>
    <t>Grease Fittings</t>
  </si>
  <si>
    <t>52NZ29</t>
  </si>
  <si>
    <t>SS-6400-16-12 - 1" JIC 37° x 3/4" ORB Male (#12 thread)</t>
  </si>
  <si>
    <t>design changed, not to be used</t>
  </si>
  <si>
    <t>SS-6400-12-12 - 3/4" JIC 37° x 3/4" ORB Male (#12 thread)</t>
  </si>
  <si>
    <t>SS-6501-12-12 - 3/4" Male Pipe x 3/4" JIC (1 1/16"-12 thread) 37° Swivel 90°</t>
  </si>
  <si>
    <t>Yor-Lok Straight Adapters, 1" Tube × 3/4" Female Threaded Pipe, 316SS</t>
  </si>
  <si>
    <t>5182K831</t>
  </si>
  <si>
    <t>use with 0.065" wall thickness tube for 1500psi rating</t>
  </si>
  <si>
    <t>ST6-16-0.065-2-feet - 1" Seamless Tubing 0.065 Thickness - 316 Stainless SN: S64ST6065010 - 2 Feet Cut Length</t>
  </si>
  <si>
    <t>Check valve rectifier</t>
  </si>
  <si>
    <t>Check valves, Check valve rectifier</t>
  </si>
  <si>
    <t>CV6-F-16N-10-S316</t>
  </si>
  <si>
    <t>SS-5404-16-16 - 1" Male Pipe x 1" Male Pipe</t>
  </si>
  <si>
    <t>SS-5500-16-16 - 1" Male Pipe x 1" Male Pipe 90°</t>
  </si>
  <si>
    <t>SS-5605-16-16-16 - 1" Female Pipe Tee</t>
  </si>
  <si>
    <t>requested 3/5/2025</t>
  </si>
  <si>
    <t>48805K527</t>
  </si>
  <si>
    <t>to replace one that was stripped</t>
  </si>
  <si>
    <t>Yor-Lok 90° Elbow Connectors, 1" Tube,  316SS</t>
  </si>
  <si>
    <t>5182K833</t>
  </si>
  <si>
    <t>Yor-Lok Straight Adapters, 1" Tube × 1" Male Threaded Pipe, 316SS</t>
  </si>
  <si>
    <t>5182K838</t>
  </si>
  <si>
    <t>Banjo SL100-45</t>
  </si>
  <si>
    <t xml:space="preserve">Hose assem. 1", stainless steel, 85" (WEC driven pump) </t>
  </si>
  <si>
    <t>85inches, R17-16-ASB with SS-MP-16-16W and SS-FJX-16-16W, 1.48"OD</t>
  </si>
  <si>
    <t>Switching Valve Module</t>
  </si>
  <si>
    <t>Normally closed 2-way switching valve</t>
  </si>
  <si>
    <t>ASCO Redhat</t>
  </si>
  <si>
    <t>8223G010</t>
  </si>
  <si>
    <t>https://www.grainger.com/product/REDHAT-Solenoid-Valve-1-2-in-Pipe-4KY38?searchQuery=8223G010&amp;searchBar=true&amp;xRefMatch=true&amp;tier=Tier+8</t>
  </si>
  <si>
    <t>Check valves, switching valve subsystem</t>
  </si>
  <si>
    <t>CV5-F-12N-10-S316</t>
  </si>
  <si>
    <t>SS-5652-08-08-08-08 - 1/2" Female Pipe Cross</t>
  </si>
  <si>
    <t>4443K654</t>
  </si>
  <si>
    <t>SS-5500-08-08 - 1/2" Male Pipe x 1/2" Male Pipe 90°</t>
  </si>
  <si>
    <t>48805K451</t>
  </si>
  <si>
    <t>Hose assem. 1/2", stainless steel, 21" (switching valve, 1)</t>
  </si>
  <si>
    <t>21inches, R17-08-ASB with SS-MP-08-08 and SS-FJX90-08-08</t>
  </si>
  <si>
    <t>Hose assem. 1/2", stainless steel, 26" (switching valve, 2)</t>
  </si>
  <si>
    <t>26inches, R17-08-ASB with SS-MP-08-08 and SS-FJX90-08-08</t>
  </si>
  <si>
    <t>Orifice plate</t>
  </si>
  <si>
    <t>12"x12"x0.048" Stainless Steel 316 sheet (18ga)</t>
  </si>
  <si>
    <t>For orifice plate</t>
  </si>
  <si>
    <t>Parker 1in code 61 flange to NPTF, 16GQ1B</t>
  </si>
  <si>
    <t>Central Hydaulics</t>
  </si>
  <si>
    <t>Parker</t>
  </si>
  <si>
    <t>3/8-16 2.75in socket cap bolt</t>
  </si>
  <si>
    <t>Alloy Steel Socket Nut 3/8"-16 Thread Size</t>
  </si>
  <si>
    <t>92066A031</t>
  </si>
  <si>
    <t>Thick-Wall 316/316L Stainless Steel Pipe Nipple, Threaded on Both Ends, 1 Pipe Size, 4" Long</t>
  </si>
  <si>
    <t>4475K56</t>
  </si>
  <si>
    <t>Sensors</t>
  </si>
  <si>
    <t>Temperature Transmitter</t>
  </si>
  <si>
    <t>IFM</t>
  </si>
  <si>
    <t>SA6014</t>
  </si>
  <si>
    <t>Pressure Transmitter</t>
  </si>
  <si>
    <t>3196K57</t>
  </si>
  <si>
    <t>Conductivity Transmitter Asm</t>
  </si>
  <si>
    <t>Cole Parmer</t>
  </si>
  <si>
    <t>EW-19505-20, EW-19500-45</t>
  </si>
  <si>
    <t>Oakton, Cole-Parmer</t>
  </si>
  <si>
    <t>ECCONCTP0500 COND 500,  C621-2-1-1</t>
  </si>
  <si>
    <t>Conductivity Meter</t>
  </si>
  <si>
    <t>Power Transducer</t>
  </si>
  <si>
    <t>Ohio Semitronics</t>
  </si>
  <si>
    <t>WT7-22-100-D</t>
  </si>
  <si>
    <t>Torque Meter w/ encoder</t>
  </si>
  <si>
    <t>Futek</t>
  </si>
  <si>
    <t>FSH02056</t>
  </si>
  <si>
    <t>Flow rate</t>
  </si>
  <si>
    <t>imf SA6014, thermal flow meter</t>
  </si>
  <si>
    <t>Electronic components</t>
  </si>
  <si>
    <t>SOCKET ADAPTER SOT-23 TO 6DIP</t>
  </si>
  <si>
    <t>DigiKey</t>
  </si>
  <si>
    <t>A879AR-ND</t>
  </si>
  <si>
    <t>LTC6992 voltage controlled PWM generator</t>
  </si>
  <si>
    <t>505-LTC6992HS6-1#WTRMPBFCT-ND</t>
  </si>
  <si>
    <t>PBA150, RELAY SPST-NO/NC 250MA 0-250V</t>
  </si>
  <si>
    <t>5656-PBA150-ND</t>
  </si>
  <si>
    <t>Perforated Board 3.94" x 3.15"</t>
  </si>
  <si>
    <t>4526-PR2H2-ND</t>
  </si>
  <si>
    <t>BusBoard Prototype Systems</t>
  </si>
  <si>
    <t>PR2H2</t>
  </si>
  <si>
    <t>Previously ordered part 5361-PC402030-ND but it never came and I dont think we were changed for it</t>
  </si>
  <si>
    <t>2 Position Wire to Board Terminal Block</t>
  </si>
  <si>
    <t>732-10955-ND</t>
  </si>
  <si>
    <t>To redo HP e-stop valve circuit</t>
  </si>
  <si>
    <t>3 Position Wire to Board Terminal Block</t>
  </si>
  <si>
    <t>732-10956-ND</t>
  </si>
  <si>
    <t xml:space="preserve">Relay </t>
  </si>
  <si>
    <t>Digikey</t>
  </si>
  <si>
    <t>3385-AZ943-1CH-5DE-ND</t>
  </si>
  <si>
    <t>American Zettler</t>
  </si>
  <si>
    <t>AZ943-1CH-5DE</t>
  </si>
  <si>
    <t>Solder Wick</t>
  </si>
  <si>
    <t>315-SOLDERWICK2.0-ND</t>
  </si>
  <si>
    <t>Chip Quik Inc.</t>
  </si>
  <si>
    <t>SOLDERWICK2.0</t>
  </si>
  <si>
    <t>4 channel PWM amplifier</t>
  </si>
  <si>
    <t>Electrical hardware</t>
  </si>
  <si>
    <t>VELCRO Cable Ties</t>
  </si>
  <si>
    <t>WAGO 221 Lever-Nuts</t>
  </si>
  <si>
    <t>Junction box 5.9x5.9x2.8 inch</t>
  </si>
  <si>
    <t>4-pin Deutch DT Connectors, set of 12</t>
  </si>
  <si>
    <t>E-Stop switches with box</t>
  </si>
  <si>
    <t>Cable gland kit, 72 pcs</t>
  </si>
  <si>
    <t>Wiring duct, 6ft</t>
  </si>
  <si>
    <t>3EXV7</t>
  </si>
  <si>
    <t>Wiring duct cover, 6ft</t>
  </si>
  <si>
    <t>3EYE3</t>
  </si>
  <si>
    <t>Wood screws, sz 8 1/2in length</t>
  </si>
  <si>
    <t>1KU96</t>
  </si>
  <si>
    <t xml:space="preserve">Fork Terminal Connectors </t>
  </si>
  <si>
    <t>B0CHR8FFZB</t>
  </si>
  <si>
    <t xml:space="preserve">Fork Terminal Connectors, #4,#8,#10,1/4 Inch Fork Spade Connectors 22-16/16-14/12-10 AWG </t>
  </si>
  <si>
    <t>NEMA L15-30P, 3P, 4W, Locking Plug</t>
  </si>
  <si>
    <t>B0015O77OW</t>
  </si>
  <si>
    <t>Leviton</t>
  </si>
  <si>
    <t>Power cord, 15A/250V, 14/3 AWG, 2ft</t>
  </si>
  <si>
    <t>B078RVS19R</t>
  </si>
  <si>
    <t>Power cable, 18/3 AWG, 25ft</t>
  </si>
  <si>
    <t>B0D8KRKL4B</t>
  </si>
  <si>
    <t>Junction box 3.1x3.1x1.9 inch</t>
  </si>
  <si>
    <t>B09VDBN9BL</t>
  </si>
  <si>
    <t>Project box, 3.3x2.3x1.37, w/ ears, 4pc</t>
  </si>
  <si>
    <t>B0CC9TSSH2</t>
  </si>
  <si>
    <t>Tools</t>
  </si>
  <si>
    <t>Torque wrench, 500ft.lb capacity</t>
  </si>
  <si>
    <t>SUERCUP Torque Wrench 3/4-inch, Dual-Direction Adjustable 48 tooth 100-700ft.lb/135.5-948.5Nm, ±3% High Accuracy Drive Click Torque Wrench with Buckle for Car/Truck Maintenance and Product Assembly</t>
  </si>
  <si>
    <t xml:space="preserve">GEARWRENCH 1/2" Chrome Hex Bit 1/2" Drive Socket </t>
  </si>
  <si>
    <t>Spotting drill bits</t>
  </si>
  <si>
    <t>https://www.amazon.com/gp/product/B09NKZMT19/ref=ox_sc_act_title_1?smid=A1DOA4F0QJWJ8F&amp;psc=1</t>
  </si>
  <si>
    <t>5/8"-18 tap, taper with 1-13/16 thread length</t>
  </si>
  <si>
    <t>50CC05</t>
  </si>
  <si>
    <t>Multi-Purpose Bearing Grease</t>
  </si>
  <si>
    <t>4UJ42</t>
  </si>
  <si>
    <t>Grease Gun</t>
  </si>
  <si>
    <t>33RL90</t>
  </si>
  <si>
    <t>Glycerine, food grade</t>
  </si>
  <si>
    <t>B097LTHS4S</t>
  </si>
  <si>
    <t>Instant Ocean Sea Salt</t>
  </si>
  <si>
    <t>1/2 NPT Tap, Uncoated High-Speed Steel, Plug Chamfer</t>
  </si>
  <si>
    <t>2525A175</t>
  </si>
  <si>
    <t>System fill and drain</t>
  </si>
  <si>
    <t>Flexzilla Garden Hose 5/8 in. x 75 ft, Heavy Duty, Lightweight, Durable, ZillaGreen - HFZG575YW-E</t>
  </si>
  <si>
    <t>Hibbent Faucet to Garden Hose Adapter Kit</t>
  </si>
  <si>
    <t>B09SG6LLRD</t>
  </si>
  <si>
    <t>Shipping</t>
  </si>
  <si>
    <t>Reasontek Freight</t>
  </si>
  <si>
    <t>Central Hydraulics S&amp;H</t>
  </si>
  <si>
    <t>Hydraulics Direct, 4/24/2024</t>
  </si>
  <si>
    <t>Grainger, 3/15/2024. Invoice 157696166</t>
  </si>
  <si>
    <t>Grainger, 6/12/2024. Invoice 162572030</t>
  </si>
  <si>
    <t>Grainger, 10/2/2024. Invoice 168413854</t>
  </si>
  <si>
    <t>Digikey, 10/3/2024. Invoice 168398522</t>
  </si>
  <si>
    <t>Discount Hydraulic Hose, 12/2/2024</t>
  </si>
  <si>
    <t>HP</t>
  </si>
  <si>
    <t>LP</t>
  </si>
  <si>
    <t>length</t>
  </si>
  <si>
    <t>qty LP</t>
  </si>
  <si>
    <t>qty HP</t>
  </si>
  <si>
    <t>Joint desc</t>
  </si>
  <si>
    <t>Bracket thickness</t>
  </si>
  <si>
    <t>Plate thickness</t>
  </si>
  <si>
    <t>Strut 1</t>
  </si>
  <si>
    <t>Strut 2</t>
  </si>
  <si>
    <t>Washer 1</t>
  </si>
  <si>
    <t>Washer 2</t>
  </si>
  <si>
    <t>nut thickness</t>
  </si>
  <si>
    <t>total joint thickness</t>
  </si>
  <si>
    <t>Req. bolt length</t>
  </si>
  <si>
    <t>no. washers</t>
  </si>
  <si>
    <t>hex nut</t>
  </si>
  <si>
    <t>unitstrut nut</t>
  </si>
  <si>
    <t>qty washers</t>
  </si>
  <si>
    <t>qty hex nut</t>
  </si>
  <si>
    <t>qty unitstrut nut</t>
  </si>
  <si>
    <t>qty bolts</t>
  </si>
  <si>
    <t>Nom. Bolt length</t>
  </si>
  <si>
    <t>strut through-hole, bracket</t>
  </si>
  <si>
    <t>1.25"</t>
  </si>
  <si>
    <t>strut through-hole, 1/8" plate</t>
  </si>
  <si>
    <t>1"</t>
  </si>
  <si>
    <t>strut channel, 1/8" plate</t>
  </si>
  <si>
    <t>strut channel, bracket</t>
  </si>
  <si>
    <t>strut channel, 1/8" plate, bracket</t>
  </si>
  <si>
    <t>1.5"</t>
  </si>
  <si>
    <t>strut channel, strut through-hole</t>
  </si>
  <si>
    <t>strut through-hole, strut through-hole</t>
  </si>
  <si>
    <t>Bolt</t>
  </si>
  <si>
    <t>total</t>
  </si>
  <si>
    <t>Total</t>
  </si>
  <si>
    <t>Part Name and Desc.</t>
  </si>
  <si>
    <t>Cost per Unit</t>
  </si>
  <si>
    <t>Vendor</t>
  </si>
  <si>
    <t>Parker 16GQ1B, 1" code 61 flange (O-ring face) to NPTF, stainless steel</t>
  </si>
  <si>
    <t>???</t>
  </si>
  <si>
    <t xml:space="preserve">2 Parker 16GQ1BSSK , 1" code 61 flange (O-ring face) to NPTF, stainless steel 16GQ1BSSK </t>
  </si>
  <si>
    <t>SS-2404-04-04 - 1/4" JIC 37° x 1/4" Male Pipe, stainless steel</t>
  </si>
  <si>
    <t xml:space="preserve">4 SS-2404-04-04 - 1/4" JIC 37° x 1/4" Male Pipe, stainless steel SS-2404-04-04-FG </t>
  </si>
  <si>
    <t>SS-2404-06-04 - 3/8" JIC 37° x 1/4" Male Pipe, stainless steel</t>
  </si>
  <si>
    <t xml:space="preserve">4 SS-2404-06-04 - 3/8" JIC 37° x 1/4" Male Pipe, stainless steel SS-2404-06-04-FG </t>
  </si>
  <si>
    <t>SS-2404-06-06 - 3/8" JIC 37° x 3/8" Male Pipe, stainless steel</t>
  </si>
  <si>
    <t xml:space="preserve">2 SS-2404-06-06 - 3/8" JIC 37° x 3/8" Male Pipe, stainless steel SS-2404-06-06-FG </t>
  </si>
  <si>
    <t>SS-2404-08-08 - 1/2" JIC 37° x 1/2" Male Pipe, stainless steel</t>
  </si>
  <si>
    <t xml:space="preserve">1 SS-2404-08-08 - 1/2" JIC 37° x 1/2" Male Pipe, stainless steel SS-2404-08-08-FG </t>
  </si>
  <si>
    <t>SS-2404-08-12 - 1/2" JIC 37° x 3/4" Male Pipe, stainless steel</t>
  </si>
  <si>
    <t xml:space="preserve">5 SS-2404-08-12 - 1/2" JIC 37° x 3/4" Male Pipe, stainless steel SS-2404-08-12-FG </t>
  </si>
  <si>
    <t>SS-2404-12-12 - 3/4" JIC 37° x 3/4" Male Pipe, stainless steel</t>
  </si>
  <si>
    <t xml:space="preserve">2 SS-2404-12-12 - 3/4" JIC 37° x 3/4" Male Pipe, stainless steel SS-2404-12-12-FG </t>
  </si>
  <si>
    <t>SS-2404-16-16 - 1" JIC 37° x 1" Male Pipe, stainless steel</t>
  </si>
  <si>
    <t xml:space="preserve">1 SS-2404-16-16 - 1" JIC 37° x 1" Male Pipe, stainless steel SS-2404-16-16-FG </t>
  </si>
  <si>
    <t>SS-2501-08-08 - 1/2" JIC 37° x 1/2" Male Pipe 90°, stainless steel</t>
  </si>
  <si>
    <t xml:space="preserve">4 SS-2501-08-08 - 1/2" JIC 37° x 1/2" Male Pipe 90°, stainless steel SS-2501-08-08-FG </t>
  </si>
  <si>
    <t>SS-2501-12-12 - 3/4" JIC 37° x 3/4" Male Pipe 90°, stainless steel</t>
  </si>
  <si>
    <t xml:space="preserve">1 SS-2501-12-12 - 3/4" JIC 37° x 3/4" Male Pipe 90°, stainless steel SS-2501-12-12-FG </t>
  </si>
  <si>
    <t>SS-2503-04-04 - 1/4" NPT male to 1/4" JIC male, 45°, stainless steel</t>
  </si>
  <si>
    <t xml:space="preserve">4 SS-2503-04-04 - 1/4" NPT male to 1/4" JIC male, 45°, stainless steel SS-2503-04-04-FG </t>
  </si>
  <si>
    <t>SS-5404-06-06 - 3/8" Male Pipe x 3/8" Male Pipe, stainless steel</t>
  </si>
  <si>
    <t xml:space="preserve">2 SS-5404-06-06 - 3/8" Male Pipe x 3/8" Male Pipe, stainless steel SS-5404-06-06-FG </t>
  </si>
  <si>
    <t>SS-5404-08-06 - 1/2" Male Pipe x 3/8" Male Pipe, stainless steel</t>
  </si>
  <si>
    <t xml:space="preserve">1 SS-5404-08-06 - 1/2" Male Pipe x 3/8" Male Pipe, stainless steel SS-5404-08-06-FG </t>
  </si>
  <si>
    <t>SS-5404-08-08 - 1/2" Male Pipe x 1/2" Male Pipe, stainless steel</t>
  </si>
  <si>
    <t xml:space="preserve">5 SS-5404-08-08 - 1/2" Male Pipe x 1/2" Male Pipe, stainless steel SS-5404-08-08-FG </t>
  </si>
  <si>
    <t>SS-5404-12-08 - 3/4" Male Pipe x 1/2" Male Pipe, stainless steel</t>
  </si>
  <si>
    <t xml:space="preserve">1 SS-5404-12-08 - 3/4" Male Pipe x 1/2" Male Pipe, stainless steel SS-5404-12-08-FG </t>
  </si>
  <si>
    <t>SS-5404-12-12 - 3/4" Male Pipe x 3/4" Male Pipe, stainless steel</t>
  </si>
  <si>
    <t xml:space="preserve">2 SS-5404-12-12 - 3/4" Male Pipe x 3/4" Male Pipe, stainless steel SS-5404-12-12-FG </t>
  </si>
  <si>
    <t>SS-5404-16-12 - 1" Male Pipe x 3/4" Male Pipe, stainless steel</t>
  </si>
  <si>
    <t xml:space="preserve">2 SS-5404-16-12 - 1" Male Pipe x 3/4" Male Pipe, stainless steel SS-5404-16-12-FG </t>
  </si>
  <si>
    <t>SS-5404-16-16 - 1" Male Pipe x 1" Male Pipe, stainless steel</t>
  </si>
  <si>
    <t xml:space="preserve">2 SS-5404-16-16 - 1" Male Pipe x 1" Male Pipe, stainless steel SS-5404-16-16-FG </t>
  </si>
  <si>
    <t>SS-5406-08-04 - 1/2" Male Pipe x 1/4" Female Pipe, stainless steel</t>
  </si>
  <si>
    <t xml:space="preserve">4 SS-5406-08-04 - 1/2" Male Pipe x 1/4" Female Pipe, stainless steel SS-5406-08-04-FG </t>
  </si>
  <si>
    <t>SS-5406-12-06 - 3/4" Male Pipe x 3/8" Female Pipe, stainless steel</t>
  </si>
  <si>
    <t xml:space="preserve">4 SS-5406-12-06 - 3/4" Male Pipe x 3/8" Female Pipe, stainless steel SS-5406-12-06-FG </t>
  </si>
  <si>
    <t>SS-5406-12-08 - 3/4" Male Pipe x 1/2" Female Pipe, stainless steel</t>
  </si>
  <si>
    <t xml:space="preserve">2 SS-5406-12-08 - 3/4" Male Pipe x 1/2" Female Pipe, stainless steel SS-5406-12-08-FG </t>
  </si>
  <si>
    <t>SS-5406-16-08 - 1" Male Pipe to 1/2" Female Pipe, stainless steel</t>
  </si>
  <si>
    <t xml:space="preserve">7 SS-5406-16-08 - 1" Male Pipe to 1/2" Female Pipe, stainless steel SS-5406-16-08-FG </t>
  </si>
  <si>
    <t>SS-5406-16-12 - 1" Male Pipe x 3/4" Female Pipe, stainless steel</t>
  </si>
  <si>
    <t xml:space="preserve">1 SS-5406-16-12 - 1" Male Pipe x 3/4" Female Pipe, stainless steel SS-5406-16-12-FG </t>
  </si>
  <si>
    <t>SS-5500-08-08 - 1/2" Male Pipe x 1/2" Male Pipe 90°, stainless steel</t>
  </si>
  <si>
    <t xml:space="preserve">2 SS-5500-08-08 - 1/2" Male Pipe x 1/2" Male Pipe 90°, stainless steel SS-5500-08-08-FG </t>
  </si>
  <si>
    <t>SS-5500-16-16 - 1" Male Pipe x 1" Male Pipe 90°, stainless steel</t>
  </si>
  <si>
    <t xml:space="preserve">4 SS-5500-16-16 - 1" Male Pipe x 1" Male Pipe 90°, stainless steel SS-5500-16-16-FG </t>
  </si>
  <si>
    <t>SS-5602-08-08-08 - 1/2" m-f-f Pipe Tee, stainless steel</t>
  </si>
  <si>
    <t xml:space="preserve">2 SS-5602-08-08-08 - 1/2" m-f-f Pipe Tee, stainless steel SS-5602-08-08-08-FG </t>
  </si>
  <si>
    <t>SS-5604-08-08-08 - 1/2" f-m-f Pipe Tee, stainless steel</t>
  </si>
  <si>
    <t xml:space="preserve">1 SS-5604-08-08-08 - 1/2" f-m-f Pipe Tee, stainless steel SS-5604-08-08-08-FG </t>
  </si>
  <si>
    <t>SS-5605-12-12-12 - 3/4" Female Pipe Tee, stainless steel</t>
  </si>
  <si>
    <t xml:space="preserve">1 SS-5605-12-12-12 - 3/4" Female Pipe Tee, stainless steel SS-5605-12-12-12-FG </t>
  </si>
  <si>
    <t>SS-5605-16-16-16 - 1" Female Pipe Tee, stainless steel</t>
  </si>
  <si>
    <t xml:space="preserve">1 SS-5605-16-16-16 - 1" Female Pipe Tee, stainless steel SS-5605-16-16-16-FG </t>
  </si>
  <si>
    <t>SS-5652-08-08-08-08 - 1/2" Female Pipe Cross, stainless steel</t>
  </si>
  <si>
    <t xml:space="preserve">2 SS-5652-08-08-08-08 - 1/2" Female Pipe Cross, stainless steel SS-5652-08-08-08-08-FG </t>
  </si>
  <si>
    <t>SS-5652-12-12-12-12 - 3/4" Female Pipe Cross, stainless steel</t>
  </si>
  <si>
    <t>SS-5652-16-16-16-16 - 1" Female Pipe Cross, stainless steel</t>
  </si>
  <si>
    <t>SS-6400-16-12 - 1" JIC 37° x 3/4" ORB Male (#12 thread), stainless steel</t>
  </si>
  <si>
    <t xml:space="preserve">2 SS-6400-16-12 - 1" JIC 37° x 3/4" ORB Male (#12 thread), stainless steel SS-6400-16-12-FG </t>
  </si>
  <si>
    <t>SS-6500-04-04 - 1/4" JIC female swivel to 1/4" JIC Male, 90°, stainless steel</t>
  </si>
  <si>
    <t xml:space="preserve">4 SS-6500-04-04 - 1/4" JIC female swivel to 1/4" JIC Male, 90°, stainless steel SS-6500-04-04-FG </t>
  </si>
  <si>
    <t>SS-6500-06-06 - 3/8" JIC female swivel to 3/8" JIC Male, 90°, stainless steel</t>
  </si>
  <si>
    <t xml:space="preserve">2 SS-6500-06-06 - 3/8" JIC female swivel to 3/8" JIC Male, 90°, stainless steel SS-6500-06-06-FG </t>
  </si>
  <si>
    <t xml:space="preserve">2 SS-6600-06-06-06 - 3/8" JIC tee, m-f-m, female swivel, stainless steel SS-6600-06-06-06-FG </t>
  </si>
  <si>
    <t>SS-9005-12-12 - 3/4" Male JIC x 3/4" Male BSPP, stainless steel</t>
  </si>
  <si>
    <t>SS-9035-12-12 - 3/4" Male BSPP x 3/4" Female NPTF, stainless steel</t>
  </si>
  <si>
    <t>vendor/ordered</t>
  </si>
  <si>
    <t>recorded in BOM</t>
  </si>
  <si>
    <t>x</t>
  </si>
  <si>
    <t>v</t>
  </si>
  <si>
    <t>SS-2404-04-04-FG - 1/4" JIC 37° x 1/4" Male Pipe, stainless steel</t>
  </si>
  <si>
    <t>SS-2404-06-04-FG- 3/8" JIC 37° x 1/4" Male Pipe, stainless steel</t>
  </si>
  <si>
    <t>SS-2404-06-06-FG - 3/8" JIC 37° x 3/8" Male Pipe, stainless steel</t>
  </si>
  <si>
    <t>SS-2404-08-08-FG - 1/2" JIC 37° x 1/2" Male Pipe, stainless steel</t>
  </si>
  <si>
    <t>SS-2404-08-12-FG - 1/2" JIC 37° x 3/4" Male Pipe, stainless steel</t>
  </si>
  <si>
    <t>SS-2404-12-12-FG - 3/4" JIC 37° x 3/4" Male Pipe, stainless steel</t>
  </si>
  <si>
    <t>SS-2404-16-16-FG - 1" JIC 37° x 1" Male Pipe, stainless steel</t>
  </si>
  <si>
    <t>SS-2501-08-08-FG - 1/2" JIC 37° x 1/2" Male Pipe 90°, stainless steel</t>
  </si>
  <si>
    <t>SS-2501-12-12-FG - 3/4" JIC 37° x 3/4" Male Pipe 90°, stainless steel</t>
  </si>
  <si>
    <t>SS-2503-04-04-FG - 1/4" NPT male to 1/4" JIC male, 45°, stainless steel</t>
  </si>
  <si>
    <t>SS-5404-06-06-FG - 3/8" Male Pipe x 3/8" Male Pipe, stainless steel</t>
  </si>
  <si>
    <t>SS-5404-08-06-FG - 1/2" Male Pipe x 3/8" Male Pipe, stainless steel</t>
  </si>
  <si>
    <t>SS-5404-08-08-FG - 1/2" Male Pipe x 1/2" Male Pipe, stainless steel</t>
  </si>
  <si>
    <t>SS-5404-12-08-FG - 3/4" Male Pipe x 1/2" Male Pipe, stainless steel</t>
  </si>
  <si>
    <t>SS-5404-12-12-FG - 3/4" Male Pipe x 3/4" Male Pipe, stainless steel</t>
  </si>
  <si>
    <t>H</t>
  </si>
  <si>
    <t>SS-5404-16-16-FG - 1" Male Pipe x 1" Male Pipe, stainless steel</t>
  </si>
  <si>
    <t>SS-5406-08-04-FG - 1/2" Male Pipe x 1/4" Female Pipe, stainless steel</t>
  </si>
  <si>
    <t>SS-5406-12-06-FG - 3/4" Male Pipe x 3/8" Female Pipe, stainless steel</t>
  </si>
  <si>
    <t>SS-5406-12-08-FG - 3/4" Male Pipe x 1/2" Female Pipe, stainless steel</t>
  </si>
  <si>
    <t>SS-5406-16-08-FG - 1" Male Pipe to 1/2" Female Pipe, stainless steel</t>
  </si>
  <si>
    <t>SS-5406-16-12-FG - 1" Male Pipe x 3/4" Female Pipe, stainless steel</t>
  </si>
  <si>
    <t>SS-5500-08-08-FG - 1/2" Male Pipe x 1/2" Male Pipe 90°, stainless steel</t>
  </si>
  <si>
    <t>SS-5500-16-16-FG - 1" Male Pipe x 1" Male Pipe 90°, stainless steel</t>
  </si>
  <si>
    <t>SS-5602-08-08-08-FG - 1/2" m-f-f Pipe Tee, stainless steel</t>
  </si>
  <si>
    <t>SS-5604-08-08-08-FG - 1/2" f-m-f Pipe Tee, stainless steel</t>
  </si>
  <si>
    <t>SS-5605-12-12-12-FG - 3/4" Female Pipe Tee, stainless steel</t>
  </si>
  <si>
    <t>M</t>
  </si>
  <si>
    <t>SS-5605-16-16-16-FG - 1" Female Pipe Tee, stainless steel</t>
  </si>
  <si>
    <t>SS-5652-08-08-08-08-FG - 1/2" Female Pipe Cross, stainless steel</t>
  </si>
  <si>
    <t>SS-5652-12-12-12-12-FG - 3/4" Female Pipe Cross, stainless steel</t>
  </si>
  <si>
    <t>SS-5652-16-16-16-16-FG - 1" Female Pipe Cross, stainless steel</t>
  </si>
  <si>
    <t>SS-6400-16-12-FG - 1" JIC 37° x 3/4" ORB Male (#12 thread), stainless steel</t>
  </si>
  <si>
    <t>SS-6500-04-04-FG - 1/4" JIC female swivel to 1/4" JIC Male, 90°, stainless steel</t>
  </si>
  <si>
    <t>SS-6500-06-06-FG - 3/8" JIC female swivel to 3/8" JIC Male, 90°, stainless steel</t>
  </si>
  <si>
    <t>SS-6600-06-06-06-FG - 3/8" JIC tee, m-f-m, female swivel, stainless steel</t>
  </si>
  <si>
    <t>Check valves, boost pump outlet</t>
  </si>
  <si>
    <t>Banjo CV100MT</t>
  </si>
  <si>
    <t>CV100MT</t>
  </si>
  <si>
    <t>R1-16 | 1" SAE 100R1AT Hydraulic Hose (by the foot)</t>
  </si>
  <si>
    <t>R1-12</t>
  </si>
  <si>
    <t>Hose assem. 3/4" JIC female swivel, stainless steel</t>
  </si>
  <si>
    <t>3/4" female JIC swivel end (SS-FJX-12-12), length TBD</t>
  </si>
  <si>
    <t>Hose assem. 1" JIC female swivel, stainless steel</t>
  </si>
  <si>
    <t>Discount Hydraulics</t>
  </si>
  <si>
    <t xml:space="preserve">Fitting #1: SS-FJX-16-16W | Fitting #2: SS-MP-16-16W </t>
  </si>
  <si>
    <t>Hose assem. Inlet/outlet, 1, stainless steel</t>
  </si>
  <si>
    <t>3/8" female JIC swivel end (SS-FJX-06-06), length TBD</t>
  </si>
  <si>
    <t>Hose assem. Inlet/outlet, 2, stainless steel</t>
  </si>
  <si>
    <t>Hose assem. Intermediate, stainless steel</t>
  </si>
  <si>
    <t>1/4" female JIC swivel end (SS-FJX-04-04), length TBD</t>
  </si>
  <si>
    <t>3/8"-16 HoloKrome® Allenut</t>
  </si>
  <si>
    <t>Hex Head Screws, 1/2"-13 1-12in, pack of 25</t>
  </si>
  <si>
    <t>22TH31</t>
  </si>
  <si>
    <t>Socket Head Cap Screws, 1/2"-13 3/4in, pack of 10</t>
  </si>
  <si>
    <t>22TR54</t>
  </si>
  <si>
    <t>Strut channel, 1-5/8 x 1-5/8 12ga painted, per foot</t>
  </si>
  <si>
    <t>Low pressure check valve</t>
  </si>
  <si>
    <t>MCV100</t>
  </si>
  <si>
    <t>3/8" NPT male to 3/8" JIC male, stainless steel</t>
  </si>
  <si>
    <t>SS-2403-06-06</t>
  </si>
  <si>
    <t>1/4" NPT male to 1/4" JIC male, stainless steel</t>
  </si>
  <si>
    <t>SS-2404-04-04</t>
  </si>
  <si>
    <t>1/4" NPT male to 3/8" JIC male, stainless steel</t>
  </si>
  <si>
    <t>SS-2404-06-04</t>
  </si>
  <si>
    <t>1/2" NPT male to 1/2" JIC male 90 deg, stainless steel</t>
  </si>
  <si>
    <t>SS-2501-08-08</t>
  </si>
  <si>
    <t>3/4" NPT male to 3/8" NPT female, stainless steel</t>
  </si>
  <si>
    <t>SS-5406-12-06</t>
  </si>
  <si>
    <t>1" NPT male to 1/2" female, stainless steel</t>
  </si>
  <si>
    <t>#12 ORB male to 1" JIC male fitting. Stainless steel</t>
  </si>
  <si>
    <t>SS-6400-16-12</t>
  </si>
  <si>
    <t>https://www.hydraulicsdirect.com/SS-6400-Stainless-Steel-SAE-O-Ring-Boss-p/ss-6400.htm</t>
  </si>
  <si>
    <t>1/4" JIC female swivel to 1/4" JIC Male, 90deg, stainless steel</t>
  </si>
  <si>
    <t>SS-6500-04-04</t>
  </si>
  <si>
    <t>3/8" JIC female swivel to 3/8" JIC Male, 90deg, stainless steel</t>
  </si>
  <si>
    <t>SS-6500-06-06</t>
  </si>
  <si>
    <t>3/8" JIC tee, m-f-m, female swivel, stainless steel</t>
  </si>
  <si>
    <t>SS-6600-06-06-06</t>
  </si>
  <si>
    <t>3/4" Male JIC x 3/4" Male BSPP, 316SS</t>
  </si>
  <si>
    <t>SS-9005-12-12</t>
  </si>
  <si>
    <t>3/4" Male BSPP x 3/4" Male NPTF, 316SS</t>
  </si>
  <si>
    <t>SS-9007-12-12</t>
  </si>
  <si>
    <t>2" NPT male tp 1" NPT female, stainless steel</t>
  </si>
  <si>
    <t>Inline Reducing Tee, 3/4 Socket Female x 1/2 NPT Female, Thick wall plastic</t>
  </si>
  <si>
    <t>PO request 2/6/2024</t>
  </si>
  <si>
    <t>Sch. 80 plastic pipe, 5ft</t>
  </si>
  <si>
    <t>3/4" JIC (1 1/16"-12 thread) 37° x 3/4" Male Pipe 90°</t>
  </si>
  <si>
    <t>SS-2501-12-12</t>
  </si>
  <si>
    <t>3/4" Male BSPP x 3/4" Female NPTF</t>
  </si>
  <si>
    <t>SS-9035-12-12</t>
  </si>
  <si>
    <t>90° Elbow: 3/4" Male JIC x 3/4" Male BSPP Adj.</t>
  </si>
  <si>
    <t>SS-9059-12-12</t>
  </si>
  <si>
    <t>1.500" Alloy Steel Round Bar 4140 Cold Finished Heat Treated, 1ft</t>
  </si>
  <si>
    <t>1/4" NPT male to 1/4" JIC male, 45deg, stainless steel</t>
  </si>
  <si>
    <t>1-1/4" NPT male to 1/2" female, stainless steel</t>
  </si>
  <si>
    <t>fittings???</t>
  </si>
  <si>
    <t>Hose assem. 1/2" JIC female swivel, stainless steel</t>
  </si>
  <si>
    <t>Fitting #1: SS-FJX-08-08 | Fitting #2: SS-FJX-08-08</t>
  </si>
  <si>
    <t>Low-pressure accumulator and RO module rack</t>
  </si>
  <si>
    <t>steel bar, 2"x6'x0.25"`</t>
  </si>
  <si>
    <t>steel plate, 12"x57'x0.25"`</t>
  </si>
  <si>
    <t>Banjo HBF075-100</t>
  </si>
  <si>
    <t>C</t>
  </si>
  <si>
    <t>HB075-100 &amp; CPLG075</t>
  </si>
  <si>
    <t>oA</t>
  </si>
  <si>
    <t>Banjo RB125-075</t>
  </si>
  <si>
    <t>oC</t>
  </si>
  <si>
    <t>RB125-100 &amp; RB100-075</t>
  </si>
  <si>
    <t>Banjo RB150-125</t>
  </si>
  <si>
    <t>Banjo RN125-075</t>
  </si>
  <si>
    <t>xA</t>
  </si>
  <si>
    <t>Banjo V150-SL</t>
  </si>
  <si>
    <t>SS-2403-06-06 - 3/8" NPT male to 3/8" JIC male, stainless steel</t>
  </si>
  <si>
    <t>SS-2404-08-08 - 1/2" JIC 37° x 1/2" Male Pipe</t>
  </si>
  <si>
    <t>SS-2404-12-12 - 3/4" JIC 37° x 3/4" Male Pipe</t>
  </si>
  <si>
    <t>SS-2404-16-16 - 1" JIC 37° x 1" Male Pipe</t>
  </si>
  <si>
    <t>SS-2501-12-12 - 3/4" JIC 37° x 3/4" Male Pipe 90°</t>
  </si>
  <si>
    <t>A</t>
  </si>
  <si>
    <t>Banjo V075-SL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</si>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</sst>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$#,##0"/>
    <numFmt numFmtId="165" formatCode="\$#,##0\ ;[Red]&quot;($&quot;#,##0\)"/>
    <numFmt numFmtId="166" formatCode="\$#,##0.00"/>
    <numFmt numFmtId="167" formatCode="&quot;$&quot;#,##0.00"/>
    <numFmt numFmtId="168" formatCode="&quot;$&quot;#,##0"/>
    <numFmt numFmtId="169" formatCode="m/d/yy"/>
    <numFmt numFmtId="170" formatCode="mm/dd/yyyy"/>
    <numFmt numFmtId="171" formatCode="m/d/yyyy"/>
    <numFmt numFmtId="172" formatCode="&quot;$&quot;#,##0.00_);[Red]\(&quot;$&quot;#,##0.00\)"/>
  </numFmts>
  <fonts count="27">
    <font>
      <sz val="10.0"/>
      <color rgb="FF000000"/>
      <name val="Times New Roman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i/>
      <sz val="10.0"/>
      <color rgb="FF000000"/>
      <name val="Times New Roman"/>
    </font>
    <font>
      <sz val="10.0"/>
      <color theme="1"/>
      <name val="Times New Roman"/>
    </font>
    <font>
      <color theme="1"/>
      <name val="Times New Roman"/>
      <scheme val="minor"/>
    </font>
    <font>
      <u/>
      <sz val="10.0"/>
      <color theme="10"/>
      <name val="Times New Roman"/>
    </font>
    <font>
      <b/>
      <color rgb="FF242424"/>
      <name val="Roboto"/>
    </font>
    <font>
      <i/>
      <sz val="10.0"/>
      <color theme="1"/>
      <name val="Times New Roman"/>
    </font>
    <font>
      <sz val="10.0"/>
      <color theme="1"/>
      <name val="Times New Roman"/>
      <scheme val="minor"/>
    </font>
    <font>
      <sz val="9.0"/>
      <color rgb="FF333333"/>
      <name val="HelveticaNeueeTextPro-Md"/>
    </font>
    <font>
      <sz val="9.0"/>
      <color rgb="FF333333"/>
      <name val="Arial"/>
    </font>
    <font>
      <sz val="9.0"/>
      <color rgb="FF333333"/>
      <name val="HelveticaNeueeTextPro-Roman"/>
    </font>
    <font>
      <b/>
      <sz val="10.0"/>
      <color theme="1"/>
      <name val="Times New Roman"/>
    </font>
    <font>
      <u/>
      <sz val="10.0"/>
      <color theme="10"/>
      <name val="Times New Roman"/>
    </font>
    <font>
      <u/>
      <sz val="10.0"/>
      <color theme="10"/>
      <name val="Arial"/>
    </font>
    <font>
      <color rgb="FF000000"/>
      <name val="Roboto"/>
    </font>
    <font>
      <sz val="11.0"/>
      <color rgb="FF000000"/>
      <name val="Roboto"/>
    </font>
    <font>
      <sz val="10.0"/>
      <color rgb="FF000000"/>
      <name val="Averta"/>
    </font>
    <font>
      <sz val="10.0"/>
      <color rgb="FF000000"/>
      <name val="Roboto"/>
    </font>
    <font>
      <sz val="10.0"/>
      <color rgb="FF000000"/>
      <name val="Arial"/>
    </font>
    <font>
      <sz val="9.0"/>
      <color rgb="FF444444"/>
      <name val="Roboto"/>
    </font>
    <font>
      <sz val="10.0"/>
      <color theme="1"/>
      <name val="Arial"/>
    </font>
    <font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i/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166" xfId="0" applyAlignment="1" applyFont="1" applyNumberFormat="1">
      <alignment shrinkToFit="0" wrapText="1"/>
    </xf>
    <xf borderId="0" fillId="0" fontId="4" numFmtId="167" xfId="0" applyFont="1" applyNumberFormat="1"/>
    <xf borderId="0" fillId="0" fontId="2" numFmtId="168" xfId="0" applyFont="1" applyNumberFormat="1"/>
    <xf borderId="0" fillId="0" fontId="2" numFmtId="169" xfId="0" applyFont="1" applyNumberFormat="1"/>
    <xf borderId="0" fillId="0" fontId="2" numFmtId="166" xfId="0" applyFont="1" applyNumberFormat="1"/>
    <xf borderId="0" fillId="0" fontId="2" numFmtId="0" xfId="0" applyAlignment="1" applyFont="1">
      <alignment horizontal="left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168" xfId="0" applyFont="1" applyNumberForma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6" numFmtId="0" xfId="0" applyAlignment="1" applyFont="1">
      <alignment shrinkToFit="0" vertical="center" wrapText="1"/>
    </xf>
    <xf borderId="0" fillId="0" fontId="2" numFmtId="14" xfId="0" applyFont="1" applyNumberFormat="1"/>
    <xf borderId="0" fillId="0" fontId="5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2" numFmtId="16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167" xfId="0" applyFont="1" applyNumberFormat="1"/>
    <xf borderId="0" fillId="0" fontId="2" numFmtId="49" xfId="0" applyAlignment="1" applyFont="1" applyNumberFormat="1">
      <alignment shrinkToFit="0" wrapText="1"/>
    </xf>
    <xf borderId="0" fillId="0" fontId="3" numFmtId="49" xfId="0" applyAlignment="1" applyFont="1" applyNumberFormat="1">
      <alignment shrinkToFit="0" wrapText="1"/>
    </xf>
    <xf borderId="0" fillId="0" fontId="8" numFmtId="0" xfId="0" applyAlignment="1" applyFont="1">
      <alignment shrinkToFit="0" wrapText="1"/>
    </xf>
    <xf borderId="0" fillId="0" fontId="2" numFmtId="165" xfId="0" applyFont="1" applyNumberFormat="1"/>
    <xf borderId="0" fillId="0" fontId="4" numFmtId="167" xfId="0" applyAlignment="1" applyFont="1" applyNumberFormat="1">
      <alignment readingOrder="0" shrinkToFit="0" wrapText="1"/>
    </xf>
    <xf borderId="0" fillId="0" fontId="4" numFmtId="170" xfId="0" applyAlignment="1" applyFont="1" applyNumberFormat="1">
      <alignment readingOrder="0" shrinkToFit="0" wrapText="1"/>
    </xf>
    <xf borderId="0" fillId="2" fontId="0" numFmtId="0" xfId="0" applyAlignment="1" applyFill="1" applyFont="1">
      <alignment readingOrder="0" shrinkToFit="0" wrapText="0"/>
    </xf>
    <xf borderId="0" fillId="0" fontId="9" numFmtId="0" xfId="0" applyAlignment="1" applyFont="1">
      <alignment readingOrder="0" shrinkToFit="0" wrapText="1"/>
    </xf>
    <xf borderId="0" fillId="2" fontId="10" numFmtId="0" xfId="0" applyAlignment="1" applyFont="1">
      <alignment readingOrder="0"/>
    </xf>
    <xf borderId="0" fillId="2" fontId="11" numFmtId="167" xfId="0" applyAlignment="1" applyFont="1" applyNumberFormat="1">
      <alignment readingOrder="0"/>
    </xf>
    <xf borderId="0" fillId="2" fontId="12" numFmtId="0" xfId="0" applyAlignment="1" applyFont="1">
      <alignment readingOrder="0"/>
    </xf>
    <xf borderId="0" fillId="0" fontId="4" numFmtId="0" xfId="0" applyAlignment="1" applyFont="1">
      <alignment horizontal="left" shrinkToFit="0" wrapText="1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1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3" xfId="0" applyFont="1" applyNumberFormat="1"/>
    <xf borderId="0" fillId="0" fontId="14" numFmtId="0" xfId="0" applyFont="1"/>
    <xf borderId="0" fillId="0" fontId="8" numFmtId="0" xfId="0" applyAlignment="1" applyFont="1">
      <alignment horizontal="left" shrinkToFit="0" wrapText="1"/>
    </xf>
    <xf borderId="0" fillId="0" fontId="15" numFmtId="0" xfId="0" applyFont="1"/>
    <xf borderId="0" fillId="2" fontId="16" numFmtId="168" xfId="0" applyAlignment="1" applyFont="1" applyNumberFormat="1">
      <alignment horizontal="right" readingOrder="0" shrinkToFit="0" wrapText="0"/>
    </xf>
    <xf borderId="0" fillId="2" fontId="17" numFmtId="0" xfId="0" applyAlignment="1" applyFont="1">
      <alignment readingOrder="0"/>
    </xf>
    <xf borderId="0" fillId="2" fontId="16" numFmtId="0" xfId="0" applyAlignment="1" applyFont="1">
      <alignment horizontal="left" readingOrder="0"/>
    </xf>
    <xf borderId="0" fillId="2" fontId="16" numFmtId="167" xfId="0" applyAlignment="1" applyFont="1" applyNumberFormat="1">
      <alignment horizontal="right" readingOrder="0" shrinkToFit="0" wrapText="0"/>
    </xf>
    <xf borderId="0" fillId="0" fontId="2" numFmtId="166" xfId="0" applyAlignment="1" applyFont="1" applyNumberFormat="1">
      <alignment readingOrder="0"/>
    </xf>
    <xf borderId="0" fillId="2" fontId="18" numFmtId="0" xfId="0" applyAlignment="1" applyFont="1">
      <alignment horizontal="left" readingOrder="0"/>
    </xf>
    <xf borderId="0" fillId="2" fontId="19" numFmtId="0" xfId="0" applyAlignment="1" applyFont="1">
      <alignment readingOrder="0"/>
    </xf>
    <xf borderId="0" fillId="0" fontId="20" numFmtId="167" xfId="0" applyFont="1" applyNumberFormat="1"/>
    <xf borderId="0" fillId="0" fontId="2" numFmtId="49" xfId="0" applyAlignment="1" applyFont="1" applyNumberFormat="1">
      <alignment readingOrder="0" shrinkToFit="0" wrapText="1"/>
    </xf>
    <xf borderId="0" fillId="2" fontId="21" numFmtId="0" xfId="0" applyAlignment="1" applyFont="1">
      <alignment horizontal="left" readingOrder="0"/>
    </xf>
    <xf borderId="0" fillId="2" fontId="21" numFmtId="0" xfId="0" applyAlignment="1" applyFont="1">
      <alignment horizontal="left" readingOrder="0" vertical="top"/>
    </xf>
    <xf borderId="0" fillId="0" fontId="2" numFmtId="171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4" numFmtId="14" xfId="0" applyAlignment="1" applyFont="1" applyNumberFormat="1">
      <alignment shrinkToFit="0" wrapText="1"/>
    </xf>
    <xf borderId="0" fillId="0" fontId="13" numFmtId="0" xfId="0" applyFont="1"/>
    <xf borderId="0" fillId="0" fontId="13" numFmtId="165" xfId="0" applyFont="1" applyNumberFormat="1"/>
    <xf borderId="0" fillId="0" fontId="22" numFmtId="0" xfId="0" applyAlignment="1" applyFont="1">
      <alignment shrinkToFit="0" wrapText="1"/>
    </xf>
    <xf borderId="0" fillId="0" fontId="23" numFmtId="0" xfId="0" applyFont="1"/>
    <xf borderId="0" fillId="0" fontId="24" numFmtId="3" xfId="0" applyFont="1" applyNumberFormat="1"/>
    <xf borderId="0" fillId="0" fontId="24" numFmtId="0" xfId="0" applyAlignment="1" applyFont="1">
      <alignment shrinkToFit="0" wrapText="1"/>
    </xf>
    <xf borderId="0" fillId="0" fontId="24" numFmtId="164" xfId="0" applyFont="1" applyNumberFormat="1"/>
    <xf borderId="0" fillId="0" fontId="2" numFmtId="167" xfId="0" applyAlignment="1" applyFont="1" applyNumberFormat="1">
      <alignment horizontal="right"/>
    </xf>
    <xf borderId="0" fillId="0" fontId="24" numFmtId="165" xfId="0" applyFont="1" applyNumberFormat="1"/>
    <xf borderId="0" fillId="0" fontId="24" numFmtId="0" xfId="0" applyFont="1"/>
    <xf borderId="0" fillId="0" fontId="25" numFmtId="49" xfId="0" applyAlignment="1" applyFont="1" applyNumberFormat="1">
      <alignment shrinkToFit="0" wrapText="1"/>
    </xf>
    <xf borderId="0" fillId="0" fontId="25" numFmtId="0" xfId="0" applyFont="1"/>
    <xf borderId="0" fillId="0" fontId="25" numFmtId="168" xfId="0" applyFont="1" applyNumberFormat="1"/>
    <xf borderId="0" fillId="0" fontId="25" numFmtId="169" xfId="0" applyFont="1" applyNumberFormat="1"/>
    <xf borderId="0" fillId="0" fontId="25" numFmtId="166" xfId="0" applyFont="1" applyNumberFormat="1"/>
    <xf borderId="0" fillId="0" fontId="2" numFmtId="172" xfId="0" applyFont="1" applyNumberFormat="1"/>
    <xf borderId="0" fillId="0" fontId="25" numFmtId="0" xfId="0" applyAlignment="1" applyFont="1">
      <alignment shrinkToFit="0" wrapText="1"/>
    </xf>
    <xf borderId="0" fillId="0" fontId="25" numFmtId="3" xfId="0" applyFont="1" applyNumberFormat="1"/>
    <xf borderId="0" fillId="0" fontId="25" numFmtId="14" xfId="0" applyFont="1" applyNumberFormat="1"/>
    <xf borderId="0" fillId="0" fontId="25" numFmtId="166" xfId="0" applyAlignment="1" applyFont="1" applyNumberFormat="1">
      <alignment shrinkToFit="0" wrapText="1"/>
    </xf>
    <xf borderId="0" fillId="0" fontId="26" numFmtId="0" xfId="0" applyAlignment="1" applyFont="1">
      <alignment shrinkToFit="0" wrapText="1"/>
    </xf>
    <xf borderId="0" fillId="0" fontId="26" numFmtId="49" xfId="0" applyAlignment="1" applyFont="1" applyNumberFormat="1">
      <alignment shrinkToFit="0" wrapText="1"/>
    </xf>
    <xf borderId="0" fillId="0" fontId="2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avydutydepot.com/product/lo-vejoy-68514437937-l225-coupling-hub-with-splin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ydraulicsdirect.com/SS-6400-Stainless-Steel-SAE-O-Ring-Boss-p/ss-6400.ht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9.86"/>
    <col customWidth="1" min="2" max="2" width="19.29"/>
    <col customWidth="1" min="3" max="3" width="10.14"/>
    <col customWidth="1" min="4" max="4" width="9.86"/>
    <col customWidth="1" min="5" max="5" width="27.29"/>
    <col customWidth="1" min="6" max="6" width="20.71"/>
    <col customWidth="1" min="7" max="7" width="23.29"/>
    <col customWidth="1" min="8" max="8" width="13.29"/>
    <col customWidth="1" min="9" max="9" width="30.86"/>
    <col customWidth="1" min="10" max="11" width="11.29"/>
    <col customWidth="1" min="12" max="14" width="13.29"/>
    <col customWidth="1" min="15" max="26" width="14.29"/>
  </cols>
  <sheetData>
    <row r="1" ht="12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10</v>
      </c>
      <c r="B2" s="4">
        <f>SUM(D3:D203)</f>
        <v>5528.61</v>
      </c>
      <c r="C2" s="3"/>
      <c r="D2" s="7"/>
      <c r="E2" s="5"/>
      <c r="F2" s="5"/>
      <c r="G2" s="6"/>
      <c r="H2" s="5"/>
      <c r="I2" s="5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 t="s">
        <v>11</v>
      </c>
      <c r="B3" s="4">
        <f>SUM(D4:D10)</f>
        <v>602.85</v>
      </c>
      <c r="C3" s="3"/>
      <c r="D3" s="7"/>
      <c r="E3" s="5"/>
      <c r="F3" s="5"/>
      <c r="G3" s="6"/>
      <c r="H3" s="5"/>
      <c r="I3" s="5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9" t="s">
        <v>12</v>
      </c>
      <c r="B4" s="10">
        <v>8.95</v>
      </c>
      <c r="C4" s="7">
        <v>20.0</v>
      </c>
      <c r="D4" s="11">
        <f>C4*B4</f>
        <v>179</v>
      </c>
      <c r="E4" s="12">
        <v>45631.0</v>
      </c>
      <c r="F4" s="13" t="s">
        <v>13</v>
      </c>
      <c r="G4" s="14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0" customHeight="1">
      <c r="A5" s="15" t="s">
        <v>14</v>
      </c>
      <c r="B5" s="10">
        <v>4.56</v>
      </c>
      <c r="C5" s="16">
        <v>20.0</v>
      </c>
      <c r="D5" s="17">
        <f t="shared" ref="D5:D6" si="1">B5*C5</f>
        <v>91.2</v>
      </c>
      <c r="E5" s="12">
        <v>45631.0</v>
      </c>
      <c r="F5" s="13" t="s">
        <v>13</v>
      </c>
      <c r="G5" s="18"/>
      <c r="H5" s="16"/>
      <c r="I5" s="1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>
      <c r="A6" s="15" t="s">
        <v>15</v>
      </c>
      <c r="B6" s="10">
        <v>3.12</v>
      </c>
      <c r="C6" s="16">
        <v>20.0</v>
      </c>
      <c r="D6" s="17">
        <f t="shared" si="1"/>
        <v>62.4</v>
      </c>
      <c r="E6" s="12">
        <v>45631.0</v>
      </c>
      <c r="F6" s="13" t="s">
        <v>13</v>
      </c>
      <c r="G6" s="18"/>
      <c r="H6" s="16"/>
      <c r="I6" s="16"/>
      <c r="J6" s="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15" t="s">
        <v>16</v>
      </c>
      <c r="B7" s="10">
        <v>3.77</v>
      </c>
      <c r="C7" s="16">
        <v>25.0</v>
      </c>
      <c r="D7" s="17">
        <v>94.25</v>
      </c>
      <c r="E7" s="12">
        <v>45700.0</v>
      </c>
      <c r="F7" s="13" t="s">
        <v>17</v>
      </c>
      <c r="G7" s="14" t="s">
        <v>18</v>
      </c>
      <c r="H7" s="16"/>
      <c r="I7" s="16"/>
      <c r="J7" s="1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15" t="s">
        <v>19</v>
      </c>
      <c r="B8" s="10">
        <v>3.3</v>
      </c>
      <c r="C8" s="16">
        <v>20.0</v>
      </c>
      <c r="D8" s="17">
        <f t="shared" ref="D8:D17" si="2">B8*C8</f>
        <v>66</v>
      </c>
      <c r="E8" s="12">
        <v>45670.0</v>
      </c>
      <c r="F8" s="13" t="s">
        <v>17</v>
      </c>
      <c r="G8" s="19" t="s">
        <v>20</v>
      </c>
      <c r="H8" s="16"/>
      <c r="I8" s="16"/>
      <c r="J8" s="1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15" t="s">
        <v>19</v>
      </c>
      <c r="B9" s="10">
        <v>3.3</v>
      </c>
      <c r="C9" s="16">
        <v>20.0</v>
      </c>
      <c r="D9" s="17">
        <f t="shared" si="2"/>
        <v>66</v>
      </c>
      <c r="E9" s="12"/>
      <c r="F9" s="13" t="s">
        <v>17</v>
      </c>
      <c r="G9" s="19" t="s">
        <v>20</v>
      </c>
      <c r="H9" s="16"/>
      <c r="I9" s="16"/>
      <c r="J9" s="1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20" t="s">
        <v>21</v>
      </c>
      <c r="B10" s="10">
        <v>2.2</v>
      </c>
      <c r="C10" s="16">
        <v>20.0</v>
      </c>
      <c r="D10" s="17">
        <f t="shared" si="2"/>
        <v>44</v>
      </c>
      <c r="E10" s="12">
        <v>45670.0</v>
      </c>
      <c r="F10" s="13" t="s">
        <v>17</v>
      </c>
      <c r="G10" s="19" t="s">
        <v>22</v>
      </c>
      <c r="H10" s="16"/>
      <c r="I10" s="16"/>
      <c r="J10" s="1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20" t="s">
        <v>23</v>
      </c>
      <c r="B11" s="20">
        <v>12.07</v>
      </c>
      <c r="C11" s="16">
        <v>4.0</v>
      </c>
      <c r="D11" s="17">
        <f t="shared" si="2"/>
        <v>48.28</v>
      </c>
      <c r="E11" s="12">
        <v>45670.0</v>
      </c>
      <c r="F11" s="13" t="s">
        <v>17</v>
      </c>
      <c r="G11" s="19" t="s">
        <v>24</v>
      </c>
      <c r="H11" s="21"/>
      <c r="I11" s="16"/>
      <c r="J11" s="1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5" t="s">
        <v>25</v>
      </c>
      <c r="B12" s="10">
        <v>4.15</v>
      </c>
      <c r="C12" s="16">
        <v>4.0</v>
      </c>
      <c r="D12" s="17">
        <f t="shared" si="2"/>
        <v>16.6</v>
      </c>
      <c r="E12" s="22">
        <v>45706.0</v>
      </c>
      <c r="F12" s="16" t="s">
        <v>26</v>
      </c>
      <c r="G12" s="19" t="s">
        <v>27</v>
      </c>
      <c r="H12" s="21"/>
      <c r="I12" s="16"/>
      <c r="J12" s="1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5" t="s">
        <v>28</v>
      </c>
      <c r="B13" s="10">
        <v>8.54</v>
      </c>
      <c r="C13" s="16">
        <v>1.0</v>
      </c>
      <c r="D13" s="17">
        <f t="shared" si="2"/>
        <v>8.54</v>
      </c>
      <c r="E13" s="22"/>
      <c r="F13" s="16" t="s">
        <v>29</v>
      </c>
      <c r="G13" s="14" t="s">
        <v>30</v>
      </c>
      <c r="H13" s="21"/>
      <c r="I13" s="16"/>
      <c r="J13" s="1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5" t="s">
        <v>31</v>
      </c>
      <c r="B14" s="10">
        <v>3.56</v>
      </c>
      <c r="C14" s="16">
        <v>3.0</v>
      </c>
      <c r="D14" s="17">
        <f t="shared" si="2"/>
        <v>10.68</v>
      </c>
      <c r="E14" s="22">
        <v>45706.0</v>
      </c>
      <c r="F14" s="16" t="s">
        <v>26</v>
      </c>
      <c r="G14" s="19" t="s">
        <v>32</v>
      </c>
      <c r="H14" s="21"/>
      <c r="I14" s="16"/>
      <c r="J14" s="1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5" t="s">
        <v>33</v>
      </c>
      <c r="B15" s="10">
        <v>12.57</v>
      </c>
      <c r="C15" s="16">
        <v>1.0</v>
      </c>
      <c r="D15" s="17">
        <f t="shared" si="2"/>
        <v>12.57</v>
      </c>
      <c r="E15" s="22"/>
      <c r="F15" s="16" t="s">
        <v>29</v>
      </c>
      <c r="G15" s="14" t="s">
        <v>34</v>
      </c>
      <c r="H15" s="21"/>
      <c r="I15" s="16"/>
      <c r="J15" s="1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5" t="s">
        <v>35</v>
      </c>
      <c r="B16" s="10">
        <v>10.55</v>
      </c>
      <c r="C16" s="16">
        <v>1.0</v>
      </c>
      <c r="D16" s="17">
        <f t="shared" si="2"/>
        <v>10.55</v>
      </c>
      <c r="E16" s="22"/>
      <c r="F16" s="16" t="s">
        <v>29</v>
      </c>
      <c r="G16" s="19" t="s">
        <v>36</v>
      </c>
      <c r="H16" s="21"/>
      <c r="I16" s="16"/>
      <c r="J16" s="1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23" t="s">
        <v>21</v>
      </c>
      <c r="B17" s="24">
        <v>2.27</v>
      </c>
      <c r="C17" s="25">
        <v>5.0</v>
      </c>
      <c r="D17" s="17">
        <f t="shared" si="2"/>
        <v>11.35</v>
      </c>
      <c r="E17" s="26">
        <v>46095.0</v>
      </c>
      <c r="F17" s="16" t="s">
        <v>29</v>
      </c>
      <c r="G17" s="27" t="s">
        <v>22</v>
      </c>
      <c r="H17" s="21"/>
      <c r="I17" s="16"/>
      <c r="J17" s="1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B18" s="10"/>
      <c r="C18" s="16"/>
      <c r="D18" s="17"/>
      <c r="E18" s="22"/>
      <c r="F18" s="13"/>
      <c r="G18" s="19"/>
      <c r="H18" s="21"/>
      <c r="I18" s="16"/>
      <c r="J18" s="1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8" t="s">
        <v>37</v>
      </c>
      <c r="B19" s="4">
        <f>SUM(D20:D24)</f>
        <v>203.2</v>
      </c>
      <c r="C19" s="3"/>
      <c r="D19" s="7"/>
      <c r="E19" s="5"/>
      <c r="F19" s="5"/>
      <c r="G19" s="6"/>
      <c r="H19" s="5"/>
      <c r="I19" s="5"/>
      <c r="J19" s="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5" t="s">
        <v>38</v>
      </c>
      <c r="B20" s="10">
        <v>7.61</v>
      </c>
      <c r="C20" s="16">
        <v>2.0</v>
      </c>
      <c r="D20" s="17">
        <f t="shared" ref="D20:D23" si="3">B20*C20</f>
        <v>15.22</v>
      </c>
      <c r="E20" s="12">
        <v>45631.0</v>
      </c>
      <c r="F20" s="13" t="s">
        <v>13</v>
      </c>
      <c r="G20" s="18"/>
      <c r="H20" s="16"/>
      <c r="I20" s="16"/>
      <c r="J20" s="1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5" t="s">
        <v>39</v>
      </c>
      <c r="B21" s="10">
        <v>9.1</v>
      </c>
      <c r="C21" s="16">
        <v>8.0</v>
      </c>
      <c r="D21" s="17">
        <f t="shared" si="3"/>
        <v>72.8</v>
      </c>
      <c r="E21" s="12">
        <v>45631.0</v>
      </c>
      <c r="F21" s="13" t="s">
        <v>13</v>
      </c>
      <c r="G21" s="18"/>
      <c r="H21" s="16"/>
      <c r="I21" s="16"/>
      <c r="J21" s="1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5" t="s">
        <v>40</v>
      </c>
      <c r="B22" s="10">
        <v>21.34</v>
      </c>
      <c r="C22" s="16">
        <v>2.0</v>
      </c>
      <c r="D22" s="17">
        <f t="shared" si="3"/>
        <v>42.68</v>
      </c>
      <c r="E22" s="12">
        <v>45631.0</v>
      </c>
      <c r="F22" s="13" t="s">
        <v>13</v>
      </c>
      <c r="G22" s="18"/>
      <c r="H22" s="16"/>
      <c r="I22" s="16"/>
      <c r="J22" s="1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28" t="s">
        <v>41</v>
      </c>
      <c r="B23" s="24">
        <v>72.5</v>
      </c>
      <c r="C23" s="25">
        <v>1.0</v>
      </c>
      <c r="D23" s="17">
        <f t="shared" si="3"/>
        <v>72.5</v>
      </c>
      <c r="E23" s="29">
        <v>46171.0</v>
      </c>
      <c r="F23" s="13" t="s">
        <v>13</v>
      </c>
      <c r="G23" s="27" t="s">
        <v>42</v>
      </c>
      <c r="H23" s="30"/>
      <c r="I23" s="16"/>
      <c r="J23" s="1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5"/>
      <c r="B24" s="10"/>
      <c r="C24" s="16"/>
      <c r="D24" s="17"/>
      <c r="E24" s="22"/>
      <c r="F24" s="16"/>
      <c r="G24" s="18"/>
      <c r="H24" s="16"/>
      <c r="I24" s="16"/>
      <c r="J24" s="1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8" t="s">
        <v>43</v>
      </c>
      <c r="B25" s="4">
        <f>SUM(D26:D43)</f>
        <v>476.8</v>
      </c>
      <c r="C25" s="3"/>
      <c r="D25" s="7"/>
      <c r="E25" s="5"/>
      <c r="F25" s="5"/>
      <c r="G25" s="6"/>
      <c r="H25" s="5"/>
      <c r="I25" s="5"/>
      <c r="J25" s="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9" t="s">
        <v>44</v>
      </c>
      <c r="B26" s="10">
        <v>250.0</v>
      </c>
      <c r="C26" s="7">
        <v>1.0</v>
      </c>
      <c r="D26" s="11">
        <f>C26*B26</f>
        <v>250</v>
      </c>
      <c r="E26" s="12">
        <v>45142.0</v>
      </c>
      <c r="F26" s="13" t="s">
        <v>45</v>
      </c>
      <c r="G26" s="14" t="s">
        <v>46</v>
      </c>
      <c r="H26" s="7" t="s">
        <v>46</v>
      </c>
      <c r="I26" s="7"/>
      <c r="J26" s="7" t="s">
        <v>47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5" t="s">
        <v>48</v>
      </c>
      <c r="B27" s="10">
        <v>0.0</v>
      </c>
      <c r="C27" s="16">
        <v>1.0</v>
      </c>
      <c r="D27" s="17">
        <f t="shared" ref="D27:D40" si="4">B27*C27</f>
        <v>0</v>
      </c>
      <c r="E27" s="12">
        <v>45142.0</v>
      </c>
      <c r="F27" s="16" t="s">
        <v>49</v>
      </c>
      <c r="G27" s="18"/>
      <c r="H27" s="16"/>
      <c r="I27" s="16"/>
      <c r="J27" s="7" t="s">
        <v>47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5" t="s">
        <v>50</v>
      </c>
      <c r="B28" s="10">
        <v>8.02</v>
      </c>
      <c r="C28" s="16">
        <v>1.0</v>
      </c>
      <c r="D28" s="17">
        <f t="shared" si="4"/>
        <v>8.02</v>
      </c>
      <c r="E28" s="22">
        <v>45394.0</v>
      </c>
      <c r="F28" s="16" t="s">
        <v>51</v>
      </c>
      <c r="G28" s="18"/>
      <c r="H28" s="16"/>
      <c r="I28" s="16"/>
      <c r="J28" s="1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5" t="s">
        <v>52</v>
      </c>
      <c r="B29" s="10">
        <v>2.36</v>
      </c>
      <c r="C29" s="16">
        <v>1.0</v>
      </c>
      <c r="D29" s="17">
        <f t="shared" si="4"/>
        <v>2.36</v>
      </c>
      <c r="E29" s="22">
        <v>45394.0</v>
      </c>
      <c r="F29" s="16" t="s">
        <v>26</v>
      </c>
      <c r="G29" s="18"/>
      <c r="H29" s="16"/>
      <c r="I29" s="16"/>
      <c r="J29" s="1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5" t="s">
        <v>53</v>
      </c>
      <c r="B30" s="10">
        <v>2.28</v>
      </c>
      <c r="C30" s="16">
        <v>2.0</v>
      </c>
      <c r="D30" s="17">
        <f t="shared" si="4"/>
        <v>4.56</v>
      </c>
      <c r="E30" s="22">
        <v>45394.0</v>
      </c>
      <c r="F30" s="16" t="s">
        <v>26</v>
      </c>
      <c r="G30" s="18"/>
      <c r="H30" s="16"/>
      <c r="I30" s="16"/>
      <c r="J30" s="1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5" t="s">
        <v>54</v>
      </c>
      <c r="B31" s="10">
        <v>2.24</v>
      </c>
      <c r="C31" s="16">
        <v>1.0</v>
      </c>
      <c r="D31" s="17">
        <f t="shared" si="4"/>
        <v>2.24</v>
      </c>
      <c r="E31" s="22">
        <v>45394.0</v>
      </c>
      <c r="F31" s="16" t="s">
        <v>26</v>
      </c>
      <c r="G31" s="18"/>
      <c r="H31" s="16"/>
      <c r="I31" s="16"/>
      <c r="J31" s="16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5" t="s">
        <v>55</v>
      </c>
      <c r="B32" s="10">
        <f>123.25+33.5</f>
        <v>156.75</v>
      </c>
      <c r="C32" s="16">
        <v>1.0</v>
      </c>
      <c r="D32" s="17">
        <f t="shared" si="4"/>
        <v>156.75</v>
      </c>
      <c r="E32" s="22">
        <v>45394.0</v>
      </c>
      <c r="F32" s="16" t="s">
        <v>51</v>
      </c>
      <c r="G32" s="18"/>
      <c r="H32" s="16"/>
      <c r="I32" s="16"/>
      <c r="J32" s="16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5" t="s">
        <v>56</v>
      </c>
      <c r="B33" s="10">
        <v>11.99</v>
      </c>
      <c r="C33" s="16">
        <v>1.0</v>
      </c>
      <c r="D33" s="17">
        <f t="shared" si="4"/>
        <v>11.99</v>
      </c>
      <c r="E33" s="22">
        <v>45394.0</v>
      </c>
      <c r="F33" s="16" t="s">
        <v>51</v>
      </c>
      <c r="G33" s="18"/>
      <c r="H33" s="16"/>
      <c r="I33" s="16"/>
      <c r="J33" s="1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5" t="s">
        <v>48</v>
      </c>
      <c r="B34" s="10">
        <v>0.0</v>
      </c>
      <c r="C34" s="16">
        <v>1.0</v>
      </c>
      <c r="D34" s="17">
        <f t="shared" si="4"/>
        <v>0</v>
      </c>
      <c r="E34" s="12">
        <v>45142.0</v>
      </c>
      <c r="F34" s="16" t="s">
        <v>49</v>
      </c>
      <c r="G34" s="18"/>
      <c r="H34" s="16"/>
      <c r="I34" s="16"/>
      <c r="J34" s="7" t="s">
        <v>47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5" t="s">
        <v>57</v>
      </c>
      <c r="B35" s="10">
        <v>9.38</v>
      </c>
      <c r="C35" s="16">
        <v>1.0</v>
      </c>
      <c r="D35" s="17">
        <f t="shared" si="4"/>
        <v>9.38</v>
      </c>
      <c r="E35" s="22">
        <v>45394.0</v>
      </c>
      <c r="F35" s="16" t="s">
        <v>51</v>
      </c>
      <c r="G35" s="18"/>
      <c r="H35" s="16"/>
      <c r="I35" s="16"/>
      <c r="J35" s="1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5" t="s">
        <v>50</v>
      </c>
      <c r="B36" s="10">
        <v>8.02</v>
      </c>
      <c r="C36" s="16">
        <v>1.0</v>
      </c>
      <c r="D36" s="17">
        <f t="shared" si="4"/>
        <v>8.02</v>
      </c>
      <c r="E36" s="22">
        <v>45394.0</v>
      </c>
      <c r="F36" s="16" t="s">
        <v>51</v>
      </c>
      <c r="G36" s="18"/>
      <c r="H36" s="16"/>
      <c r="I36" s="16"/>
      <c r="J36" s="1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5" t="s">
        <v>58</v>
      </c>
      <c r="B37" s="10">
        <v>8.22</v>
      </c>
      <c r="C37" s="16">
        <v>1.0</v>
      </c>
      <c r="D37" s="17">
        <f t="shared" si="4"/>
        <v>8.22</v>
      </c>
      <c r="E37" s="22">
        <v>45394.0</v>
      </c>
      <c r="F37" s="16" t="s">
        <v>51</v>
      </c>
      <c r="G37" s="18"/>
      <c r="H37" s="16"/>
      <c r="I37" s="16"/>
      <c r="J37" s="16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5" t="s">
        <v>52</v>
      </c>
      <c r="B38" s="10">
        <v>2.36</v>
      </c>
      <c r="C38" s="16">
        <v>1.0</v>
      </c>
      <c r="D38" s="17">
        <f t="shared" si="4"/>
        <v>2.36</v>
      </c>
      <c r="E38" s="22">
        <v>45394.0</v>
      </c>
      <c r="F38" s="16" t="s">
        <v>26</v>
      </c>
      <c r="G38" s="18"/>
      <c r="H38" s="16"/>
      <c r="I38" s="16"/>
      <c r="J38" s="1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5" t="s">
        <v>54</v>
      </c>
      <c r="B39" s="10">
        <v>2.24</v>
      </c>
      <c r="C39" s="16">
        <v>1.0</v>
      </c>
      <c r="D39" s="17">
        <f t="shared" si="4"/>
        <v>2.24</v>
      </c>
      <c r="E39" s="22">
        <v>45411.0</v>
      </c>
      <c r="F39" s="16" t="s">
        <v>26</v>
      </c>
      <c r="G39" s="18"/>
      <c r="H39" s="16"/>
      <c r="I39" s="16"/>
      <c r="J39" s="16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5" t="s">
        <v>59</v>
      </c>
      <c r="B40" s="10">
        <v>4.2</v>
      </c>
      <c r="C40" s="16">
        <v>1.0</v>
      </c>
      <c r="D40" s="17">
        <f t="shared" si="4"/>
        <v>4.2</v>
      </c>
      <c r="E40" s="22">
        <v>45405.0</v>
      </c>
      <c r="F40" s="16" t="s">
        <v>26</v>
      </c>
      <c r="G40" s="14" t="s">
        <v>60</v>
      </c>
      <c r="H40" s="16"/>
      <c r="I40" s="16"/>
      <c r="J40" s="16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5" t="s">
        <v>61</v>
      </c>
      <c r="B41" s="31">
        <v>3.45</v>
      </c>
      <c r="C41" s="7">
        <v>1.0</v>
      </c>
      <c r="D41" s="11">
        <f t="shared" ref="D41:D42" si="5">C41*B41</f>
        <v>3.45</v>
      </c>
      <c r="E41" s="22">
        <v>45329.0</v>
      </c>
      <c r="F41" s="16" t="s">
        <v>62</v>
      </c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15" t="s">
        <v>63</v>
      </c>
      <c r="B42" s="10">
        <v>3.01</v>
      </c>
      <c r="C42" s="16">
        <v>1.0</v>
      </c>
      <c r="D42" s="11">
        <f t="shared" si="5"/>
        <v>3.01</v>
      </c>
      <c r="E42" s="22">
        <v>45405.0</v>
      </c>
      <c r="F42" s="16" t="s">
        <v>26</v>
      </c>
      <c r="G42" s="14" t="s">
        <v>64</v>
      </c>
      <c r="H42" s="16"/>
      <c r="I42" s="16"/>
      <c r="J42" s="16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0" customHeight="1">
      <c r="A43" s="15"/>
      <c r="B43" s="10"/>
      <c r="C43" s="16"/>
      <c r="D43" s="17"/>
      <c r="E43" s="7"/>
      <c r="F43" s="16"/>
      <c r="G43" s="18"/>
      <c r="H43" s="16"/>
      <c r="I43" s="16"/>
      <c r="J43" s="16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8" t="s">
        <v>65</v>
      </c>
      <c r="B44" s="4">
        <f>SUM(D45:D52)</f>
        <v>22.77</v>
      </c>
      <c r="C44" s="3"/>
      <c r="D44" s="7"/>
      <c r="E44" s="5"/>
      <c r="F44" s="5"/>
      <c r="G44" s="6"/>
      <c r="H44" s="5"/>
      <c r="I44" s="5"/>
      <c r="J44" s="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9" t="s">
        <v>66</v>
      </c>
      <c r="B45" s="10">
        <v>0.0</v>
      </c>
      <c r="C45" s="7">
        <v>1.0</v>
      </c>
      <c r="D45" s="17">
        <f t="shared" ref="D45:D51" si="6">B45*C45</f>
        <v>0</v>
      </c>
      <c r="E45" s="12">
        <v>45142.0</v>
      </c>
      <c r="F45" s="13" t="s">
        <v>49</v>
      </c>
      <c r="G45" s="14"/>
      <c r="H45" s="7"/>
      <c r="I45" s="7"/>
      <c r="J45" s="7" t="s">
        <v>47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0" customHeight="1">
      <c r="A46" s="15" t="s">
        <v>67</v>
      </c>
      <c r="B46" s="10">
        <v>6.02</v>
      </c>
      <c r="C46" s="16">
        <v>1.0</v>
      </c>
      <c r="D46" s="17">
        <f t="shared" si="6"/>
        <v>6.02</v>
      </c>
      <c r="E46" s="22">
        <v>45394.0</v>
      </c>
      <c r="F46" s="16" t="s">
        <v>51</v>
      </c>
      <c r="G46" s="18"/>
      <c r="H46" s="16"/>
      <c r="I46" s="16"/>
      <c r="J46" s="16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0" customHeight="1">
      <c r="A47" s="15" t="s">
        <v>68</v>
      </c>
      <c r="B47" s="10">
        <v>3.38</v>
      </c>
      <c r="C47" s="16">
        <v>1.0</v>
      </c>
      <c r="D47" s="17">
        <f t="shared" si="6"/>
        <v>3.38</v>
      </c>
      <c r="E47" s="12">
        <v>45425.0</v>
      </c>
      <c r="F47" s="16" t="s">
        <v>51</v>
      </c>
      <c r="G47" s="18"/>
      <c r="H47" s="16"/>
      <c r="I47" s="16"/>
      <c r="J47" s="16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0" customHeight="1">
      <c r="A48" s="15" t="s">
        <v>69</v>
      </c>
      <c r="B48" s="10">
        <v>2.37</v>
      </c>
      <c r="C48" s="16">
        <v>1.0</v>
      </c>
      <c r="D48" s="17">
        <f t="shared" si="6"/>
        <v>2.37</v>
      </c>
      <c r="E48" s="22">
        <v>45394.0</v>
      </c>
      <c r="F48" s="16" t="s">
        <v>26</v>
      </c>
      <c r="G48" s="18"/>
      <c r="H48" s="16"/>
      <c r="I48" s="16"/>
      <c r="J48" s="16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0" customHeight="1">
      <c r="A49" s="15" t="s">
        <v>70</v>
      </c>
      <c r="B49" s="10">
        <v>3.54</v>
      </c>
      <c r="C49" s="16">
        <v>2.0</v>
      </c>
      <c r="D49" s="17">
        <f t="shared" si="6"/>
        <v>7.08</v>
      </c>
      <c r="E49" s="22">
        <v>45394.0</v>
      </c>
      <c r="F49" s="16" t="s">
        <v>26</v>
      </c>
      <c r="G49" s="18"/>
      <c r="H49" s="16"/>
      <c r="I49" s="16"/>
      <c r="J49" s="16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0" customHeight="1">
      <c r="A50" s="15" t="s">
        <v>71</v>
      </c>
      <c r="B50" s="10">
        <v>1.64</v>
      </c>
      <c r="C50" s="16">
        <v>1.0</v>
      </c>
      <c r="D50" s="17">
        <f t="shared" si="6"/>
        <v>1.64</v>
      </c>
      <c r="E50" s="22">
        <v>45394.0</v>
      </c>
      <c r="F50" s="16" t="s">
        <v>26</v>
      </c>
      <c r="G50" s="18"/>
      <c r="H50" s="16"/>
      <c r="I50" s="16"/>
      <c r="J50" s="16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0" customHeight="1">
      <c r="A51" s="15" t="s">
        <v>53</v>
      </c>
      <c r="B51" s="10">
        <v>2.28</v>
      </c>
      <c r="C51" s="16">
        <v>1.0</v>
      </c>
      <c r="D51" s="17">
        <f t="shared" si="6"/>
        <v>2.28</v>
      </c>
      <c r="E51" s="22">
        <v>45394.0</v>
      </c>
      <c r="F51" s="16" t="s">
        <v>26</v>
      </c>
      <c r="G51" s="18"/>
      <c r="H51" s="16"/>
      <c r="I51" s="16"/>
      <c r="J51" s="16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9"/>
      <c r="B52" s="10"/>
      <c r="C52" s="7"/>
      <c r="D52" s="11"/>
      <c r="E52" s="12"/>
      <c r="F52" s="13"/>
      <c r="G52" s="14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8" t="s">
        <v>72</v>
      </c>
      <c r="B53" s="4">
        <f>SUM(D54:D61)</f>
        <v>952.15</v>
      </c>
      <c r="C53" s="3"/>
      <c r="D53" s="7"/>
      <c r="E53" s="5"/>
      <c r="F53" s="5"/>
      <c r="G53" s="6"/>
      <c r="H53" s="5"/>
      <c r="I53" s="5"/>
      <c r="J53" s="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32" t="s">
        <v>73</v>
      </c>
      <c r="B54" s="10">
        <v>586.5</v>
      </c>
      <c r="C54" s="7">
        <v>1.0</v>
      </c>
      <c r="D54" s="11">
        <f t="shared" ref="D54:D56" si="7">C54*B54</f>
        <v>586.5</v>
      </c>
      <c r="E54" s="12">
        <v>45142.0</v>
      </c>
      <c r="F54" s="13" t="s">
        <v>74</v>
      </c>
      <c r="G54" s="14"/>
      <c r="H54" s="7" t="s">
        <v>75</v>
      </c>
      <c r="I54" s="13" t="s">
        <v>76</v>
      </c>
      <c r="J54" s="7" t="s">
        <v>47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32" t="s">
        <v>77</v>
      </c>
      <c r="B55" s="10">
        <v>319.5</v>
      </c>
      <c r="C55" s="7">
        <v>1.0</v>
      </c>
      <c r="D55" s="11">
        <f t="shared" si="7"/>
        <v>319.5</v>
      </c>
      <c r="E55" s="12">
        <v>45142.0</v>
      </c>
      <c r="F55" s="13" t="s">
        <v>78</v>
      </c>
      <c r="G55" s="14" t="s">
        <v>79</v>
      </c>
      <c r="H55" s="22"/>
      <c r="I55" s="13"/>
      <c r="J55" s="7" t="s">
        <v>47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5" t="s">
        <v>80</v>
      </c>
      <c r="B56" s="10">
        <v>18.09</v>
      </c>
      <c r="C56" s="16">
        <v>1.0</v>
      </c>
      <c r="D56" s="11">
        <f t="shared" si="7"/>
        <v>18.09</v>
      </c>
      <c r="E56" s="22">
        <v>45329.0</v>
      </c>
      <c r="F56" s="16" t="s">
        <v>26</v>
      </c>
      <c r="G56" s="14"/>
      <c r="H56" s="16" t="s">
        <v>81</v>
      </c>
      <c r="I56" s="7" t="s">
        <v>82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0" customHeight="1">
      <c r="A57" s="15" t="s">
        <v>83</v>
      </c>
      <c r="B57" s="10">
        <v>3.88</v>
      </c>
      <c r="C57" s="16">
        <v>1.0</v>
      </c>
      <c r="D57" s="17">
        <f t="shared" ref="D57:D60" si="8">B57*C57</f>
        <v>3.88</v>
      </c>
      <c r="E57" s="22">
        <v>45394.0</v>
      </c>
      <c r="F57" s="16" t="s">
        <v>26</v>
      </c>
      <c r="G57" s="18"/>
      <c r="H57" s="16"/>
      <c r="I57" s="16"/>
      <c r="J57" s="16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0" customHeight="1">
      <c r="A58" s="15" t="s">
        <v>53</v>
      </c>
      <c r="B58" s="10">
        <v>2.28</v>
      </c>
      <c r="C58" s="16">
        <v>1.0</v>
      </c>
      <c r="D58" s="17">
        <f t="shared" si="8"/>
        <v>2.28</v>
      </c>
      <c r="E58" s="22">
        <v>45394.0</v>
      </c>
      <c r="F58" s="16" t="s">
        <v>26</v>
      </c>
      <c r="G58" s="18"/>
      <c r="H58" s="16"/>
      <c r="I58" s="16"/>
      <c r="J58" s="16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0" customHeight="1">
      <c r="A59" s="15" t="s">
        <v>84</v>
      </c>
      <c r="B59" s="10">
        <v>1.92</v>
      </c>
      <c r="C59" s="16">
        <v>1.0</v>
      </c>
      <c r="D59" s="17">
        <f t="shared" si="8"/>
        <v>1.92</v>
      </c>
      <c r="E59" s="22">
        <v>45394.0</v>
      </c>
      <c r="F59" s="16" t="s">
        <v>26</v>
      </c>
      <c r="G59" s="18"/>
      <c r="H59" s="16"/>
      <c r="I59" s="16"/>
      <c r="J59" s="16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0" customHeight="1">
      <c r="A60" s="15" t="s">
        <v>85</v>
      </c>
      <c r="B60" s="10">
        <v>9.99</v>
      </c>
      <c r="C60" s="16">
        <v>2.0</v>
      </c>
      <c r="D60" s="17">
        <f t="shared" si="8"/>
        <v>19.98</v>
      </c>
      <c r="E60" s="12">
        <v>45425.0</v>
      </c>
      <c r="F60" s="16" t="s">
        <v>51</v>
      </c>
      <c r="G60" s="14" t="s">
        <v>86</v>
      </c>
      <c r="H60" s="7" t="s">
        <v>87</v>
      </c>
      <c r="I60" s="7" t="s">
        <v>88</v>
      </c>
      <c r="J60" s="16" t="s">
        <v>89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32"/>
      <c r="B61" s="10"/>
      <c r="C61" s="7"/>
      <c r="D61" s="11"/>
      <c r="E61" s="12"/>
      <c r="F61" s="13"/>
      <c r="G61" s="14"/>
      <c r="H61" s="22"/>
      <c r="I61" s="1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33" t="s">
        <v>90</v>
      </c>
      <c r="B62" s="4">
        <f>SUM(D63:D68)</f>
        <v>208.22</v>
      </c>
      <c r="C62" s="7"/>
      <c r="D62" s="11"/>
      <c r="E62" s="12"/>
      <c r="F62" s="13"/>
      <c r="G62" s="14"/>
      <c r="H62" s="22"/>
      <c r="I62" s="13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32" t="s">
        <v>91</v>
      </c>
      <c r="B63" s="10">
        <v>204.5</v>
      </c>
      <c r="C63" s="7">
        <v>1.0</v>
      </c>
      <c r="D63" s="11">
        <f t="shared" ref="D63:D66" si="9">C63*B63</f>
        <v>204.5</v>
      </c>
      <c r="E63" s="12">
        <v>45142.0</v>
      </c>
      <c r="F63" s="13" t="s">
        <v>78</v>
      </c>
      <c r="G63" s="14" t="s">
        <v>92</v>
      </c>
      <c r="H63" s="22"/>
      <c r="I63" s="13"/>
      <c r="J63" s="7" t="s">
        <v>47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32" t="s">
        <v>93</v>
      </c>
      <c r="B64" s="10">
        <v>1.86</v>
      </c>
      <c r="C64" s="7">
        <v>2.0</v>
      </c>
      <c r="D64" s="11">
        <f t="shared" si="9"/>
        <v>3.72</v>
      </c>
      <c r="E64" s="22">
        <v>45394.0</v>
      </c>
      <c r="F64" s="13" t="s">
        <v>26</v>
      </c>
      <c r="G64" s="14"/>
      <c r="H64" s="22"/>
      <c r="I64" s="13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32" t="s">
        <v>94</v>
      </c>
      <c r="B65" s="10">
        <v>0.0</v>
      </c>
      <c r="C65" s="7">
        <v>2.0</v>
      </c>
      <c r="D65" s="11">
        <f t="shared" si="9"/>
        <v>0</v>
      </c>
      <c r="E65" s="12">
        <v>45142.0</v>
      </c>
      <c r="F65" s="13" t="s">
        <v>78</v>
      </c>
      <c r="G65" s="14" t="s">
        <v>95</v>
      </c>
      <c r="H65" s="22"/>
      <c r="I65" s="13"/>
      <c r="J65" s="7" t="s">
        <v>47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32" t="s">
        <v>96</v>
      </c>
      <c r="B66" s="10">
        <v>0.0</v>
      </c>
      <c r="C66" s="7">
        <v>2.0</v>
      </c>
      <c r="D66" s="11">
        <f t="shared" si="9"/>
        <v>0</v>
      </c>
      <c r="E66" s="12">
        <v>45142.0</v>
      </c>
      <c r="F66" s="13" t="s">
        <v>78</v>
      </c>
      <c r="G66" s="14"/>
      <c r="H66" s="22"/>
      <c r="I66" s="13"/>
      <c r="J66" s="7" t="s">
        <v>47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32"/>
      <c r="B67" s="10"/>
      <c r="C67" s="7"/>
      <c r="D67" s="11"/>
      <c r="E67" s="12"/>
      <c r="F67" s="13"/>
      <c r="G67" s="14"/>
      <c r="H67" s="22"/>
      <c r="I67" s="13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32"/>
      <c r="B68" s="10"/>
      <c r="C68" s="7"/>
      <c r="D68" s="11"/>
      <c r="E68" s="12"/>
      <c r="F68" s="13"/>
      <c r="G68" s="14"/>
      <c r="H68" s="22"/>
      <c r="I68" s="13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0" customHeight="1">
      <c r="A69" s="34" t="s">
        <v>97</v>
      </c>
      <c r="B69" s="4">
        <f>SUM(D70:D96)</f>
        <v>624.88</v>
      </c>
      <c r="C69" s="16"/>
      <c r="D69" s="11"/>
      <c r="E69" s="7"/>
      <c r="F69" s="16"/>
      <c r="G69" s="18"/>
      <c r="H69" s="16"/>
      <c r="I69" s="16"/>
      <c r="J69" s="16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0" customHeight="1">
      <c r="A70" s="15" t="s">
        <v>98</v>
      </c>
      <c r="B70" s="35">
        <v>24.18</v>
      </c>
      <c r="C70" s="16">
        <v>4.0</v>
      </c>
      <c r="D70" s="17">
        <f t="shared" ref="D70:D90" si="10">B70*C70</f>
        <v>96.72</v>
      </c>
      <c r="E70" s="22">
        <v>45394.0</v>
      </c>
      <c r="F70" s="16" t="s">
        <v>26</v>
      </c>
      <c r="G70" s="18"/>
      <c r="H70" s="16"/>
      <c r="I70" s="16"/>
      <c r="J70" s="16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0" customHeight="1">
      <c r="A71" s="15" t="s">
        <v>99</v>
      </c>
      <c r="B71" s="35">
        <v>5.36</v>
      </c>
      <c r="C71" s="16">
        <v>3.0</v>
      </c>
      <c r="D71" s="17">
        <f t="shared" si="10"/>
        <v>16.08</v>
      </c>
      <c r="E71" s="22">
        <v>45394.0</v>
      </c>
      <c r="F71" s="16" t="s">
        <v>26</v>
      </c>
      <c r="G71" s="18"/>
      <c r="H71" s="16"/>
      <c r="I71" s="16"/>
      <c r="J71" s="16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0" customHeight="1">
      <c r="A72" s="15" t="s">
        <v>69</v>
      </c>
      <c r="B72" s="35">
        <v>2.37</v>
      </c>
      <c r="C72" s="16">
        <v>3.0</v>
      </c>
      <c r="D72" s="17">
        <f t="shared" si="10"/>
        <v>7.11</v>
      </c>
      <c r="E72" s="22">
        <v>45394.0</v>
      </c>
      <c r="F72" s="16" t="s">
        <v>26</v>
      </c>
      <c r="G72" s="18"/>
      <c r="H72" s="16"/>
      <c r="I72" s="16"/>
      <c r="J72" s="16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0" customHeight="1">
      <c r="A73" s="15" t="s">
        <v>100</v>
      </c>
      <c r="B73" s="35">
        <v>2.12</v>
      </c>
      <c r="C73" s="16">
        <v>3.0</v>
      </c>
      <c r="D73" s="17">
        <f t="shared" si="10"/>
        <v>6.36</v>
      </c>
      <c r="E73" s="22">
        <v>45394.0</v>
      </c>
      <c r="F73" s="16" t="s">
        <v>26</v>
      </c>
      <c r="G73" s="18"/>
      <c r="H73" s="16"/>
      <c r="I73" s="16"/>
      <c r="J73" s="16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0" customHeight="1">
      <c r="A74" s="15" t="s">
        <v>101</v>
      </c>
      <c r="B74" s="10">
        <v>3.91</v>
      </c>
      <c r="C74" s="16">
        <v>1.0</v>
      </c>
      <c r="D74" s="17">
        <f t="shared" si="10"/>
        <v>3.91</v>
      </c>
      <c r="E74" s="22">
        <v>45394.0</v>
      </c>
      <c r="F74" s="16" t="s">
        <v>26</v>
      </c>
      <c r="G74" s="18"/>
      <c r="H74" s="16"/>
      <c r="I74" s="16"/>
      <c r="J74" s="16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0" customHeight="1">
      <c r="A75" s="15" t="s">
        <v>102</v>
      </c>
      <c r="B75" s="10">
        <v>2.91</v>
      </c>
      <c r="C75" s="16">
        <v>1.0</v>
      </c>
      <c r="D75" s="17">
        <f t="shared" si="10"/>
        <v>2.91</v>
      </c>
      <c r="E75" s="22">
        <v>45394.0</v>
      </c>
      <c r="F75" s="16" t="s">
        <v>51</v>
      </c>
      <c r="G75" s="18"/>
      <c r="H75" s="16"/>
      <c r="I75" s="16"/>
      <c r="J75" s="16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0" customHeight="1">
      <c r="A76" s="15" t="s">
        <v>103</v>
      </c>
      <c r="B76" s="10">
        <v>3.54</v>
      </c>
      <c r="C76" s="16">
        <v>1.0</v>
      </c>
      <c r="D76" s="17">
        <f t="shared" si="10"/>
        <v>3.54</v>
      </c>
      <c r="E76" s="22">
        <v>45394.0</v>
      </c>
      <c r="F76" s="16" t="s">
        <v>26</v>
      </c>
      <c r="G76" s="18"/>
      <c r="H76" s="16"/>
      <c r="I76" s="16"/>
      <c r="J76" s="16" t="s">
        <v>104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0" customHeight="1">
      <c r="A77" s="15" t="s">
        <v>83</v>
      </c>
      <c r="B77" s="10">
        <v>3.88</v>
      </c>
      <c r="C77" s="16">
        <v>1.0</v>
      </c>
      <c r="D77" s="17">
        <f t="shared" si="10"/>
        <v>3.88</v>
      </c>
      <c r="E77" s="22">
        <v>45394.0</v>
      </c>
      <c r="F77" s="16" t="s">
        <v>26</v>
      </c>
      <c r="G77" s="18"/>
      <c r="H77" s="16"/>
      <c r="I77" s="16"/>
      <c r="J77" s="16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0" customHeight="1">
      <c r="A78" s="15" t="s">
        <v>71</v>
      </c>
      <c r="B78" s="10">
        <v>1.64</v>
      </c>
      <c r="C78" s="16">
        <v>1.0</v>
      </c>
      <c r="D78" s="17">
        <f t="shared" si="10"/>
        <v>1.64</v>
      </c>
      <c r="E78" s="22">
        <v>45394.0</v>
      </c>
      <c r="F78" s="16" t="s">
        <v>26</v>
      </c>
      <c r="G78" s="18"/>
      <c r="H78" s="16"/>
      <c r="I78" s="16"/>
      <c r="J78" s="16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0" customHeight="1">
      <c r="A79" s="15" t="s">
        <v>53</v>
      </c>
      <c r="B79" s="10">
        <v>2.28</v>
      </c>
      <c r="C79" s="16">
        <v>1.0</v>
      </c>
      <c r="D79" s="17">
        <f t="shared" si="10"/>
        <v>2.28</v>
      </c>
      <c r="E79" s="22">
        <v>45394.0</v>
      </c>
      <c r="F79" s="16" t="s">
        <v>26</v>
      </c>
      <c r="G79" s="18"/>
      <c r="H79" s="16"/>
      <c r="I79" s="16"/>
      <c r="J79" s="16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0" customHeight="1">
      <c r="A80" s="15" t="s">
        <v>105</v>
      </c>
      <c r="B80" s="10">
        <v>1.92</v>
      </c>
      <c r="C80" s="16">
        <v>3.0</v>
      </c>
      <c r="D80" s="17">
        <f t="shared" si="10"/>
        <v>5.76</v>
      </c>
      <c r="E80" s="22">
        <v>45394.0</v>
      </c>
      <c r="F80" s="16" t="s">
        <v>26</v>
      </c>
      <c r="G80" s="18"/>
      <c r="H80" s="16"/>
      <c r="I80" s="16"/>
      <c r="J80" s="16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0" customHeight="1">
      <c r="A81" s="15" t="s">
        <v>54</v>
      </c>
      <c r="B81" s="10">
        <v>2.24</v>
      </c>
      <c r="C81" s="16">
        <v>2.0</v>
      </c>
      <c r="D81" s="17">
        <f t="shared" si="10"/>
        <v>4.48</v>
      </c>
      <c r="E81" s="22">
        <v>45394.0</v>
      </c>
      <c r="F81" s="16" t="s">
        <v>26</v>
      </c>
      <c r="G81" s="18"/>
      <c r="H81" s="16"/>
      <c r="I81" s="16"/>
      <c r="J81" s="16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5" t="s">
        <v>106</v>
      </c>
      <c r="B82" s="10">
        <v>1.58</v>
      </c>
      <c r="C82" s="16">
        <v>3.0</v>
      </c>
      <c r="D82" s="17">
        <f t="shared" si="10"/>
        <v>4.74</v>
      </c>
      <c r="E82" s="22">
        <v>45394.0</v>
      </c>
      <c r="F82" s="16" t="s">
        <v>26</v>
      </c>
      <c r="G82" s="18"/>
      <c r="H82" s="16"/>
      <c r="I82" s="16"/>
      <c r="J82" s="16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5" t="s">
        <v>107</v>
      </c>
      <c r="B83" s="10">
        <v>1.89</v>
      </c>
      <c r="C83" s="16">
        <v>1.0</v>
      </c>
      <c r="D83" s="17">
        <f t="shared" si="10"/>
        <v>1.89</v>
      </c>
      <c r="E83" s="22">
        <v>45394.0</v>
      </c>
      <c r="F83" s="16" t="s">
        <v>26</v>
      </c>
      <c r="G83" s="18"/>
      <c r="H83" s="16"/>
      <c r="I83" s="16"/>
      <c r="J83" s="16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15" t="s">
        <v>108</v>
      </c>
      <c r="B84" s="10">
        <v>1.61</v>
      </c>
      <c r="C84" s="16">
        <v>1.0</v>
      </c>
      <c r="D84" s="17">
        <f t="shared" si="10"/>
        <v>1.61</v>
      </c>
      <c r="E84" s="22">
        <v>45394.0</v>
      </c>
      <c r="F84" s="16" t="s">
        <v>26</v>
      </c>
      <c r="G84" s="18"/>
      <c r="H84" s="16"/>
      <c r="I84" s="16"/>
      <c r="J84" s="16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15" t="s">
        <v>99</v>
      </c>
      <c r="B85" s="10">
        <v>5.31</v>
      </c>
      <c r="C85" s="16">
        <v>2.0</v>
      </c>
      <c r="D85" s="17">
        <f t="shared" si="10"/>
        <v>10.62</v>
      </c>
      <c r="E85" s="22">
        <v>45610.0</v>
      </c>
      <c r="F85" s="16" t="s">
        <v>26</v>
      </c>
      <c r="G85" s="18"/>
      <c r="H85" s="16"/>
      <c r="I85" s="16"/>
      <c r="J85" s="16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15" t="s">
        <v>100</v>
      </c>
      <c r="B86" s="10">
        <v>2.1</v>
      </c>
      <c r="C86" s="16">
        <v>2.0</v>
      </c>
      <c r="D86" s="17">
        <f t="shared" si="10"/>
        <v>4.2</v>
      </c>
      <c r="E86" s="22">
        <v>45610.0</v>
      </c>
      <c r="F86" s="16" t="s">
        <v>26</v>
      </c>
      <c r="G86" s="18"/>
      <c r="H86" s="16"/>
      <c r="I86" s="16"/>
      <c r="J86" s="16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15" t="s">
        <v>63</v>
      </c>
      <c r="B87" s="10">
        <v>2.99</v>
      </c>
      <c r="C87" s="16">
        <v>1.0</v>
      </c>
      <c r="D87" s="17">
        <f t="shared" si="10"/>
        <v>2.99</v>
      </c>
      <c r="E87" s="22">
        <v>45610.0</v>
      </c>
      <c r="F87" s="16" t="s">
        <v>26</v>
      </c>
      <c r="G87" s="18"/>
      <c r="H87" s="16"/>
      <c r="I87" s="16"/>
      <c r="J87" s="16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15" t="s">
        <v>107</v>
      </c>
      <c r="B88" s="10">
        <v>1.89</v>
      </c>
      <c r="C88" s="16">
        <v>1.0</v>
      </c>
      <c r="D88" s="17">
        <f t="shared" si="10"/>
        <v>1.89</v>
      </c>
      <c r="E88" s="22">
        <v>45610.0</v>
      </c>
      <c r="F88" s="16" t="s">
        <v>26</v>
      </c>
      <c r="G88" s="18"/>
      <c r="H88" s="16"/>
      <c r="I88" s="16"/>
      <c r="J88" s="16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 t="s">
        <v>109</v>
      </c>
      <c r="B89" s="10">
        <v>1.94</v>
      </c>
      <c r="C89" s="16">
        <v>1.0</v>
      </c>
      <c r="D89" s="17">
        <f t="shared" si="10"/>
        <v>1.94</v>
      </c>
      <c r="E89" s="22">
        <v>45610.0</v>
      </c>
      <c r="F89" s="16" t="s">
        <v>26</v>
      </c>
      <c r="G89" s="18"/>
      <c r="H89" s="16"/>
      <c r="I89" s="16"/>
      <c r="J89" s="16" t="s">
        <v>110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15" t="s">
        <v>111</v>
      </c>
      <c r="B90" s="10">
        <v>1.57</v>
      </c>
      <c r="C90" s="16">
        <v>1.0</v>
      </c>
      <c r="D90" s="17">
        <f t="shared" si="10"/>
        <v>1.57</v>
      </c>
      <c r="E90" s="22">
        <v>45644.0</v>
      </c>
      <c r="F90" s="16" t="s">
        <v>26</v>
      </c>
      <c r="G90" s="19" t="s">
        <v>112</v>
      </c>
      <c r="H90" s="7"/>
      <c r="I90" s="7"/>
      <c r="J90" s="16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0" customHeight="1">
      <c r="A91" s="15" t="s">
        <v>107</v>
      </c>
      <c r="B91" s="10">
        <v>1.69</v>
      </c>
      <c r="C91" s="16">
        <v>1.0</v>
      </c>
      <c r="D91" s="11">
        <f t="shared" ref="D91:D94" si="11">C91*B91</f>
        <v>1.69</v>
      </c>
      <c r="E91" s="22">
        <v>45706.0</v>
      </c>
      <c r="F91" s="7" t="s">
        <v>26</v>
      </c>
      <c r="G91" s="19" t="s">
        <v>113</v>
      </c>
      <c r="H91" s="16"/>
      <c r="I91" s="16"/>
      <c r="J91" s="16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28" t="s">
        <v>63</v>
      </c>
      <c r="B92" s="36">
        <v>3.0</v>
      </c>
      <c r="C92" s="28">
        <v>3.0</v>
      </c>
      <c r="D92" s="11">
        <f t="shared" si="11"/>
        <v>9</v>
      </c>
      <c r="E92" s="37">
        <v>46135.0</v>
      </c>
      <c r="F92" s="7" t="s">
        <v>26</v>
      </c>
      <c r="G92" s="38" t="s">
        <v>64</v>
      </c>
      <c r="H92" s="39" t="s">
        <v>114</v>
      </c>
      <c r="I92" s="38" t="s">
        <v>115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28" t="s">
        <v>116</v>
      </c>
      <c r="B93" s="36">
        <v>134.85</v>
      </c>
      <c r="C93" s="28">
        <v>3.0</v>
      </c>
      <c r="D93" s="11">
        <f t="shared" si="11"/>
        <v>404.55</v>
      </c>
      <c r="E93" s="37">
        <v>46136.0</v>
      </c>
      <c r="F93" s="28" t="s">
        <v>78</v>
      </c>
      <c r="G93" s="40" t="s">
        <v>117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28" t="s">
        <v>118</v>
      </c>
      <c r="B94" s="41">
        <v>23.52</v>
      </c>
      <c r="C94" s="28">
        <v>1.0</v>
      </c>
      <c r="D94" s="11">
        <f t="shared" si="11"/>
        <v>23.52</v>
      </c>
      <c r="E94" s="37">
        <v>46137.0</v>
      </c>
      <c r="F94" s="28" t="s">
        <v>78</v>
      </c>
      <c r="G94" s="42" t="s">
        <v>119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43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0"/>
      <c r="C96" s="16"/>
      <c r="D96" s="17"/>
      <c r="E96" s="7"/>
      <c r="F96" s="16"/>
      <c r="G96" s="18"/>
      <c r="H96" s="16"/>
      <c r="I96" s="16"/>
      <c r="J96" s="16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33" t="s">
        <v>120</v>
      </c>
      <c r="B97" s="4">
        <f>SUM(D98:D115)</f>
        <v>337.38</v>
      </c>
      <c r="C97" s="7"/>
      <c r="D97" s="11"/>
      <c r="E97" s="12"/>
      <c r="F97" s="13"/>
      <c r="G97" s="14"/>
      <c r="H97" s="22"/>
      <c r="I97" s="13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15" t="s">
        <v>121</v>
      </c>
      <c r="B98" s="10">
        <v>177.89</v>
      </c>
      <c r="C98" s="16">
        <v>1.0</v>
      </c>
      <c r="D98" s="11">
        <f t="shared" ref="D98:D114" si="12">C98*B98</f>
        <v>177.89</v>
      </c>
      <c r="E98" s="22">
        <v>45329.0</v>
      </c>
      <c r="F98" s="16" t="s">
        <v>51</v>
      </c>
      <c r="G98" s="18"/>
      <c r="H98" s="16" t="s">
        <v>122</v>
      </c>
      <c r="I98" s="16" t="s">
        <v>123</v>
      </c>
      <c r="J98" s="16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0" customHeight="1">
      <c r="A99" s="15" t="s">
        <v>124</v>
      </c>
      <c r="B99" s="10">
        <v>45.77</v>
      </c>
      <c r="C99" s="16">
        <v>1.0</v>
      </c>
      <c r="D99" s="11">
        <f t="shared" si="12"/>
        <v>45.77</v>
      </c>
      <c r="E99" s="22">
        <v>45394.0</v>
      </c>
      <c r="F99" s="16" t="s">
        <v>26</v>
      </c>
      <c r="G99" s="18"/>
      <c r="H99" s="16"/>
      <c r="I99" s="16"/>
      <c r="J99" s="16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0" customHeight="1">
      <c r="A100" s="15" t="s">
        <v>67</v>
      </c>
      <c r="B100" s="10">
        <v>6.02</v>
      </c>
      <c r="C100" s="16">
        <v>1.0</v>
      </c>
      <c r="D100" s="11">
        <f t="shared" si="12"/>
        <v>6.02</v>
      </c>
      <c r="E100" s="22">
        <v>45394.0</v>
      </c>
      <c r="F100" s="16" t="s">
        <v>51</v>
      </c>
      <c r="G100" s="18"/>
      <c r="H100" s="16"/>
      <c r="I100" s="16"/>
      <c r="J100" s="16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0" customHeight="1">
      <c r="A101" s="15" t="s">
        <v>100</v>
      </c>
      <c r="B101" s="10">
        <v>2.12</v>
      </c>
      <c r="C101" s="16">
        <v>1.0</v>
      </c>
      <c r="D101" s="11">
        <f t="shared" si="12"/>
        <v>2.12</v>
      </c>
      <c r="E101" s="22">
        <v>45394.0</v>
      </c>
      <c r="F101" s="16" t="s">
        <v>26</v>
      </c>
      <c r="G101" s="18"/>
      <c r="H101" s="16"/>
      <c r="I101" s="16"/>
      <c r="J101" s="16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0" customHeight="1">
      <c r="A102" s="15" t="s">
        <v>103</v>
      </c>
      <c r="B102" s="10">
        <v>3.54</v>
      </c>
      <c r="C102" s="16">
        <v>3.0</v>
      </c>
      <c r="D102" s="11">
        <f t="shared" si="12"/>
        <v>10.62</v>
      </c>
      <c r="E102" s="22">
        <v>45394.0</v>
      </c>
      <c r="F102" s="16" t="s">
        <v>26</v>
      </c>
      <c r="G102" s="18"/>
      <c r="H102" s="16"/>
      <c r="I102" s="16" t="s">
        <v>125</v>
      </c>
      <c r="J102" s="16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0" customHeight="1">
      <c r="A103" s="15" t="s">
        <v>54</v>
      </c>
      <c r="B103" s="10">
        <v>2.24</v>
      </c>
      <c r="C103" s="16">
        <v>2.0</v>
      </c>
      <c r="D103" s="11">
        <f t="shared" si="12"/>
        <v>4.48</v>
      </c>
      <c r="E103" s="22">
        <v>45394.0</v>
      </c>
      <c r="F103" s="16" t="s">
        <v>26</v>
      </c>
      <c r="G103" s="18"/>
      <c r="H103" s="16"/>
      <c r="I103" s="16" t="s">
        <v>125</v>
      </c>
      <c r="J103" s="16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0" customHeight="1">
      <c r="A104" s="15" t="s">
        <v>93</v>
      </c>
      <c r="B104" s="10">
        <v>1.86</v>
      </c>
      <c r="C104" s="16">
        <v>1.0</v>
      </c>
      <c r="D104" s="11">
        <f t="shared" si="12"/>
        <v>1.86</v>
      </c>
      <c r="E104" s="22">
        <v>45394.0</v>
      </c>
      <c r="F104" s="16" t="s">
        <v>26</v>
      </c>
      <c r="G104" s="18"/>
      <c r="H104" s="16"/>
      <c r="I104" s="16" t="s">
        <v>126</v>
      </c>
      <c r="J104" s="16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0" customHeight="1">
      <c r="A105" s="15" t="s">
        <v>107</v>
      </c>
      <c r="B105" s="10">
        <v>1.89</v>
      </c>
      <c r="C105" s="16">
        <v>1.0</v>
      </c>
      <c r="D105" s="11">
        <f t="shared" si="12"/>
        <v>1.89</v>
      </c>
      <c r="E105" s="22">
        <v>45394.0</v>
      </c>
      <c r="F105" s="7" t="s">
        <v>26</v>
      </c>
      <c r="G105" s="14"/>
      <c r="H105" s="16"/>
      <c r="I105" s="16"/>
      <c r="J105" s="16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0" customHeight="1">
      <c r="A106" s="15" t="s">
        <v>107</v>
      </c>
      <c r="B106" s="10">
        <v>1.89</v>
      </c>
      <c r="C106" s="16">
        <v>1.0</v>
      </c>
      <c r="D106" s="11">
        <f t="shared" si="12"/>
        <v>1.89</v>
      </c>
      <c r="E106" s="22">
        <v>45568.0</v>
      </c>
      <c r="F106" s="7" t="s">
        <v>26</v>
      </c>
      <c r="G106" s="14"/>
      <c r="H106" s="16"/>
      <c r="I106" s="16"/>
      <c r="J106" s="16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0" customHeight="1">
      <c r="A107" s="15" t="s">
        <v>127</v>
      </c>
      <c r="B107" s="10">
        <v>5.65</v>
      </c>
      <c r="C107" s="16">
        <v>1.0</v>
      </c>
      <c r="D107" s="11">
        <f t="shared" si="12"/>
        <v>5.65</v>
      </c>
      <c r="E107" s="22">
        <v>45394.0</v>
      </c>
      <c r="F107" s="16" t="s">
        <v>26</v>
      </c>
      <c r="G107" s="18"/>
      <c r="H107" s="16"/>
      <c r="I107" s="16"/>
      <c r="J107" s="16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0" customHeight="1">
      <c r="A108" s="15" t="s">
        <v>84</v>
      </c>
      <c r="B108" s="31">
        <v>1.92</v>
      </c>
      <c r="C108" s="16">
        <v>1.0</v>
      </c>
      <c r="D108" s="11">
        <f t="shared" si="12"/>
        <v>1.92</v>
      </c>
      <c r="E108" s="22">
        <v>45329.0</v>
      </c>
      <c r="F108" s="16" t="s">
        <v>26</v>
      </c>
      <c r="G108" s="18"/>
      <c r="H108" s="16"/>
      <c r="I108" s="16"/>
      <c r="J108" s="16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0" customHeight="1">
      <c r="A109" s="15" t="s">
        <v>128</v>
      </c>
      <c r="B109" s="31">
        <v>2.63</v>
      </c>
      <c r="C109" s="16">
        <v>1.0</v>
      </c>
      <c r="D109" s="11">
        <f t="shared" si="12"/>
        <v>2.63</v>
      </c>
      <c r="E109" s="22">
        <v>45568.0</v>
      </c>
      <c r="F109" s="16" t="s">
        <v>26</v>
      </c>
      <c r="G109" s="18"/>
      <c r="H109" s="16"/>
      <c r="I109" s="16"/>
      <c r="J109" s="16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0" customHeight="1">
      <c r="A110" s="15" t="s">
        <v>129</v>
      </c>
      <c r="B110" s="10">
        <v>5.26</v>
      </c>
      <c r="C110" s="16">
        <v>4.0</v>
      </c>
      <c r="D110" s="11">
        <f t="shared" si="12"/>
        <v>21.04</v>
      </c>
      <c r="E110" s="22">
        <v>45397.0</v>
      </c>
      <c r="F110" s="13" t="s">
        <v>130</v>
      </c>
      <c r="G110" s="14" t="s">
        <v>131</v>
      </c>
      <c r="H110" s="16"/>
      <c r="I110" s="16"/>
      <c r="J110" s="16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0" customHeight="1">
      <c r="A111" s="15" t="s">
        <v>132</v>
      </c>
      <c r="B111" s="10">
        <v>11.52</v>
      </c>
      <c r="C111" s="16">
        <v>1.0</v>
      </c>
      <c r="D111" s="11">
        <f t="shared" si="12"/>
        <v>11.52</v>
      </c>
      <c r="E111" s="22">
        <v>45397.0</v>
      </c>
      <c r="F111" s="13" t="s">
        <v>130</v>
      </c>
      <c r="G111" s="18" t="s">
        <v>133</v>
      </c>
      <c r="H111" s="16"/>
      <c r="I111" s="16"/>
      <c r="J111" s="16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0" customHeight="1">
      <c r="A112" s="15" t="s">
        <v>134</v>
      </c>
      <c r="B112" s="7">
        <v>12.87</v>
      </c>
      <c r="C112" s="16">
        <v>2.0</v>
      </c>
      <c r="D112" s="11">
        <f t="shared" si="12"/>
        <v>25.74</v>
      </c>
      <c r="E112" s="22">
        <v>45397.0</v>
      </c>
      <c r="F112" s="13" t="s">
        <v>130</v>
      </c>
      <c r="G112" s="18" t="s">
        <v>135</v>
      </c>
      <c r="H112" s="16"/>
      <c r="I112" s="16"/>
      <c r="J112" s="16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0" customHeight="1">
      <c r="A113" s="15" t="s">
        <v>136</v>
      </c>
      <c r="B113" s="7">
        <v>10.78</v>
      </c>
      <c r="C113" s="16">
        <v>1.0</v>
      </c>
      <c r="D113" s="11">
        <f t="shared" si="12"/>
        <v>10.78</v>
      </c>
      <c r="E113" s="12">
        <v>45670.0</v>
      </c>
      <c r="F113" s="13" t="s">
        <v>130</v>
      </c>
      <c r="G113" s="19" t="s">
        <v>137</v>
      </c>
      <c r="H113" s="16"/>
      <c r="I113" s="16"/>
      <c r="J113" s="16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0" customHeight="1">
      <c r="A114" s="15" t="s">
        <v>138</v>
      </c>
      <c r="B114" s="10">
        <v>5.56</v>
      </c>
      <c r="C114" s="16">
        <v>1.0</v>
      </c>
      <c r="D114" s="11">
        <f t="shared" si="12"/>
        <v>5.56</v>
      </c>
      <c r="E114" s="22">
        <v>45644.0</v>
      </c>
      <c r="F114" s="16" t="s">
        <v>26</v>
      </c>
      <c r="G114" s="18"/>
      <c r="H114" s="16"/>
      <c r="I114" s="16"/>
      <c r="J114" s="16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0" customHeight="1">
      <c r="A115" s="15"/>
      <c r="B115" s="10"/>
      <c r="C115" s="16"/>
      <c r="D115" s="11"/>
      <c r="E115" s="7"/>
      <c r="F115" s="16"/>
      <c r="G115" s="18"/>
      <c r="H115" s="16"/>
      <c r="I115" s="16"/>
      <c r="J115" s="16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0" customHeight="1">
      <c r="A116" s="34" t="s">
        <v>139</v>
      </c>
      <c r="B116" s="4">
        <f>SUM(D117:D126)</f>
        <v>59.17</v>
      </c>
      <c r="C116" s="16"/>
      <c r="D116" s="11"/>
      <c r="E116" s="7"/>
      <c r="F116" s="16"/>
      <c r="G116" s="18"/>
      <c r="H116" s="16"/>
      <c r="I116" s="16"/>
      <c r="J116" s="16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0" customHeight="1">
      <c r="A117" s="15" t="s">
        <v>140</v>
      </c>
      <c r="B117" s="35">
        <v>0.0</v>
      </c>
      <c r="C117" s="16">
        <v>1.0</v>
      </c>
      <c r="D117" s="17">
        <f t="shared" ref="D117:D125" si="13">B117*C117</f>
        <v>0</v>
      </c>
      <c r="E117" s="7"/>
      <c r="F117" s="16" t="s">
        <v>141</v>
      </c>
      <c r="G117" s="18"/>
      <c r="H117" s="16"/>
      <c r="I117" s="16"/>
      <c r="J117" s="16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15" t="s">
        <v>142</v>
      </c>
      <c r="B118" s="10">
        <v>2.78</v>
      </c>
      <c r="C118" s="16">
        <v>4.0</v>
      </c>
      <c r="D118" s="17">
        <f t="shared" si="13"/>
        <v>11.12</v>
      </c>
      <c r="E118" s="22">
        <v>45397.0</v>
      </c>
      <c r="F118" s="13" t="s">
        <v>130</v>
      </c>
      <c r="G118" s="14" t="s">
        <v>143</v>
      </c>
      <c r="H118" s="16"/>
      <c r="I118" s="7"/>
      <c r="J118" s="16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15" t="s">
        <v>144</v>
      </c>
      <c r="B119" s="10">
        <v>19.57</v>
      </c>
      <c r="C119" s="16">
        <v>1.0</v>
      </c>
      <c r="D119" s="17">
        <f t="shared" si="13"/>
        <v>19.57</v>
      </c>
      <c r="E119" s="22">
        <v>45405.0</v>
      </c>
      <c r="F119" s="7" t="s">
        <v>26</v>
      </c>
      <c r="G119" s="14" t="s">
        <v>145</v>
      </c>
      <c r="H119" s="16"/>
      <c r="I119" s="7"/>
      <c r="J119" s="16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15" t="s">
        <v>146</v>
      </c>
      <c r="B120" s="10">
        <v>1.1</v>
      </c>
      <c r="C120" s="16">
        <v>7.0</v>
      </c>
      <c r="D120" s="17">
        <f t="shared" si="13"/>
        <v>7.7</v>
      </c>
      <c r="E120" s="22">
        <v>45397.0</v>
      </c>
      <c r="F120" s="13" t="s">
        <v>130</v>
      </c>
      <c r="G120" s="14" t="s">
        <v>147</v>
      </c>
      <c r="H120" s="16"/>
      <c r="I120" s="7" t="s">
        <v>148</v>
      </c>
      <c r="J120" s="16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15" t="s">
        <v>149</v>
      </c>
      <c r="B121" s="10">
        <v>8.94</v>
      </c>
      <c r="C121" s="16">
        <v>1.0</v>
      </c>
      <c r="D121" s="17">
        <f t="shared" si="13"/>
        <v>8.94</v>
      </c>
      <c r="E121" s="22">
        <v>45397.0</v>
      </c>
      <c r="F121" s="13" t="s">
        <v>130</v>
      </c>
      <c r="G121" s="14" t="s">
        <v>150</v>
      </c>
      <c r="H121" s="16"/>
      <c r="I121" s="7"/>
      <c r="J121" s="16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15" t="s">
        <v>151</v>
      </c>
      <c r="B122" s="10">
        <v>0.11</v>
      </c>
      <c r="C122" s="16">
        <v>21.0</v>
      </c>
      <c r="D122" s="17">
        <f t="shared" si="13"/>
        <v>2.31</v>
      </c>
      <c r="E122" s="22">
        <v>45405.0</v>
      </c>
      <c r="F122" s="13" t="s">
        <v>152</v>
      </c>
      <c r="G122" s="14">
        <v>24049.0</v>
      </c>
      <c r="H122" s="16"/>
      <c r="I122" s="7"/>
      <c r="J122" s="16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15" t="s">
        <v>153</v>
      </c>
      <c r="B123" s="10">
        <v>1.16</v>
      </c>
      <c r="C123" s="16">
        <v>2.0</v>
      </c>
      <c r="D123" s="17">
        <f t="shared" si="13"/>
        <v>2.32</v>
      </c>
      <c r="E123" s="12">
        <v>45670.0</v>
      </c>
      <c r="F123" s="13" t="s">
        <v>130</v>
      </c>
      <c r="G123" s="14" t="s">
        <v>154</v>
      </c>
      <c r="H123" s="16"/>
      <c r="I123" s="7"/>
      <c r="J123" s="16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15" t="s">
        <v>155</v>
      </c>
      <c r="B124" s="10">
        <v>7.21</v>
      </c>
      <c r="C124" s="16">
        <v>1.0</v>
      </c>
      <c r="D124" s="17">
        <f t="shared" si="13"/>
        <v>7.21</v>
      </c>
      <c r="E124" s="12">
        <v>45670.0</v>
      </c>
      <c r="F124" s="13" t="s">
        <v>130</v>
      </c>
      <c r="G124" s="19" t="s">
        <v>156</v>
      </c>
      <c r="H124" s="16"/>
      <c r="I124" s="7"/>
      <c r="J124" s="16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15" t="s">
        <v>157</v>
      </c>
      <c r="B125" s="10">
        <v>0.0</v>
      </c>
      <c r="C125" s="16">
        <v>1.0</v>
      </c>
      <c r="D125" s="17">
        <f t="shared" si="13"/>
        <v>0</v>
      </c>
      <c r="E125" s="7"/>
      <c r="F125" s="13"/>
      <c r="G125" s="14"/>
      <c r="H125" s="16"/>
      <c r="I125" s="7"/>
      <c r="J125" s="16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15"/>
      <c r="B126" s="10"/>
      <c r="C126" s="16"/>
      <c r="D126" s="11"/>
      <c r="E126" s="7"/>
      <c r="F126" s="16"/>
      <c r="G126" s="18"/>
      <c r="H126" s="16"/>
      <c r="I126" s="16"/>
      <c r="J126" s="16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0" customHeight="1">
      <c r="A127" s="34" t="s">
        <v>158</v>
      </c>
      <c r="B127" s="4">
        <f>SUM(D128:D165)</f>
        <v>1194.8</v>
      </c>
      <c r="C127" s="16"/>
      <c r="D127" s="11"/>
      <c r="E127" s="7"/>
      <c r="F127" s="16"/>
      <c r="G127" s="18"/>
      <c r="H127" s="16"/>
      <c r="I127" s="16"/>
      <c r="J127" s="16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 t="s">
        <v>159</v>
      </c>
      <c r="B128" s="31">
        <v>134.81</v>
      </c>
      <c r="C128" s="16">
        <v>1.0</v>
      </c>
      <c r="D128" s="17">
        <f t="shared" ref="D128:D164" si="14">B128*C128</f>
        <v>134.81</v>
      </c>
      <c r="E128" s="22">
        <v>45397.0</v>
      </c>
      <c r="F128" s="16" t="s">
        <v>130</v>
      </c>
      <c r="G128" s="14"/>
      <c r="H128" s="7"/>
      <c r="I128" s="7"/>
      <c r="J128" s="1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 t="s">
        <v>160</v>
      </c>
      <c r="B129" s="31">
        <v>100.82</v>
      </c>
      <c r="C129" s="16">
        <v>1.0</v>
      </c>
      <c r="D129" s="17">
        <f t="shared" si="14"/>
        <v>100.82</v>
      </c>
      <c r="E129" s="22">
        <v>45397.0</v>
      </c>
      <c r="F129" s="16" t="s">
        <v>130</v>
      </c>
      <c r="G129" s="14"/>
      <c r="H129" s="7"/>
      <c r="I129" s="7"/>
      <c r="J129" s="16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 t="s">
        <v>161</v>
      </c>
      <c r="B130" s="31">
        <v>54.55</v>
      </c>
      <c r="C130" s="16">
        <v>1.0</v>
      </c>
      <c r="D130" s="17">
        <f t="shared" si="14"/>
        <v>54.55</v>
      </c>
      <c r="E130" s="22">
        <v>45397.0</v>
      </c>
      <c r="F130" s="16" t="s">
        <v>162</v>
      </c>
      <c r="G130" s="14"/>
      <c r="H130" s="7"/>
      <c r="I130" s="7"/>
      <c r="J130" s="1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 t="s">
        <v>161</v>
      </c>
      <c r="B131" s="7">
        <v>76.97</v>
      </c>
      <c r="C131" s="16">
        <v>1.0</v>
      </c>
      <c r="D131" s="17">
        <f t="shared" si="14"/>
        <v>76.97</v>
      </c>
      <c r="E131" s="22">
        <v>45567.0</v>
      </c>
      <c r="F131" s="16" t="s">
        <v>163</v>
      </c>
      <c r="G131" s="14"/>
      <c r="H131" s="7"/>
      <c r="I131" s="7"/>
      <c r="J131" s="7" t="s">
        <v>164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 t="s">
        <v>165</v>
      </c>
      <c r="B132" s="31">
        <v>74.32</v>
      </c>
      <c r="C132" s="16">
        <v>1.0</v>
      </c>
      <c r="D132" s="17">
        <f t="shared" si="14"/>
        <v>74.32</v>
      </c>
      <c r="E132" s="22">
        <v>45397.0</v>
      </c>
      <c r="F132" s="16" t="s">
        <v>162</v>
      </c>
      <c r="G132" s="14"/>
      <c r="H132" s="7"/>
      <c r="I132" s="7"/>
      <c r="J132" s="1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 t="s">
        <v>166</v>
      </c>
      <c r="B133" s="31">
        <v>44.18</v>
      </c>
      <c r="C133" s="16">
        <v>1.0</v>
      </c>
      <c r="D133" s="17">
        <f t="shared" si="14"/>
        <v>44.18</v>
      </c>
      <c r="E133" s="22">
        <v>45406.0</v>
      </c>
      <c r="F133" s="16" t="s">
        <v>163</v>
      </c>
      <c r="G133" s="14"/>
      <c r="H133" s="7"/>
      <c r="I133" s="7"/>
      <c r="J133" s="16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 t="s">
        <v>167</v>
      </c>
      <c r="B134" s="31">
        <v>18.33</v>
      </c>
      <c r="C134" s="16">
        <v>1.0</v>
      </c>
      <c r="D134" s="17">
        <f t="shared" si="14"/>
        <v>18.33</v>
      </c>
      <c r="E134" s="22">
        <v>45397.0</v>
      </c>
      <c r="F134" s="16" t="s">
        <v>162</v>
      </c>
      <c r="G134" s="14"/>
      <c r="H134" s="7"/>
      <c r="I134" s="7"/>
      <c r="J134" s="16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 t="s">
        <v>168</v>
      </c>
      <c r="B135" s="31">
        <v>18.33</v>
      </c>
      <c r="C135" s="16">
        <v>1.0</v>
      </c>
      <c r="D135" s="17">
        <f t="shared" si="14"/>
        <v>18.33</v>
      </c>
      <c r="E135" s="22">
        <v>45397.0</v>
      </c>
      <c r="F135" s="16" t="s">
        <v>162</v>
      </c>
      <c r="G135" s="14"/>
      <c r="H135" s="7"/>
      <c r="I135" s="7"/>
      <c r="J135" s="16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 t="s">
        <v>169</v>
      </c>
      <c r="B136" s="31">
        <v>12.85</v>
      </c>
      <c r="C136" s="16">
        <v>1.0</v>
      </c>
      <c r="D136" s="17">
        <f t="shared" si="14"/>
        <v>12.85</v>
      </c>
      <c r="E136" s="22">
        <v>45397.0</v>
      </c>
      <c r="F136" s="16" t="s">
        <v>162</v>
      </c>
      <c r="G136" s="14"/>
      <c r="H136" s="7"/>
      <c r="I136" s="7"/>
      <c r="J136" s="16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 t="s">
        <v>170</v>
      </c>
      <c r="B137" s="31">
        <v>7.53</v>
      </c>
      <c r="C137" s="16">
        <v>1.0</v>
      </c>
      <c r="D137" s="17">
        <f t="shared" si="14"/>
        <v>7.53</v>
      </c>
      <c r="E137" s="22">
        <v>45397.0</v>
      </c>
      <c r="F137" s="16" t="s">
        <v>162</v>
      </c>
      <c r="G137" s="14"/>
      <c r="H137" s="7"/>
      <c r="I137" s="7"/>
      <c r="J137" s="16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 t="s">
        <v>171</v>
      </c>
      <c r="B138" s="31">
        <v>23.03</v>
      </c>
      <c r="C138" s="16">
        <v>1.0</v>
      </c>
      <c r="D138" s="17">
        <f t="shared" si="14"/>
        <v>23.03</v>
      </c>
      <c r="E138" s="22">
        <v>45397.0</v>
      </c>
      <c r="F138" s="16" t="s">
        <v>162</v>
      </c>
      <c r="G138" s="14"/>
      <c r="H138" s="7"/>
      <c r="I138" s="7"/>
      <c r="J138" s="16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 t="s">
        <v>171</v>
      </c>
      <c r="B139" s="7">
        <v>30.81</v>
      </c>
      <c r="C139" s="16">
        <v>1.0</v>
      </c>
      <c r="D139" s="17">
        <f t="shared" si="14"/>
        <v>30.81</v>
      </c>
      <c r="E139" s="22">
        <v>45567.0</v>
      </c>
      <c r="F139" s="16" t="s">
        <v>163</v>
      </c>
      <c r="G139" s="14"/>
      <c r="H139" s="7"/>
      <c r="I139" s="7"/>
      <c r="J139" s="7" t="s">
        <v>164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 t="s">
        <v>172</v>
      </c>
      <c r="B140" s="31">
        <v>13.5</v>
      </c>
      <c r="C140" s="16">
        <v>1.0</v>
      </c>
      <c r="D140" s="17">
        <f t="shared" si="14"/>
        <v>13.5</v>
      </c>
      <c r="E140" s="22">
        <v>45397.0</v>
      </c>
      <c r="F140" s="16" t="s">
        <v>162</v>
      </c>
      <c r="G140" s="14"/>
      <c r="H140" s="7"/>
      <c r="I140" s="7"/>
      <c r="J140" s="16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 t="s">
        <v>173</v>
      </c>
      <c r="B141" s="31">
        <v>9.15</v>
      </c>
      <c r="C141" s="16">
        <v>1.0</v>
      </c>
      <c r="D141" s="17">
        <f t="shared" si="14"/>
        <v>9.15</v>
      </c>
      <c r="E141" s="22">
        <v>45397.0</v>
      </c>
      <c r="F141" s="16" t="s">
        <v>162</v>
      </c>
      <c r="G141" s="14"/>
      <c r="H141" s="7"/>
      <c r="I141" s="7"/>
      <c r="J141" s="16" t="s">
        <v>174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 t="s">
        <v>175</v>
      </c>
      <c r="B142" s="31">
        <v>32.47</v>
      </c>
      <c r="C142" s="16">
        <v>1.0</v>
      </c>
      <c r="D142" s="17">
        <f t="shared" si="14"/>
        <v>32.47</v>
      </c>
      <c r="E142" s="22">
        <v>45397.0</v>
      </c>
      <c r="F142" s="16" t="s">
        <v>162</v>
      </c>
      <c r="G142" s="14"/>
      <c r="H142" s="7"/>
      <c r="I142" s="7"/>
      <c r="J142" s="16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 t="s">
        <v>176</v>
      </c>
      <c r="B143" s="31">
        <v>21.65</v>
      </c>
      <c r="C143" s="16">
        <v>2.0</v>
      </c>
      <c r="D143" s="17">
        <f t="shared" si="14"/>
        <v>43.3</v>
      </c>
      <c r="E143" s="22">
        <v>45397.0</v>
      </c>
      <c r="F143" s="16" t="s">
        <v>162</v>
      </c>
      <c r="G143" s="14"/>
      <c r="H143" s="7"/>
      <c r="I143" s="7"/>
      <c r="J143" s="16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 t="s">
        <v>177</v>
      </c>
      <c r="B144" s="31">
        <v>23.7</v>
      </c>
      <c r="C144" s="16">
        <v>1.0</v>
      </c>
      <c r="D144" s="17">
        <f t="shared" si="14"/>
        <v>23.7</v>
      </c>
      <c r="E144" s="22">
        <v>45397.0</v>
      </c>
      <c r="F144" s="16" t="s">
        <v>162</v>
      </c>
      <c r="G144" s="14"/>
      <c r="H144" s="7"/>
      <c r="I144" s="7"/>
      <c r="J144" s="16" t="s">
        <v>178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 t="s">
        <v>179</v>
      </c>
      <c r="B145" s="10">
        <v>62.84</v>
      </c>
      <c r="C145" s="16">
        <v>1.0</v>
      </c>
      <c r="D145" s="17">
        <f t="shared" si="14"/>
        <v>62.84</v>
      </c>
      <c r="E145" s="22">
        <v>45615.0</v>
      </c>
      <c r="F145" s="16" t="s">
        <v>163</v>
      </c>
      <c r="G145" s="14"/>
      <c r="H145" s="7"/>
      <c r="I145" s="7"/>
      <c r="J145" s="16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 t="s">
        <v>180</v>
      </c>
      <c r="B146" s="10">
        <v>31.64</v>
      </c>
      <c r="C146" s="16">
        <v>1.0</v>
      </c>
      <c r="D146" s="17">
        <f t="shared" si="14"/>
        <v>31.64</v>
      </c>
      <c r="E146" s="22">
        <v>45615.0</v>
      </c>
      <c r="F146" s="16" t="s">
        <v>163</v>
      </c>
      <c r="G146" s="14"/>
      <c r="H146" s="7"/>
      <c r="I146" s="7"/>
      <c r="J146" s="16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 t="s">
        <v>181</v>
      </c>
      <c r="B147" s="31">
        <v>21.38</v>
      </c>
      <c r="C147" s="16">
        <v>1.0</v>
      </c>
      <c r="D147" s="17">
        <f t="shared" si="14"/>
        <v>21.38</v>
      </c>
      <c r="E147" s="12">
        <v>45670.0</v>
      </c>
      <c r="F147" s="13" t="s">
        <v>130</v>
      </c>
      <c r="G147" s="14" t="s">
        <v>119</v>
      </c>
      <c r="H147" s="7"/>
      <c r="I147" s="7"/>
      <c r="J147" s="16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 t="s">
        <v>106</v>
      </c>
      <c r="B148" s="31">
        <v>1.58</v>
      </c>
      <c r="C148" s="16">
        <v>2.0</v>
      </c>
      <c r="D148" s="17">
        <f t="shared" si="14"/>
        <v>3.16</v>
      </c>
      <c r="E148" s="22">
        <v>45394.0</v>
      </c>
      <c r="F148" s="16" t="s">
        <v>26</v>
      </c>
      <c r="G148" s="14"/>
      <c r="H148" s="7"/>
      <c r="I148" s="7"/>
      <c r="J148" s="16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 t="s">
        <v>100</v>
      </c>
      <c r="B149" s="31">
        <v>2.12</v>
      </c>
      <c r="C149" s="16">
        <v>1.0</v>
      </c>
      <c r="D149" s="17">
        <f t="shared" si="14"/>
        <v>2.12</v>
      </c>
      <c r="E149" s="22">
        <v>45394.0</v>
      </c>
      <c r="F149" s="16" t="s">
        <v>26</v>
      </c>
      <c r="G149" s="14"/>
      <c r="H149" s="7"/>
      <c r="I149" s="7"/>
      <c r="J149" s="16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 t="s">
        <v>99</v>
      </c>
      <c r="B150" s="31">
        <v>5.36</v>
      </c>
      <c r="C150" s="16">
        <v>1.0</v>
      </c>
      <c r="D150" s="17">
        <f t="shared" si="14"/>
        <v>5.36</v>
      </c>
      <c r="E150" s="22">
        <v>45394.0</v>
      </c>
      <c r="F150" s="16" t="s">
        <v>26</v>
      </c>
      <c r="G150" s="14"/>
      <c r="H150" s="7"/>
      <c r="I150" s="7"/>
      <c r="J150" s="16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 t="s">
        <v>109</v>
      </c>
      <c r="B151" s="31">
        <v>1.94</v>
      </c>
      <c r="C151" s="16">
        <v>1.0</v>
      </c>
      <c r="D151" s="17">
        <f t="shared" si="14"/>
        <v>1.94</v>
      </c>
      <c r="E151" s="22">
        <v>45394.0</v>
      </c>
      <c r="F151" s="16" t="s">
        <v>26</v>
      </c>
      <c r="G151" s="14"/>
      <c r="H151" s="7"/>
      <c r="I151" s="7"/>
      <c r="J151" s="16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 t="s">
        <v>109</v>
      </c>
      <c r="B152" s="31">
        <v>1.94</v>
      </c>
      <c r="C152" s="16">
        <v>1.0</v>
      </c>
      <c r="D152" s="17">
        <f t="shared" si="14"/>
        <v>1.94</v>
      </c>
      <c r="E152" s="22">
        <v>45610.0</v>
      </c>
      <c r="F152" s="16" t="s">
        <v>26</v>
      </c>
      <c r="G152" s="14"/>
      <c r="H152" s="7"/>
      <c r="I152" s="7"/>
      <c r="J152" s="16" t="s">
        <v>110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15" t="s">
        <v>111</v>
      </c>
      <c r="B153" s="10">
        <v>1.57</v>
      </c>
      <c r="C153" s="16">
        <v>1.0</v>
      </c>
      <c r="D153" s="17">
        <f t="shared" si="14"/>
        <v>1.57</v>
      </c>
      <c r="E153" s="22">
        <v>45644.0</v>
      </c>
      <c r="F153" s="16" t="s">
        <v>26</v>
      </c>
      <c r="G153" s="19" t="s">
        <v>112</v>
      </c>
      <c r="H153" s="7"/>
      <c r="I153" s="7"/>
      <c r="J153" s="16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 t="s">
        <v>100</v>
      </c>
      <c r="B154" s="31">
        <v>2.1</v>
      </c>
      <c r="C154" s="16">
        <v>1.0</v>
      </c>
      <c r="D154" s="17">
        <f t="shared" si="14"/>
        <v>2.1</v>
      </c>
      <c r="E154" s="22">
        <v>45610.0</v>
      </c>
      <c r="F154" s="16" t="s">
        <v>26</v>
      </c>
      <c r="G154" s="14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 t="s">
        <v>100</v>
      </c>
      <c r="B155" s="31">
        <v>1.89</v>
      </c>
      <c r="C155" s="16">
        <v>1.0</v>
      </c>
      <c r="D155" s="17">
        <f t="shared" si="14"/>
        <v>1.89</v>
      </c>
      <c r="E155" s="22">
        <v>45706.0</v>
      </c>
      <c r="F155" s="16" t="s">
        <v>26</v>
      </c>
      <c r="G155" s="19" t="s">
        <v>182</v>
      </c>
      <c r="H155" s="7"/>
      <c r="I155" s="7"/>
      <c r="J155" s="7" t="s">
        <v>183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 t="s">
        <v>99</v>
      </c>
      <c r="B156" s="31">
        <v>5.31</v>
      </c>
      <c r="C156" s="16">
        <v>1.0</v>
      </c>
      <c r="D156" s="17">
        <f t="shared" si="14"/>
        <v>5.31</v>
      </c>
      <c r="E156" s="22">
        <v>45610.0</v>
      </c>
      <c r="F156" s="16" t="s">
        <v>26</v>
      </c>
      <c r="G156" s="14"/>
      <c r="H156" s="7"/>
      <c r="I156" s="7"/>
      <c r="J156" s="16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 t="s">
        <v>184</v>
      </c>
      <c r="B157" s="31">
        <v>6.94</v>
      </c>
      <c r="C157" s="16">
        <v>1.0</v>
      </c>
      <c r="D157" s="17">
        <f t="shared" si="14"/>
        <v>6.94</v>
      </c>
      <c r="E157" s="22">
        <v>45610.0</v>
      </c>
      <c r="F157" s="16" t="s">
        <v>51</v>
      </c>
      <c r="G157" s="14"/>
      <c r="H157" s="7"/>
      <c r="I157" s="7"/>
      <c r="J157" s="16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 t="s">
        <v>107</v>
      </c>
      <c r="B158" s="31">
        <v>1.89</v>
      </c>
      <c r="C158" s="16">
        <v>1.0</v>
      </c>
      <c r="D158" s="17">
        <f t="shared" si="14"/>
        <v>1.89</v>
      </c>
      <c r="E158" s="22">
        <v>45610.0</v>
      </c>
      <c r="F158" s="16" t="s">
        <v>26</v>
      </c>
      <c r="G158" s="14"/>
      <c r="H158" s="7"/>
      <c r="I158" s="7"/>
      <c r="J158" s="16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44" t="s">
        <v>185</v>
      </c>
      <c r="B159" s="45">
        <v>93.91</v>
      </c>
      <c r="C159" s="25">
        <v>1.0</v>
      </c>
      <c r="D159" s="17">
        <f t="shared" si="14"/>
        <v>93.91</v>
      </c>
      <c r="E159" s="26">
        <v>46062.0</v>
      </c>
      <c r="F159" s="16" t="s">
        <v>163</v>
      </c>
      <c r="G159" s="14"/>
      <c r="H159" s="7"/>
      <c r="I159" s="7"/>
      <c r="J159" s="25" t="s">
        <v>186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44" t="s">
        <v>187</v>
      </c>
      <c r="B160" s="45">
        <v>13.65</v>
      </c>
      <c r="C160" s="25">
        <v>1.0</v>
      </c>
      <c r="D160" s="17">
        <f t="shared" si="14"/>
        <v>13.65</v>
      </c>
      <c r="E160" s="26">
        <v>46063.0</v>
      </c>
      <c r="F160" s="16" t="s">
        <v>163</v>
      </c>
      <c r="G160" s="14"/>
      <c r="H160" s="7"/>
      <c r="I160" s="7"/>
      <c r="J160" s="25" t="s">
        <v>186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44" t="s">
        <v>188</v>
      </c>
      <c r="B161" s="45">
        <v>88.84</v>
      </c>
      <c r="C161" s="25">
        <v>1.0</v>
      </c>
      <c r="D161" s="17">
        <f t="shared" si="14"/>
        <v>88.84</v>
      </c>
      <c r="E161" s="26">
        <v>46064.0</v>
      </c>
      <c r="F161" s="16" t="s">
        <v>163</v>
      </c>
      <c r="G161" s="14"/>
      <c r="H161" s="7"/>
      <c r="I161" s="7"/>
      <c r="J161" s="25" t="s">
        <v>186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44" t="s">
        <v>189</v>
      </c>
      <c r="B162" s="45">
        <v>32.56</v>
      </c>
      <c r="C162" s="25">
        <v>1.0</v>
      </c>
      <c r="D162" s="17">
        <f t="shared" si="14"/>
        <v>32.56</v>
      </c>
      <c r="E162" s="26">
        <v>46065.0</v>
      </c>
      <c r="F162" s="16" t="s">
        <v>163</v>
      </c>
      <c r="G162" s="14"/>
      <c r="H162" s="7"/>
      <c r="I162" s="7"/>
      <c r="J162" s="25" t="s">
        <v>186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44" t="s">
        <v>190</v>
      </c>
      <c r="B163" s="45">
        <v>20.23</v>
      </c>
      <c r="C163" s="25">
        <v>1.0</v>
      </c>
      <c r="D163" s="17">
        <f t="shared" si="14"/>
        <v>20.23</v>
      </c>
      <c r="E163" s="26">
        <v>46066.0</v>
      </c>
      <c r="F163" s="16" t="s">
        <v>163</v>
      </c>
      <c r="G163" s="14"/>
      <c r="H163" s="7"/>
      <c r="I163" s="7"/>
      <c r="J163" s="25" t="s">
        <v>186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44" t="s">
        <v>191</v>
      </c>
      <c r="B164" s="45">
        <v>38.44</v>
      </c>
      <c r="C164" s="25">
        <v>2.0</v>
      </c>
      <c r="D164" s="17">
        <f t="shared" si="14"/>
        <v>76.88</v>
      </c>
      <c r="E164" s="26">
        <v>46067.0</v>
      </c>
      <c r="F164" s="16" t="s">
        <v>163</v>
      </c>
      <c r="G164" s="14"/>
      <c r="H164" s="7"/>
      <c r="I164" s="7"/>
      <c r="J164" s="25" t="s">
        <v>192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15"/>
      <c r="B165" s="10"/>
      <c r="C165" s="16"/>
      <c r="D165" s="11"/>
      <c r="E165" s="7"/>
      <c r="F165" s="16"/>
      <c r="G165" s="18"/>
      <c r="H165" s="16"/>
      <c r="I165" s="16"/>
      <c r="J165" s="16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0" customHeight="1">
      <c r="A166" s="34" t="s">
        <v>193</v>
      </c>
      <c r="B166" s="4">
        <f>SUM(D167:D182)</f>
        <v>437.09</v>
      </c>
      <c r="C166" s="16"/>
      <c r="D166" s="11"/>
      <c r="E166" s="7"/>
      <c r="F166" s="16"/>
      <c r="G166" s="18"/>
      <c r="H166" s="16"/>
      <c r="I166" s="16"/>
      <c r="J166" s="16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 t="s">
        <v>159</v>
      </c>
      <c r="B167" s="31">
        <v>134.81</v>
      </c>
      <c r="C167" s="16">
        <v>1.0</v>
      </c>
      <c r="D167" s="17">
        <f t="shared" ref="D167:D181" si="15">B167*C167</f>
        <v>134.81</v>
      </c>
      <c r="E167" s="22">
        <v>45397.0</v>
      </c>
      <c r="F167" s="16" t="s">
        <v>130</v>
      </c>
      <c r="G167" s="14"/>
      <c r="H167" s="7"/>
      <c r="I167" s="7"/>
      <c r="J167" s="16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 t="s">
        <v>161</v>
      </c>
      <c r="B168" s="31">
        <v>54.55</v>
      </c>
      <c r="C168" s="16">
        <v>1.0</v>
      </c>
      <c r="D168" s="17">
        <f t="shared" si="15"/>
        <v>54.55</v>
      </c>
      <c r="E168" s="22">
        <v>45397.0</v>
      </c>
      <c r="F168" s="16" t="s">
        <v>162</v>
      </c>
      <c r="G168" s="14"/>
      <c r="H168" s="7"/>
      <c r="I168" s="7"/>
      <c r="J168" s="16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 t="s">
        <v>166</v>
      </c>
      <c r="B169" s="31">
        <v>44.18</v>
      </c>
      <c r="C169" s="16">
        <v>1.0</v>
      </c>
      <c r="D169" s="17">
        <f t="shared" si="15"/>
        <v>44.18</v>
      </c>
      <c r="E169" s="22">
        <v>45406.0</v>
      </c>
      <c r="F169" s="16" t="s">
        <v>163</v>
      </c>
      <c r="G169" s="14"/>
      <c r="H169" s="7"/>
      <c r="I169" s="7"/>
      <c r="J169" s="16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 t="s">
        <v>194</v>
      </c>
      <c r="B170" s="31">
        <v>11.8</v>
      </c>
      <c r="C170" s="16">
        <v>1.0</v>
      </c>
      <c r="D170" s="17">
        <f t="shared" si="15"/>
        <v>11.8</v>
      </c>
      <c r="E170" s="22">
        <v>45397.0</v>
      </c>
      <c r="F170" s="16" t="s">
        <v>162</v>
      </c>
      <c r="G170" s="14"/>
      <c r="H170" s="7"/>
      <c r="I170" s="7"/>
      <c r="J170" s="16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 t="s">
        <v>171</v>
      </c>
      <c r="B171" s="31">
        <v>23.03</v>
      </c>
      <c r="C171" s="16">
        <v>1.0</v>
      </c>
      <c r="D171" s="17">
        <f t="shared" si="15"/>
        <v>23.03</v>
      </c>
      <c r="E171" s="22">
        <v>45397.0</v>
      </c>
      <c r="F171" s="16" t="s">
        <v>162</v>
      </c>
      <c r="G171" s="14"/>
      <c r="H171" s="7"/>
      <c r="I171" s="7"/>
      <c r="J171" s="16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 t="s">
        <v>172</v>
      </c>
      <c r="B172" s="31">
        <v>13.5</v>
      </c>
      <c r="C172" s="16">
        <v>1.0</v>
      </c>
      <c r="D172" s="17">
        <f t="shared" si="15"/>
        <v>13.5</v>
      </c>
      <c r="E172" s="22">
        <v>45397.0</v>
      </c>
      <c r="F172" s="16" t="s">
        <v>162</v>
      </c>
      <c r="G172" s="14"/>
      <c r="H172" s="7"/>
      <c r="I172" s="7"/>
      <c r="J172" s="16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 t="s">
        <v>173</v>
      </c>
      <c r="B173" s="31">
        <v>9.15</v>
      </c>
      <c r="C173" s="16">
        <v>1.0</v>
      </c>
      <c r="D173" s="17">
        <f t="shared" si="15"/>
        <v>9.15</v>
      </c>
      <c r="E173" s="22">
        <v>45397.0</v>
      </c>
      <c r="F173" s="16" t="s">
        <v>162</v>
      </c>
      <c r="G173" s="14"/>
      <c r="H173" s="7"/>
      <c r="I173" s="7"/>
      <c r="J173" s="16" t="s">
        <v>174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 t="s">
        <v>195</v>
      </c>
      <c r="B174" s="31">
        <v>11.68</v>
      </c>
      <c r="C174" s="16">
        <v>1.0</v>
      </c>
      <c r="D174" s="17">
        <f t="shared" si="15"/>
        <v>11.68</v>
      </c>
      <c r="E174" s="22">
        <v>45397.0</v>
      </c>
      <c r="F174" s="16" t="s">
        <v>162</v>
      </c>
      <c r="G174" s="14"/>
      <c r="H174" s="7"/>
      <c r="I174" s="7"/>
      <c r="J174" s="16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 t="s">
        <v>196</v>
      </c>
      <c r="B175" s="31">
        <v>7.65</v>
      </c>
      <c r="C175" s="16">
        <v>1.0</v>
      </c>
      <c r="D175" s="17">
        <f t="shared" si="15"/>
        <v>7.65</v>
      </c>
      <c r="E175" s="22">
        <v>45397.0</v>
      </c>
      <c r="F175" s="16" t="s">
        <v>162</v>
      </c>
      <c r="G175" s="14"/>
      <c r="H175" s="7"/>
      <c r="I175" s="7"/>
      <c r="J175" s="16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 t="s">
        <v>197</v>
      </c>
      <c r="B176" s="10">
        <v>25.53</v>
      </c>
      <c r="C176" s="16">
        <v>1.0</v>
      </c>
      <c r="D176" s="17">
        <f t="shared" si="15"/>
        <v>25.53</v>
      </c>
      <c r="E176" s="22">
        <v>45397.0</v>
      </c>
      <c r="F176" s="16" t="s">
        <v>162</v>
      </c>
      <c r="G176" s="14"/>
      <c r="H176" s="7"/>
      <c r="I176" s="7"/>
      <c r="J176" s="16" t="s">
        <v>198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 t="s">
        <v>179</v>
      </c>
      <c r="B177" s="10">
        <v>62.84</v>
      </c>
      <c r="C177" s="16">
        <v>1.0</v>
      </c>
      <c r="D177" s="17">
        <f t="shared" si="15"/>
        <v>62.84</v>
      </c>
      <c r="E177" s="22">
        <v>45615.0</v>
      </c>
      <c r="F177" s="16" t="s">
        <v>163</v>
      </c>
      <c r="G177" s="14"/>
      <c r="H177" s="7"/>
      <c r="I177" s="7"/>
      <c r="J177" s="16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 t="s">
        <v>180</v>
      </c>
      <c r="B178" s="10">
        <v>31.64</v>
      </c>
      <c r="C178" s="16">
        <v>1.0</v>
      </c>
      <c r="D178" s="17">
        <f t="shared" si="15"/>
        <v>31.64</v>
      </c>
      <c r="E178" s="22">
        <v>45615.0</v>
      </c>
      <c r="F178" s="16" t="s">
        <v>163</v>
      </c>
      <c r="G178" s="14"/>
      <c r="H178" s="7"/>
      <c r="I178" s="7"/>
      <c r="J178" s="16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 t="s">
        <v>199</v>
      </c>
      <c r="B179" s="10">
        <v>1.61</v>
      </c>
      <c r="C179" s="16">
        <v>2.0</v>
      </c>
      <c r="D179" s="17">
        <f t="shared" si="15"/>
        <v>3.22</v>
      </c>
      <c r="E179" s="22">
        <v>45394.0</v>
      </c>
      <c r="F179" s="16" t="s">
        <v>26</v>
      </c>
      <c r="G179" s="14"/>
      <c r="H179" s="7"/>
      <c r="I179" s="7"/>
      <c r="J179" s="16" t="s">
        <v>125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15" t="s">
        <v>109</v>
      </c>
      <c r="B180" s="10">
        <v>1.94</v>
      </c>
      <c r="C180" s="16">
        <v>1.0</v>
      </c>
      <c r="D180" s="17">
        <f t="shared" si="15"/>
        <v>1.94</v>
      </c>
      <c r="E180" s="22">
        <v>45610.0</v>
      </c>
      <c r="F180" s="16" t="s">
        <v>26</v>
      </c>
      <c r="G180" s="14"/>
      <c r="H180" s="7"/>
      <c r="I180" s="7"/>
      <c r="J180" s="16" t="s">
        <v>110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15" t="s">
        <v>111</v>
      </c>
      <c r="B181" s="10">
        <v>1.57</v>
      </c>
      <c r="C181" s="16">
        <v>1.0</v>
      </c>
      <c r="D181" s="17">
        <f t="shared" si="15"/>
        <v>1.57</v>
      </c>
      <c r="E181" s="22">
        <v>45644.0</v>
      </c>
      <c r="F181" s="16" t="s">
        <v>26</v>
      </c>
      <c r="G181" s="19" t="s">
        <v>112</v>
      </c>
      <c r="H181" s="7"/>
      <c r="I181" s="7"/>
      <c r="J181" s="16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15"/>
      <c r="B182" s="10"/>
      <c r="C182" s="16"/>
      <c r="D182" s="11"/>
      <c r="E182" s="7"/>
      <c r="F182" s="16"/>
      <c r="G182" s="18"/>
      <c r="H182" s="16"/>
      <c r="I182" s="16"/>
      <c r="J182" s="16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0" customHeight="1">
      <c r="A183" s="34" t="s">
        <v>200</v>
      </c>
      <c r="B183" s="4">
        <f>SUM(D184:D194)</f>
        <v>205.52</v>
      </c>
      <c r="C183" s="16"/>
      <c r="D183" s="11"/>
      <c r="E183" s="7"/>
      <c r="F183" s="16"/>
      <c r="G183" s="18"/>
      <c r="H183" s="16"/>
      <c r="I183" s="16"/>
      <c r="J183" s="16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0" customHeight="1">
      <c r="A184" s="7" t="s">
        <v>201</v>
      </c>
      <c r="B184" s="35">
        <v>66.9</v>
      </c>
      <c r="C184" s="16">
        <v>1.0</v>
      </c>
      <c r="D184" s="17">
        <f t="shared" ref="D184:D193" si="16">B184*C184</f>
        <v>66.9</v>
      </c>
      <c r="E184" s="22">
        <v>45397.0</v>
      </c>
      <c r="F184" s="16" t="s">
        <v>130</v>
      </c>
      <c r="G184" s="18"/>
      <c r="H184" s="16"/>
      <c r="I184" s="16"/>
      <c r="J184" s="16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 t="s">
        <v>167</v>
      </c>
      <c r="B185" s="31">
        <v>18.33</v>
      </c>
      <c r="C185" s="16">
        <v>1.0</v>
      </c>
      <c r="D185" s="17">
        <f t="shared" si="16"/>
        <v>18.33</v>
      </c>
      <c r="E185" s="22">
        <v>45397.0</v>
      </c>
      <c r="F185" s="16" t="s">
        <v>162</v>
      </c>
      <c r="G185" s="14"/>
      <c r="H185" s="7"/>
      <c r="I185" s="7"/>
      <c r="J185" s="16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 t="s">
        <v>167</v>
      </c>
      <c r="B186" s="7">
        <v>25.66</v>
      </c>
      <c r="C186" s="16">
        <v>1.0</v>
      </c>
      <c r="D186" s="17">
        <f t="shared" si="16"/>
        <v>25.66</v>
      </c>
      <c r="E186" s="22">
        <v>45567.0</v>
      </c>
      <c r="F186" s="16" t="s">
        <v>163</v>
      </c>
      <c r="G186" s="14"/>
      <c r="H186" s="7"/>
      <c r="I186" s="7"/>
      <c r="J186" s="7" t="s">
        <v>164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 t="s">
        <v>167</v>
      </c>
      <c r="B187" s="31">
        <v>22.47</v>
      </c>
      <c r="C187" s="16">
        <v>1.0</v>
      </c>
      <c r="D187" s="17">
        <f t="shared" si="16"/>
        <v>22.47</v>
      </c>
      <c r="E187" s="22">
        <v>45693.0</v>
      </c>
      <c r="F187" s="16" t="s">
        <v>202</v>
      </c>
      <c r="G187" s="14"/>
      <c r="H187" s="7"/>
      <c r="I187" s="7"/>
      <c r="J187" s="7" t="s">
        <v>203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 t="s">
        <v>170</v>
      </c>
      <c r="B188" s="31">
        <v>7.53</v>
      </c>
      <c r="C188" s="16">
        <v>1.0</v>
      </c>
      <c r="D188" s="17">
        <f t="shared" si="16"/>
        <v>7.53</v>
      </c>
      <c r="E188" s="22">
        <v>45397.0</v>
      </c>
      <c r="F188" s="16" t="s">
        <v>162</v>
      </c>
      <c r="G188" s="14"/>
      <c r="H188" s="7"/>
      <c r="I188" s="7"/>
      <c r="J188" s="16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 t="s">
        <v>172</v>
      </c>
      <c r="B189" s="10">
        <v>13.5</v>
      </c>
      <c r="C189" s="16">
        <v>2.0</v>
      </c>
      <c r="D189" s="17">
        <f t="shared" si="16"/>
        <v>27</v>
      </c>
      <c r="E189" s="22">
        <v>45397.0</v>
      </c>
      <c r="F189" s="16" t="s">
        <v>162</v>
      </c>
      <c r="G189" s="18"/>
      <c r="H189" s="16"/>
      <c r="I189" s="16"/>
      <c r="J189" s="16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 t="s">
        <v>204</v>
      </c>
      <c r="B190" s="10">
        <v>23.7</v>
      </c>
      <c r="C190" s="16">
        <v>1.0</v>
      </c>
      <c r="D190" s="17">
        <f t="shared" si="16"/>
        <v>23.7</v>
      </c>
      <c r="E190" s="22">
        <v>45397.0</v>
      </c>
      <c r="F190" s="16" t="s">
        <v>162</v>
      </c>
      <c r="G190" s="18"/>
      <c r="H190" s="16"/>
      <c r="I190" s="16"/>
      <c r="J190" s="16" t="s">
        <v>205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 t="s">
        <v>206</v>
      </c>
      <c r="B191" s="10">
        <v>7.65</v>
      </c>
      <c r="C191" s="16">
        <v>1.0</v>
      </c>
      <c r="D191" s="17">
        <f t="shared" si="16"/>
        <v>7.65</v>
      </c>
      <c r="E191" s="22">
        <v>45397.0</v>
      </c>
      <c r="F191" s="16" t="s">
        <v>162</v>
      </c>
      <c r="G191" s="18"/>
      <c r="H191" s="16"/>
      <c r="I191" s="16"/>
      <c r="J191" s="16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 t="s">
        <v>207</v>
      </c>
      <c r="B192" s="10">
        <v>4.83</v>
      </c>
      <c r="C192" s="16">
        <v>1.0</v>
      </c>
      <c r="D192" s="17">
        <f t="shared" si="16"/>
        <v>4.83</v>
      </c>
      <c r="E192" s="22">
        <v>45394.0</v>
      </c>
      <c r="F192" s="16" t="s">
        <v>26</v>
      </c>
      <c r="G192" s="18"/>
      <c r="H192" s="16"/>
      <c r="I192" s="16"/>
      <c r="J192" s="16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 t="s">
        <v>208</v>
      </c>
      <c r="B193" s="10">
        <v>1.45</v>
      </c>
      <c r="C193" s="16">
        <v>1.0</v>
      </c>
      <c r="D193" s="17">
        <f t="shared" si="16"/>
        <v>1.45</v>
      </c>
      <c r="E193" s="22">
        <v>45394.0</v>
      </c>
      <c r="F193" s="16" t="s">
        <v>26</v>
      </c>
      <c r="G193" s="18"/>
      <c r="H193" s="16"/>
      <c r="I193" s="16"/>
      <c r="J193" s="16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15"/>
      <c r="B194" s="10"/>
      <c r="C194" s="16"/>
      <c r="D194" s="17"/>
      <c r="E194" s="7"/>
      <c r="F194" s="16"/>
      <c r="G194" s="18"/>
      <c r="H194" s="16"/>
      <c r="I194" s="16"/>
      <c r="J194" s="16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0" customHeight="1">
      <c r="A195" s="34" t="s">
        <v>209</v>
      </c>
      <c r="B195" s="4">
        <f>SUM(D196:D203)</f>
        <v>85.21</v>
      </c>
      <c r="C195" s="16"/>
      <c r="D195" s="11"/>
      <c r="E195" s="7"/>
      <c r="F195" s="16"/>
      <c r="G195" s="18"/>
      <c r="H195" s="16"/>
      <c r="I195" s="16"/>
      <c r="J195" s="16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0" customHeight="1">
      <c r="A196" s="15" t="s">
        <v>140</v>
      </c>
      <c r="B196" s="35">
        <v>0.0</v>
      </c>
      <c r="C196" s="16">
        <v>1.0</v>
      </c>
      <c r="D196" s="17">
        <f t="shared" ref="D196:D202" si="17">B196*C196</f>
        <v>0</v>
      </c>
      <c r="E196" s="7"/>
      <c r="F196" s="16" t="s">
        <v>141</v>
      </c>
      <c r="G196" s="18"/>
      <c r="H196" s="16"/>
      <c r="I196" s="16"/>
      <c r="J196" s="16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0" customHeight="1">
      <c r="A197" s="15" t="s">
        <v>210</v>
      </c>
      <c r="B197" s="10">
        <v>3.5</v>
      </c>
      <c r="C197" s="16">
        <v>4.0</v>
      </c>
      <c r="D197" s="17">
        <f t="shared" si="17"/>
        <v>14</v>
      </c>
      <c r="E197" s="22">
        <v>45566.0</v>
      </c>
      <c r="F197" s="7" t="s">
        <v>130</v>
      </c>
      <c r="G197" s="18" t="s">
        <v>211</v>
      </c>
      <c r="H197" s="16"/>
      <c r="I197" s="16"/>
      <c r="J197" s="16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0" customHeight="1">
      <c r="A198" s="15" t="s">
        <v>212</v>
      </c>
      <c r="B198" s="10">
        <v>1.65</v>
      </c>
      <c r="C198" s="16">
        <v>2.0</v>
      </c>
      <c r="D198" s="17">
        <f t="shared" si="17"/>
        <v>3.3</v>
      </c>
      <c r="E198" s="22">
        <v>45566.0</v>
      </c>
      <c r="F198" s="7" t="s">
        <v>130</v>
      </c>
      <c r="G198" s="14" t="s">
        <v>213</v>
      </c>
      <c r="H198" s="16"/>
      <c r="I198" s="16"/>
      <c r="J198" s="16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0" customHeight="1">
      <c r="A199" s="15" t="s">
        <v>214</v>
      </c>
      <c r="B199" s="10">
        <v>3.15</v>
      </c>
      <c r="C199" s="16">
        <v>1.0</v>
      </c>
      <c r="D199" s="17">
        <f t="shared" si="17"/>
        <v>3.15</v>
      </c>
      <c r="E199" s="22">
        <v>45567.0</v>
      </c>
      <c r="F199" s="7" t="s">
        <v>26</v>
      </c>
      <c r="G199" s="14" t="s">
        <v>215</v>
      </c>
      <c r="H199" s="16"/>
      <c r="I199" s="16"/>
      <c r="J199" s="16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15" t="s">
        <v>216</v>
      </c>
      <c r="B200" s="10">
        <v>2.78</v>
      </c>
      <c r="C200" s="16">
        <v>4.0</v>
      </c>
      <c r="D200" s="17">
        <f t="shared" si="17"/>
        <v>11.12</v>
      </c>
      <c r="E200" s="22">
        <v>45397.0</v>
      </c>
      <c r="F200" s="13" t="s">
        <v>130</v>
      </c>
      <c r="G200" s="14" t="s">
        <v>143</v>
      </c>
      <c r="H200" s="16"/>
      <c r="I200" s="7"/>
      <c r="J200" s="16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15" t="s">
        <v>149</v>
      </c>
      <c r="B201" s="10">
        <v>8.94</v>
      </c>
      <c r="C201" s="16">
        <v>6.0</v>
      </c>
      <c r="D201" s="17">
        <f t="shared" si="17"/>
        <v>53.64</v>
      </c>
      <c r="E201" s="22">
        <v>45397.0</v>
      </c>
      <c r="F201" s="13" t="s">
        <v>130</v>
      </c>
      <c r="G201" s="14" t="s">
        <v>150</v>
      </c>
      <c r="H201" s="16"/>
      <c r="I201" s="7"/>
      <c r="J201" s="16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15" t="s">
        <v>217</v>
      </c>
      <c r="B202" s="10"/>
      <c r="C202" s="16">
        <v>4.0</v>
      </c>
      <c r="D202" s="17">
        <f t="shared" si="17"/>
        <v>0</v>
      </c>
      <c r="E202" s="7"/>
      <c r="F202" s="13"/>
      <c r="G202" s="14"/>
      <c r="H202" s="16"/>
      <c r="I202" s="7"/>
      <c r="J202" s="16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15"/>
      <c r="B203" s="10"/>
      <c r="C203" s="16"/>
      <c r="D203" s="11"/>
      <c r="E203" s="7"/>
      <c r="F203" s="16"/>
      <c r="G203" s="18"/>
      <c r="H203" s="16"/>
      <c r="I203" s="16"/>
      <c r="J203" s="16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46" t="s">
        <v>218</v>
      </c>
      <c r="B204" s="4">
        <f>SUM(D205:D216)</f>
        <v>4474.43</v>
      </c>
      <c r="C204" s="16"/>
      <c r="D204" s="7"/>
      <c r="E204" s="7"/>
      <c r="F204" s="16"/>
      <c r="G204" s="18"/>
      <c r="H204" s="16"/>
      <c r="I204" s="16"/>
      <c r="J204" s="16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47" t="s">
        <v>219</v>
      </c>
      <c r="B205" s="10">
        <v>1484.51</v>
      </c>
      <c r="C205" s="48">
        <v>1.0</v>
      </c>
      <c r="D205" s="11">
        <f t="shared" ref="D205:D209" si="18">C205*B205</f>
        <v>1484.51</v>
      </c>
      <c r="E205" s="12">
        <v>45142.0</v>
      </c>
      <c r="F205" s="7" t="s">
        <v>220</v>
      </c>
      <c r="G205" s="14" t="s">
        <v>221</v>
      </c>
      <c r="H205" s="7" t="s">
        <v>220</v>
      </c>
      <c r="I205" s="7" t="s">
        <v>222</v>
      </c>
      <c r="J205" s="7" t="s">
        <v>47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47" t="s">
        <v>223</v>
      </c>
      <c r="B206" s="10">
        <v>1484.51</v>
      </c>
      <c r="C206" s="48">
        <v>1.0</v>
      </c>
      <c r="D206" s="11">
        <f t="shared" si="18"/>
        <v>1484.51</v>
      </c>
      <c r="E206" s="12">
        <v>45142.0</v>
      </c>
      <c r="F206" s="7" t="s">
        <v>220</v>
      </c>
      <c r="G206" s="14" t="s">
        <v>221</v>
      </c>
      <c r="H206" s="7" t="s">
        <v>220</v>
      </c>
      <c r="I206" s="7" t="s">
        <v>224</v>
      </c>
      <c r="J206" s="7" t="s">
        <v>47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32" t="s">
        <v>225</v>
      </c>
      <c r="B207" s="10">
        <v>715.0</v>
      </c>
      <c r="C207" s="7">
        <v>1.0</v>
      </c>
      <c r="D207" s="11">
        <f t="shared" si="18"/>
        <v>715</v>
      </c>
      <c r="E207" s="12">
        <v>45142.0</v>
      </c>
      <c r="F207" s="13" t="s">
        <v>226</v>
      </c>
      <c r="G207" s="14" t="s">
        <v>227</v>
      </c>
      <c r="H207" s="7" t="s">
        <v>228</v>
      </c>
      <c r="I207" s="7" t="s">
        <v>229</v>
      </c>
      <c r="J207" s="7" t="s">
        <v>47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32" t="s">
        <v>230</v>
      </c>
      <c r="B208" s="10">
        <v>523.0</v>
      </c>
      <c r="C208" s="7">
        <v>1.0</v>
      </c>
      <c r="D208" s="11">
        <f t="shared" si="18"/>
        <v>523</v>
      </c>
      <c r="E208" s="12">
        <v>45142.0</v>
      </c>
      <c r="F208" s="13" t="s">
        <v>226</v>
      </c>
      <c r="G208" s="14" t="s">
        <v>231</v>
      </c>
      <c r="H208" s="7" t="s">
        <v>232</v>
      </c>
      <c r="I208" s="7" t="s">
        <v>231</v>
      </c>
      <c r="J208" s="7" t="s">
        <v>47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32" t="s">
        <v>233</v>
      </c>
      <c r="B209" s="10">
        <v>108.58</v>
      </c>
      <c r="C209" s="7">
        <v>1.0</v>
      </c>
      <c r="D209" s="11">
        <f t="shared" si="18"/>
        <v>108.58</v>
      </c>
      <c r="E209" s="12">
        <v>45425.0</v>
      </c>
      <c r="F209" s="13" t="s">
        <v>234</v>
      </c>
      <c r="G209" s="14">
        <v>1.00439639E8</v>
      </c>
      <c r="H209" s="7" t="s">
        <v>235</v>
      </c>
      <c r="I209" s="7" t="s">
        <v>236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33" t="s">
        <v>237</v>
      </c>
      <c r="B210" s="10"/>
      <c r="C210" s="7"/>
      <c r="D210" s="11"/>
      <c r="E210" s="12"/>
      <c r="F210" s="13"/>
      <c r="G210" s="14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16" t="s">
        <v>238</v>
      </c>
      <c r="B211" s="31">
        <v>66.62</v>
      </c>
      <c r="C211" s="7">
        <v>1.0</v>
      </c>
      <c r="D211" s="11">
        <f>C211*B211</f>
        <v>66.62</v>
      </c>
      <c r="E211" s="22">
        <v>45406.0</v>
      </c>
      <c r="F211" s="16" t="s">
        <v>239</v>
      </c>
      <c r="G211" s="1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 t="s">
        <v>177</v>
      </c>
      <c r="B212" s="31">
        <v>23.7</v>
      </c>
      <c r="C212" s="16">
        <v>1.0</v>
      </c>
      <c r="D212" s="17">
        <f>B212*C212</f>
        <v>23.7</v>
      </c>
      <c r="E212" s="22">
        <v>45397.0</v>
      </c>
      <c r="F212" s="16" t="s">
        <v>162</v>
      </c>
      <c r="G212" s="14"/>
      <c r="H212" s="7"/>
      <c r="I212" s="7"/>
      <c r="J212" s="16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34" t="s">
        <v>240</v>
      </c>
      <c r="B213" s="31"/>
      <c r="C213" s="7"/>
      <c r="D213" s="11"/>
      <c r="E213" s="12"/>
      <c r="F213" s="16"/>
      <c r="G213" s="1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16" t="s">
        <v>238</v>
      </c>
      <c r="B214" s="31">
        <v>66.62</v>
      </c>
      <c r="C214" s="7">
        <v>1.0</v>
      </c>
      <c r="D214" s="11">
        <f t="shared" ref="D214:D215" si="19">C214*B214</f>
        <v>66.62</v>
      </c>
      <c r="E214" s="22">
        <v>45406.0</v>
      </c>
      <c r="F214" s="16" t="s">
        <v>239</v>
      </c>
      <c r="G214" s="1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16" t="s">
        <v>107</v>
      </c>
      <c r="B215" s="31">
        <v>1.89</v>
      </c>
      <c r="C215" s="7">
        <v>1.0</v>
      </c>
      <c r="D215" s="11">
        <f t="shared" si="19"/>
        <v>1.89</v>
      </c>
      <c r="E215" s="22">
        <v>45394.0</v>
      </c>
      <c r="F215" s="16" t="s">
        <v>26</v>
      </c>
      <c r="G215" s="1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46"/>
      <c r="B216" s="10"/>
      <c r="C216" s="16"/>
      <c r="D216" s="11"/>
      <c r="E216" s="7"/>
      <c r="F216" s="16"/>
      <c r="G216" s="18"/>
      <c r="H216" s="16"/>
      <c r="I216" s="16"/>
      <c r="J216" s="16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46" t="s">
        <v>241</v>
      </c>
      <c r="B217" s="4">
        <f>SUM(D218:D230)</f>
        <v>4691.79</v>
      </c>
      <c r="C217" s="16"/>
      <c r="D217" s="7"/>
      <c r="E217" s="7"/>
      <c r="F217" s="16"/>
      <c r="G217" s="18"/>
      <c r="H217" s="16"/>
      <c r="I217" s="16"/>
      <c r="J217" s="16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47" t="s">
        <v>219</v>
      </c>
      <c r="B218" s="10">
        <v>1484.51</v>
      </c>
      <c r="C218" s="48">
        <v>1.0</v>
      </c>
      <c r="D218" s="11">
        <f t="shared" ref="D218:D222" si="20">C218*B218</f>
        <v>1484.51</v>
      </c>
      <c r="E218" s="12">
        <v>45142.0</v>
      </c>
      <c r="F218" s="7" t="s">
        <v>220</v>
      </c>
      <c r="G218" s="14" t="s">
        <v>221</v>
      </c>
      <c r="H218" s="7" t="s">
        <v>220</v>
      </c>
      <c r="I218" s="7" t="s">
        <v>242</v>
      </c>
      <c r="J218" s="7" t="s">
        <v>47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32" t="s">
        <v>243</v>
      </c>
      <c r="B219" s="10">
        <v>582.5</v>
      </c>
      <c r="C219" s="7">
        <v>1.0</v>
      </c>
      <c r="D219" s="11">
        <f t="shared" si="20"/>
        <v>582.5</v>
      </c>
      <c r="E219" s="12">
        <v>45142.0</v>
      </c>
      <c r="F219" s="13" t="s">
        <v>226</v>
      </c>
      <c r="G219" s="14" t="s">
        <v>244</v>
      </c>
      <c r="H219" s="7" t="s">
        <v>245</v>
      </c>
      <c r="I219" s="7" t="s">
        <v>246</v>
      </c>
      <c r="J219" s="7" t="s">
        <v>47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32" t="s">
        <v>247</v>
      </c>
      <c r="B220" s="10">
        <v>2187.5</v>
      </c>
      <c r="C220" s="7">
        <v>1.0</v>
      </c>
      <c r="D220" s="11">
        <f t="shared" si="20"/>
        <v>2187.5</v>
      </c>
      <c r="E220" s="12">
        <v>45142.0</v>
      </c>
      <c r="F220" s="13" t="s">
        <v>226</v>
      </c>
      <c r="G220" s="14" t="s">
        <v>248</v>
      </c>
      <c r="H220" s="7" t="s">
        <v>232</v>
      </c>
      <c r="I220" s="7" t="s">
        <v>249</v>
      </c>
      <c r="J220" s="7" t="s">
        <v>47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32" t="s">
        <v>250</v>
      </c>
      <c r="B221" s="31">
        <v>0.0</v>
      </c>
      <c r="C221" s="7">
        <v>1.0</v>
      </c>
      <c r="D221" s="11">
        <f t="shared" si="20"/>
        <v>0</v>
      </c>
      <c r="E221" s="12"/>
      <c r="F221" s="13"/>
      <c r="G221" s="14"/>
      <c r="H221" s="7"/>
      <c r="I221" s="7"/>
      <c r="J221" s="7" t="s">
        <v>251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16" t="s">
        <v>252</v>
      </c>
      <c r="B222" s="31">
        <v>9.38</v>
      </c>
      <c r="C222" s="7">
        <v>5.0</v>
      </c>
      <c r="D222" s="11">
        <f t="shared" si="20"/>
        <v>46.9</v>
      </c>
      <c r="E222" s="22">
        <v>45561.0</v>
      </c>
      <c r="F222" s="16" t="s">
        <v>26</v>
      </c>
      <c r="G222" s="18" t="s">
        <v>253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33" t="s">
        <v>237</v>
      </c>
      <c r="B223" s="10"/>
      <c r="C223" s="7"/>
      <c r="D223" s="11"/>
      <c r="E223" s="12"/>
      <c r="F223" s="13"/>
      <c r="G223" s="14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 t="s">
        <v>254</v>
      </c>
      <c r="B224" s="31">
        <v>70.59</v>
      </c>
      <c r="C224" s="7">
        <v>1.0</v>
      </c>
      <c r="D224" s="11">
        <f>C224*B224</f>
        <v>70.59</v>
      </c>
      <c r="E224" s="22">
        <v>45406.0</v>
      </c>
      <c r="F224" s="16" t="s">
        <v>239</v>
      </c>
      <c r="G224" s="1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34" t="s">
        <v>240</v>
      </c>
      <c r="B225" s="31"/>
      <c r="C225" s="7"/>
      <c r="D225" s="11"/>
      <c r="E225" s="12"/>
      <c r="F225" s="16"/>
      <c r="G225" s="14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16" t="s">
        <v>238</v>
      </c>
      <c r="B226" s="31">
        <v>66.62</v>
      </c>
      <c r="C226" s="7">
        <v>1.0</v>
      </c>
      <c r="D226" s="11">
        <f t="shared" ref="D226:D228" si="21">C226*B226</f>
        <v>66.62</v>
      </c>
      <c r="E226" s="22">
        <v>45406.0</v>
      </c>
      <c r="F226" s="16" t="s">
        <v>239</v>
      </c>
      <c r="G226" s="1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16" t="s">
        <v>238</v>
      </c>
      <c r="B227" s="7">
        <v>30.96</v>
      </c>
      <c r="C227" s="7">
        <v>1.0</v>
      </c>
      <c r="D227" s="11">
        <f t="shared" si="21"/>
        <v>30.96</v>
      </c>
      <c r="E227" s="22">
        <v>45567.0</v>
      </c>
      <c r="F227" s="16" t="s">
        <v>239</v>
      </c>
      <c r="G227" s="14"/>
      <c r="H227" s="7"/>
      <c r="I227" s="7"/>
      <c r="J227" s="16" t="s">
        <v>255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16" t="s">
        <v>107</v>
      </c>
      <c r="B228" s="31">
        <v>1.89</v>
      </c>
      <c r="C228" s="7">
        <v>1.0</v>
      </c>
      <c r="D228" s="11">
        <f t="shared" si="21"/>
        <v>1.89</v>
      </c>
      <c r="E228" s="22">
        <v>45394.0</v>
      </c>
      <c r="F228" s="16" t="s">
        <v>26</v>
      </c>
      <c r="G228" s="1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15" t="s">
        <v>256</v>
      </c>
      <c r="B229" s="10">
        <v>220.32</v>
      </c>
      <c r="C229" s="16">
        <v>1.0</v>
      </c>
      <c r="D229" s="17">
        <f>B229*C229</f>
        <v>220.32</v>
      </c>
      <c r="E229" s="22">
        <v>45693.0</v>
      </c>
      <c r="F229" s="16" t="s">
        <v>202</v>
      </c>
      <c r="G229" s="14"/>
      <c r="H229" s="16"/>
      <c r="I229" s="7"/>
      <c r="J229" s="16" t="s">
        <v>257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46"/>
      <c r="B230" s="7"/>
      <c r="C230" s="16"/>
      <c r="D230" s="11"/>
      <c r="E230" s="7"/>
      <c r="F230" s="16"/>
      <c r="G230" s="18"/>
      <c r="H230" s="16"/>
      <c r="I230" s="16"/>
      <c r="J230" s="16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46" t="s">
        <v>258</v>
      </c>
      <c r="B231" s="4">
        <f>SUM(D232:D233)</f>
        <v>786</v>
      </c>
      <c r="C231" s="16"/>
      <c r="D231" s="7"/>
      <c r="E231" s="7"/>
      <c r="F231" s="16"/>
      <c r="G231" s="18"/>
      <c r="H231" s="16"/>
      <c r="I231" s="16"/>
      <c r="J231" s="16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15" t="s">
        <v>259</v>
      </c>
      <c r="B232" s="10">
        <v>786.0</v>
      </c>
      <c r="C232" s="16">
        <v>1.0</v>
      </c>
      <c r="D232" s="11">
        <f>C232*B232</f>
        <v>786</v>
      </c>
      <c r="E232" s="22">
        <v>45174.0</v>
      </c>
      <c r="F232" s="7" t="s">
        <v>260</v>
      </c>
      <c r="G232" s="14"/>
      <c r="H232" s="16" t="s">
        <v>261</v>
      </c>
      <c r="I232" s="16">
        <v>6.8514437937E10</v>
      </c>
      <c r="J232" s="49" t="s">
        <v>262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46"/>
      <c r="B233" s="10"/>
      <c r="C233" s="16"/>
      <c r="D233" s="11"/>
      <c r="E233" s="7"/>
      <c r="F233" s="16"/>
      <c r="G233" s="18"/>
      <c r="H233" s="16"/>
      <c r="I233" s="16"/>
      <c r="J233" s="16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46" t="s">
        <v>263</v>
      </c>
      <c r="B234" s="4">
        <f>SUM(D235:D268)</f>
        <v>5932.05</v>
      </c>
      <c r="C234" s="16"/>
      <c r="D234" s="7"/>
      <c r="E234" s="22"/>
      <c r="F234" s="16"/>
      <c r="G234" s="18"/>
      <c r="H234" s="16"/>
      <c r="I234" s="1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15" t="s">
        <v>264</v>
      </c>
      <c r="B235" s="10">
        <v>525.0</v>
      </c>
      <c r="C235" s="16">
        <v>6.0</v>
      </c>
      <c r="D235" s="17">
        <f t="shared" ref="D235:D253" si="22">B235*C235</f>
        <v>3150</v>
      </c>
      <c r="E235" s="22">
        <v>45196.0</v>
      </c>
      <c r="F235" s="16" t="s">
        <v>265</v>
      </c>
      <c r="G235" s="18" t="s">
        <v>266</v>
      </c>
      <c r="H235" s="16" t="s">
        <v>265</v>
      </c>
      <c r="I235" s="16" t="s">
        <v>266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15" t="s">
        <v>267</v>
      </c>
      <c r="B236" s="10">
        <v>234.99</v>
      </c>
      <c r="C236" s="16">
        <v>6.0</v>
      </c>
      <c r="D236" s="17">
        <f t="shared" si="22"/>
        <v>1409.94</v>
      </c>
      <c r="E236" s="22">
        <v>45191.0</v>
      </c>
      <c r="F236" s="16" t="s">
        <v>51</v>
      </c>
      <c r="G236" s="18"/>
      <c r="H236" s="16" t="s">
        <v>268</v>
      </c>
      <c r="I236" s="16" t="s">
        <v>269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15" t="s">
        <v>210</v>
      </c>
      <c r="B237" s="10">
        <v>3.5</v>
      </c>
      <c r="C237" s="16">
        <v>12.0</v>
      </c>
      <c r="D237" s="17">
        <f t="shared" si="22"/>
        <v>42</v>
      </c>
      <c r="E237" s="22">
        <v>45369.0</v>
      </c>
      <c r="F237" s="7" t="s">
        <v>130</v>
      </c>
      <c r="G237" s="18" t="s">
        <v>211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15" t="s">
        <v>270</v>
      </c>
      <c r="B238" s="10">
        <v>24.33</v>
      </c>
      <c r="C238" s="16">
        <v>1.0</v>
      </c>
      <c r="D238" s="17">
        <f t="shared" si="22"/>
        <v>24.33</v>
      </c>
      <c r="E238" s="22">
        <v>45329.0</v>
      </c>
      <c r="F238" s="16" t="s">
        <v>26</v>
      </c>
      <c r="G238" s="18" t="s">
        <v>271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15" t="s">
        <v>272</v>
      </c>
      <c r="B239" s="10">
        <v>24.3</v>
      </c>
      <c r="C239" s="16">
        <v>2.0</v>
      </c>
      <c r="D239" s="17">
        <f t="shared" si="22"/>
        <v>48.6</v>
      </c>
      <c r="E239" s="22">
        <v>45397.0</v>
      </c>
      <c r="F239" s="16" t="s">
        <v>162</v>
      </c>
      <c r="G239" s="18"/>
      <c r="H239" s="16"/>
      <c r="I239" s="1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15" t="s">
        <v>273</v>
      </c>
      <c r="B240" s="10">
        <v>5.7</v>
      </c>
      <c r="C240" s="16">
        <v>4.0</v>
      </c>
      <c r="D240" s="17">
        <f t="shared" si="22"/>
        <v>22.8</v>
      </c>
      <c r="E240" s="22">
        <v>45397.0</v>
      </c>
      <c r="F240" s="16" t="s">
        <v>162</v>
      </c>
      <c r="G240" s="18"/>
      <c r="H240" s="16"/>
      <c r="I240" s="1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15" t="s">
        <v>274</v>
      </c>
      <c r="B241" s="10">
        <v>6.93</v>
      </c>
      <c r="C241" s="16">
        <v>4.0</v>
      </c>
      <c r="D241" s="17">
        <f t="shared" si="22"/>
        <v>27.72</v>
      </c>
      <c r="E241" s="22">
        <v>45397.0</v>
      </c>
      <c r="F241" s="16" t="s">
        <v>162</v>
      </c>
      <c r="G241" s="18"/>
      <c r="H241" s="16"/>
      <c r="I241" s="1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15" t="s">
        <v>275</v>
      </c>
      <c r="B242" s="10">
        <v>23.38</v>
      </c>
      <c r="C242" s="16">
        <v>4.0</v>
      </c>
      <c r="D242" s="17">
        <f t="shared" si="22"/>
        <v>93.52</v>
      </c>
      <c r="E242" s="22">
        <v>45397.0</v>
      </c>
      <c r="F242" s="16" t="s">
        <v>162</v>
      </c>
      <c r="G242" s="14"/>
      <c r="H242" s="16"/>
      <c r="I242" s="1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15" t="s">
        <v>276</v>
      </c>
      <c r="B243" s="10">
        <v>14.9</v>
      </c>
      <c r="C243" s="16">
        <v>4.0</v>
      </c>
      <c r="D243" s="17">
        <f t="shared" si="22"/>
        <v>59.6</v>
      </c>
      <c r="E243" s="22">
        <v>45397.0</v>
      </c>
      <c r="F243" s="16" t="s">
        <v>162</v>
      </c>
      <c r="G243" s="18"/>
      <c r="H243" s="16"/>
      <c r="I243" s="1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15" t="s">
        <v>277</v>
      </c>
      <c r="B244" s="10">
        <v>17.28</v>
      </c>
      <c r="C244" s="16">
        <v>2.0</v>
      </c>
      <c r="D244" s="17">
        <f t="shared" si="22"/>
        <v>34.56</v>
      </c>
      <c r="E244" s="22">
        <v>45397.0</v>
      </c>
      <c r="F244" s="16" t="s">
        <v>162</v>
      </c>
      <c r="G244" s="18"/>
      <c r="H244" s="16"/>
      <c r="I244" s="1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15" t="s">
        <v>278</v>
      </c>
      <c r="B245" s="10">
        <v>5.25</v>
      </c>
      <c r="C245" s="16">
        <v>6.0</v>
      </c>
      <c r="D245" s="17">
        <f t="shared" si="22"/>
        <v>31.5</v>
      </c>
      <c r="E245" s="22">
        <v>45329.0</v>
      </c>
      <c r="F245" s="16" t="s">
        <v>62</v>
      </c>
      <c r="G245" s="43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15" t="s">
        <v>279</v>
      </c>
      <c r="B246" s="10">
        <v>1.54</v>
      </c>
      <c r="C246" s="16">
        <v>6.0</v>
      </c>
      <c r="D246" s="17">
        <f t="shared" si="22"/>
        <v>9.24</v>
      </c>
      <c r="E246" s="22">
        <v>45329.0</v>
      </c>
      <c r="F246" s="16" t="s">
        <v>26</v>
      </c>
      <c r="G246" s="43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15" t="s">
        <v>280</v>
      </c>
      <c r="B247" s="10">
        <v>91.62</v>
      </c>
      <c r="C247" s="16">
        <v>1.0</v>
      </c>
      <c r="D247" s="17">
        <f t="shared" si="22"/>
        <v>91.62</v>
      </c>
      <c r="E247" s="22">
        <v>45693.0</v>
      </c>
      <c r="F247" s="16" t="s">
        <v>202</v>
      </c>
      <c r="G247" s="18"/>
      <c r="H247" s="16"/>
      <c r="I247" s="16"/>
      <c r="J247" s="7" t="s">
        <v>281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15" t="s">
        <v>282</v>
      </c>
      <c r="B248" s="10">
        <v>180.84</v>
      </c>
      <c r="C248" s="16">
        <v>1.0</v>
      </c>
      <c r="D248" s="17">
        <f t="shared" si="22"/>
        <v>180.84</v>
      </c>
      <c r="E248" s="22">
        <v>45693.0</v>
      </c>
      <c r="F248" s="16" t="s">
        <v>202</v>
      </c>
      <c r="G248" s="18"/>
      <c r="H248" s="16"/>
      <c r="I248" s="16"/>
      <c r="J248" s="7" t="s">
        <v>283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15" t="s">
        <v>284</v>
      </c>
      <c r="B249" s="10">
        <v>180.84</v>
      </c>
      <c r="C249" s="16">
        <v>1.0</v>
      </c>
      <c r="D249" s="17">
        <f t="shared" si="22"/>
        <v>180.84</v>
      </c>
      <c r="E249" s="22">
        <v>45693.0</v>
      </c>
      <c r="F249" s="16" t="s">
        <v>202</v>
      </c>
      <c r="G249" s="18"/>
      <c r="H249" s="16"/>
      <c r="I249" s="16"/>
      <c r="J249" s="7" t="s">
        <v>283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15" t="s">
        <v>285</v>
      </c>
      <c r="B250" s="10">
        <v>179.69</v>
      </c>
      <c r="C250" s="16">
        <v>1.0</v>
      </c>
      <c r="D250" s="17">
        <f t="shared" si="22"/>
        <v>179.69</v>
      </c>
      <c r="E250" s="22">
        <v>45693.0</v>
      </c>
      <c r="F250" s="16" t="s">
        <v>202</v>
      </c>
      <c r="G250" s="14"/>
      <c r="H250" s="16"/>
      <c r="I250" s="7"/>
      <c r="J250" s="16" t="s">
        <v>286</v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15" t="s">
        <v>287</v>
      </c>
      <c r="B251" s="10">
        <v>62.34</v>
      </c>
      <c r="C251" s="16">
        <v>2.0</v>
      </c>
      <c r="D251" s="17">
        <f t="shared" si="22"/>
        <v>124.68</v>
      </c>
      <c r="E251" s="22">
        <v>45693.0</v>
      </c>
      <c r="F251" s="16" t="s">
        <v>202</v>
      </c>
      <c r="G251" s="18"/>
      <c r="H251" s="16"/>
      <c r="I251" s="16"/>
      <c r="J251" s="7" t="s">
        <v>288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15" t="s">
        <v>289</v>
      </c>
      <c r="B252" s="10">
        <v>63.84</v>
      </c>
      <c r="C252" s="16">
        <v>1.0</v>
      </c>
      <c r="D252" s="17">
        <f t="shared" si="22"/>
        <v>63.84</v>
      </c>
      <c r="E252" s="22">
        <v>45693.0</v>
      </c>
      <c r="F252" s="16" t="s">
        <v>202</v>
      </c>
      <c r="G252" s="18"/>
      <c r="H252" s="16"/>
      <c r="I252" s="16"/>
      <c r="J252" s="7" t="s">
        <v>290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15" t="s">
        <v>291</v>
      </c>
      <c r="B253" s="10">
        <v>62.04</v>
      </c>
      <c r="C253" s="16">
        <v>1.0</v>
      </c>
      <c r="D253" s="17">
        <f t="shared" si="22"/>
        <v>62.04</v>
      </c>
      <c r="E253" s="22">
        <v>45693.0</v>
      </c>
      <c r="F253" s="16" t="s">
        <v>202</v>
      </c>
      <c r="G253" s="18"/>
      <c r="H253" s="16"/>
      <c r="I253" s="16"/>
      <c r="J253" s="7" t="s">
        <v>292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15"/>
      <c r="B254" s="10"/>
      <c r="C254" s="16"/>
      <c r="D254" s="17"/>
      <c r="E254" s="22"/>
      <c r="F254" s="16"/>
      <c r="G254" s="18"/>
      <c r="H254" s="16"/>
      <c r="I254" s="1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34" t="s">
        <v>293</v>
      </c>
      <c r="B255" s="34"/>
      <c r="C255" s="34"/>
      <c r="D255" s="34"/>
      <c r="E255" s="34"/>
      <c r="F255" s="34"/>
      <c r="G255" s="50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15" t="s">
        <v>294</v>
      </c>
      <c r="B256" s="10">
        <v>35.45</v>
      </c>
      <c r="C256" s="16">
        <v>1.0</v>
      </c>
      <c r="D256" s="17">
        <f t="shared" ref="D256:D266" si="23">B256*C256</f>
        <v>35.45</v>
      </c>
      <c r="E256" s="22">
        <v>45329.0</v>
      </c>
      <c r="F256" s="16" t="s">
        <v>62</v>
      </c>
      <c r="G256" s="43"/>
      <c r="H256" s="16"/>
      <c r="I256" s="1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15" t="s">
        <v>295</v>
      </c>
      <c r="B257" s="10">
        <v>18.09</v>
      </c>
      <c r="C257" s="16">
        <v>1.0</v>
      </c>
      <c r="D257" s="17">
        <f t="shared" si="23"/>
        <v>18.09</v>
      </c>
      <c r="E257" s="22">
        <v>45329.0</v>
      </c>
      <c r="F257" s="16" t="s">
        <v>26</v>
      </c>
      <c r="G257" s="43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15" t="s">
        <v>103</v>
      </c>
      <c r="B258" s="10">
        <v>3.54</v>
      </c>
      <c r="C258" s="16">
        <v>1.0</v>
      </c>
      <c r="D258" s="17">
        <f t="shared" si="23"/>
        <v>3.54</v>
      </c>
      <c r="E258" s="22">
        <v>45329.0</v>
      </c>
      <c r="F258" s="16" t="s">
        <v>26</v>
      </c>
      <c r="G258" s="43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15" t="s">
        <v>105</v>
      </c>
      <c r="B259" s="10">
        <v>1.92</v>
      </c>
      <c r="C259" s="16">
        <v>1.0</v>
      </c>
      <c r="D259" s="17">
        <f t="shared" si="23"/>
        <v>1.92</v>
      </c>
      <c r="E259" s="22">
        <v>45394.0</v>
      </c>
      <c r="F259" s="16" t="s">
        <v>26</v>
      </c>
      <c r="G259" s="43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15" t="s">
        <v>296</v>
      </c>
      <c r="B260" s="10">
        <v>2.06</v>
      </c>
      <c r="C260" s="16">
        <v>2.0</v>
      </c>
      <c r="D260" s="17">
        <f t="shared" si="23"/>
        <v>4.12</v>
      </c>
      <c r="E260" s="22">
        <v>45329.0</v>
      </c>
      <c r="F260" s="16" t="s">
        <v>26</v>
      </c>
      <c r="G260" s="43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15" t="s">
        <v>297</v>
      </c>
      <c r="B261" s="10">
        <v>4.89</v>
      </c>
      <c r="C261" s="16">
        <v>2.0</v>
      </c>
      <c r="D261" s="17">
        <f t="shared" si="23"/>
        <v>9.78</v>
      </c>
      <c r="E261" s="22">
        <v>45329.0</v>
      </c>
      <c r="F261" s="16" t="s">
        <v>26</v>
      </c>
      <c r="G261" s="43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15" t="s">
        <v>106</v>
      </c>
      <c r="B262" s="15">
        <v>1.58</v>
      </c>
      <c r="C262" s="15">
        <v>1.0</v>
      </c>
      <c r="D262" s="15">
        <f t="shared" si="23"/>
        <v>1.58</v>
      </c>
      <c r="E262" s="22">
        <v>45394.0</v>
      </c>
      <c r="F262" s="15" t="s">
        <v>26</v>
      </c>
      <c r="G262" s="43"/>
      <c r="H262" s="15"/>
      <c r="I262" s="15"/>
      <c r="J262" s="15" t="s">
        <v>298</v>
      </c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 t="s">
        <v>299</v>
      </c>
      <c r="B263" s="10">
        <v>1.46</v>
      </c>
      <c r="C263" s="16">
        <v>2.0</v>
      </c>
      <c r="D263" s="17">
        <f t="shared" si="23"/>
        <v>2.92</v>
      </c>
      <c r="E263" s="22">
        <v>45329.0</v>
      </c>
      <c r="F263" s="16" t="s">
        <v>26</v>
      </c>
      <c r="G263" s="43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15" t="s">
        <v>108</v>
      </c>
      <c r="B264" s="10">
        <v>1.61</v>
      </c>
      <c r="C264" s="16">
        <v>4.0</v>
      </c>
      <c r="D264" s="17">
        <f t="shared" si="23"/>
        <v>6.44</v>
      </c>
      <c r="E264" s="22">
        <v>45329.0</v>
      </c>
      <c r="F264" s="16" t="s">
        <v>26</v>
      </c>
      <c r="G264" s="43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15" t="s">
        <v>59</v>
      </c>
      <c r="B265" s="10">
        <v>4.2</v>
      </c>
      <c r="C265" s="16">
        <v>2.0</v>
      </c>
      <c r="D265" s="17">
        <f t="shared" si="23"/>
        <v>8.4</v>
      </c>
      <c r="E265" s="22">
        <v>45329.0</v>
      </c>
      <c r="F265" s="16" t="s">
        <v>26</v>
      </c>
      <c r="G265" s="43"/>
      <c r="H265" s="11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15" t="s">
        <v>300</v>
      </c>
      <c r="B266" s="10">
        <v>2.45</v>
      </c>
      <c r="C266" s="16">
        <v>1.0</v>
      </c>
      <c r="D266" s="17">
        <f t="shared" si="23"/>
        <v>2.45</v>
      </c>
      <c r="E266" s="22">
        <v>45329.0</v>
      </c>
      <c r="F266" s="16" t="s">
        <v>62</v>
      </c>
      <c r="G266" s="43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15"/>
      <c r="B267" s="10"/>
      <c r="C267" s="16"/>
      <c r="D267" s="17"/>
      <c r="E267" s="22"/>
      <c r="F267" s="16"/>
      <c r="G267" s="43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15"/>
      <c r="B268" s="10"/>
      <c r="C268" s="16"/>
      <c r="D268" s="17"/>
      <c r="E268" s="7"/>
      <c r="F268" s="7"/>
      <c r="G268" s="14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46" t="s">
        <v>301</v>
      </c>
      <c r="B269" s="4">
        <f>SUM(D270:D283)</f>
        <v>2601.83</v>
      </c>
      <c r="C269" s="16"/>
      <c r="D269" s="7"/>
      <c r="E269" s="7"/>
      <c r="F269" s="7"/>
      <c r="G269" s="14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32" t="s">
        <v>302</v>
      </c>
      <c r="B270" s="10">
        <v>2031.5</v>
      </c>
      <c r="C270" s="7">
        <v>1.0</v>
      </c>
      <c r="D270" s="11">
        <f t="shared" ref="D270:D275" si="24">C270*B270</f>
        <v>2031.5</v>
      </c>
      <c r="E270" s="12">
        <v>45142.0</v>
      </c>
      <c r="F270" s="13" t="s">
        <v>303</v>
      </c>
      <c r="G270" s="14" t="s">
        <v>304</v>
      </c>
      <c r="H270" s="7" t="s">
        <v>305</v>
      </c>
      <c r="I270" s="7" t="s">
        <v>304</v>
      </c>
      <c r="J270" s="7" t="s">
        <v>47</v>
      </c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32" t="s">
        <v>306</v>
      </c>
      <c r="B271" s="10">
        <v>455.5</v>
      </c>
      <c r="C271" s="7">
        <v>1.0</v>
      </c>
      <c r="D271" s="11">
        <f t="shared" si="24"/>
        <v>455.5</v>
      </c>
      <c r="E271" s="12">
        <v>45142.0</v>
      </c>
      <c r="F271" s="13" t="s">
        <v>226</v>
      </c>
      <c r="G271" s="14" t="s">
        <v>307</v>
      </c>
      <c r="H271" s="7" t="s">
        <v>308</v>
      </c>
      <c r="I271" s="13" t="s">
        <v>307</v>
      </c>
      <c r="J271" s="16" t="s">
        <v>309</v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15" t="s">
        <v>310</v>
      </c>
      <c r="B272" s="10">
        <v>18.09</v>
      </c>
      <c r="C272" s="16">
        <v>1.0</v>
      </c>
      <c r="D272" s="11">
        <f t="shared" si="24"/>
        <v>18.09</v>
      </c>
      <c r="E272" s="22">
        <v>45329.0</v>
      </c>
      <c r="F272" s="16" t="s">
        <v>26</v>
      </c>
      <c r="G272" s="18"/>
      <c r="H272" s="16" t="s">
        <v>114</v>
      </c>
      <c r="I272" s="16" t="s">
        <v>82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15" t="s">
        <v>311</v>
      </c>
      <c r="B273" s="10">
        <v>2.48</v>
      </c>
      <c r="C273" s="16">
        <v>1.0</v>
      </c>
      <c r="D273" s="11">
        <f t="shared" si="24"/>
        <v>2.48</v>
      </c>
      <c r="E273" s="22">
        <v>45329.0</v>
      </c>
      <c r="F273" s="16" t="s">
        <v>62</v>
      </c>
      <c r="G273" s="43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15" t="s">
        <v>312</v>
      </c>
      <c r="B274" s="10">
        <v>2.3</v>
      </c>
      <c r="C274" s="7">
        <v>1.0</v>
      </c>
      <c r="D274" s="11">
        <f t="shared" si="24"/>
        <v>2.3</v>
      </c>
      <c r="E274" s="22">
        <v>45394.0</v>
      </c>
      <c r="F274" s="13" t="s">
        <v>26</v>
      </c>
      <c r="G274" s="14"/>
      <c r="H274" s="7"/>
      <c r="I274" s="13"/>
      <c r="J274" s="16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15" t="s">
        <v>53</v>
      </c>
      <c r="B275" s="10">
        <v>2.28</v>
      </c>
      <c r="C275" s="7">
        <v>1.0</v>
      </c>
      <c r="D275" s="11">
        <f t="shared" si="24"/>
        <v>2.28</v>
      </c>
      <c r="E275" s="22">
        <v>45394.0</v>
      </c>
      <c r="F275" s="13" t="s">
        <v>26</v>
      </c>
      <c r="G275" s="14"/>
      <c r="H275" s="7"/>
      <c r="I275" s="13"/>
      <c r="J275" s="16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34" t="s">
        <v>313</v>
      </c>
      <c r="B276" s="10"/>
      <c r="C276" s="7"/>
      <c r="D276" s="11"/>
      <c r="E276" s="22"/>
      <c r="F276" s="13"/>
      <c r="G276" s="14"/>
      <c r="H276" s="7"/>
      <c r="I276" s="13"/>
      <c r="J276" s="16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32" t="s">
        <v>314</v>
      </c>
      <c r="B277" s="10">
        <v>5.45</v>
      </c>
      <c r="C277" s="7">
        <v>2.0</v>
      </c>
      <c r="D277" s="17">
        <f t="shared" ref="D277:D282" si="25">B277*C277</f>
        <v>10.9</v>
      </c>
      <c r="E277" s="22">
        <v>45632.0</v>
      </c>
      <c r="F277" s="13" t="s">
        <v>26</v>
      </c>
      <c r="G277" s="14" t="s">
        <v>315</v>
      </c>
      <c r="H277" s="7"/>
      <c r="I277" s="13"/>
      <c r="J277" s="16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15" t="s">
        <v>316</v>
      </c>
      <c r="B278" s="10">
        <v>11.35</v>
      </c>
      <c r="C278" s="7">
        <v>2.0</v>
      </c>
      <c r="D278" s="17">
        <f t="shared" si="25"/>
        <v>22.7</v>
      </c>
      <c r="E278" s="22">
        <v>45632.0</v>
      </c>
      <c r="F278" s="13" t="s">
        <v>26</v>
      </c>
      <c r="G278" s="14" t="s">
        <v>317</v>
      </c>
      <c r="H278" s="7"/>
      <c r="I278" s="13"/>
      <c r="J278" s="16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15" t="s">
        <v>318</v>
      </c>
      <c r="B279" s="10">
        <v>4.61</v>
      </c>
      <c r="C279" s="16">
        <v>3.0</v>
      </c>
      <c r="D279" s="17">
        <f t="shared" si="25"/>
        <v>13.83</v>
      </c>
      <c r="E279" s="22">
        <v>45632.0</v>
      </c>
      <c r="F279" s="13" t="s">
        <v>26</v>
      </c>
      <c r="G279" s="14" t="s">
        <v>319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15" t="s">
        <v>320</v>
      </c>
      <c r="B280" s="10">
        <v>7.23</v>
      </c>
      <c r="C280" s="16">
        <v>1.0</v>
      </c>
      <c r="D280" s="17">
        <f t="shared" si="25"/>
        <v>7.23</v>
      </c>
      <c r="E280" s="22">
        <v>45632.0</v>
      </c>
      <c r="F280" s="13" t="s">
        <v>26</v>
      </c>
      <c r="G280" s="14" t="s">
        <v>321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10" t="s">
        <v>322</v>
      </c>
      <c r="B281" s="10">
        <v>5.13</v>
      </c>
      <c r="C281" s="16">
        <v>1.0</v>
      </c>
      <c r="D281" s="17">
        <f t="shared" si="25"/>
        <v>5.13</v>
      </c>
      <c r="E281" s="22">
        <v>45632.0</v>
      </c>
      <c r="F281" s="13" t="s">
        <v>26</v>
      </c>
      <c r="G281" s="14" t="s">
        <v>323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15" t="s">
        <v>324</v>
      </c>
      <c r="B282" s="10">
        <v>29.89</v>
      </c>
      <c r="C282" s="16">
        <v>1.0</v>
      </c>
      <c r="D282" s="17">
        <f t="shared" si="25"/>
        <v>29.89</v>
      </c>
      <c r="E282" s="22">
        <v>45632.0</v>
      </c>
      <c r="F282" s="13" t="s">
        <v>26</v>
      </c>
      <c r="G282" s="14" t="s">
        <v>325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15"/>
      <c r="B283" s="10"/>
      <c r="C283" s="16"/>
      <c r="D283" s="17"/>
      <c r="E283" s="7"/>
      <c r="F283" s="7"/>
      <c r="G283" s="14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46" t="s">
        <v>326</v>
      </c>
      <c r="B284" s="4">
        <f>SUM(D285:D290)</f>
        <v>4045.27</v>
      </c>
      <c r="C284" s="16"/>
      <c r="D284" s="7"/>
      <c r="E284" s="7"/>
      <c r="F284" s="7"/>
      <c r="G284" s="14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15" t="s">
        <v>327</v>
      </c>
      <c r="B285" s="10">
        <v>99.0</v>
      </c>
      <c r="C285" s="16">
        <v>7.0</v>
      </c>
      <c r="D285" s="11">
        <f t="shared" ref="D285:D289" si="26">C285*B285</f>
        <v>693</v>
      </c>
      <c r="E285" s="22">
        <v>45222.0</v>
      </c>
      <c r="F285" s="7" t="s">
        <v>328</v>
      </c>
      <c r="G285" s="18"/>
      <c r="H285" s="16" t="s">
        <v>329</v>
      </c>
      <c r="I285" s="16" t="s">
        <v>330</v>
      </c>
      <c r="J285" s="16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15" t="s">
        <v>331</v>
      </c>
      <c r="B286" s="10">
        <v>75.0</v>
      </c>
      <c r="C286" s="16">
        <v>2.0</v>
      </c>
      <c r="D286" s="11">
        <f t="shared" si="26"/>
        <v>150</v>
      </c>
      <c r="E286" s="22">
        <v>45222.0</v>
      </c>
      <c r="F286" s="7" t="s">
        <v>328</v>
      </c>
      <c r="G286" s="14"/>
      <c r="H286" s="16" t="s">
        <v>332</v>
      </c>
      <c r="I286" s="16" t="s">
        <v>333</v>
      </c>
      <c r="J286" s="51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15" t="s">
        <v>334</v>
      </c>
      <c r="B287" s="11">
        <v>1373.0</v>
      </c>
      <c r="C287" s="16">
        <v>2.0</v>
      </c>
      <c r="D287" s="11">
        <f t="shared" si="26"/>
        <v>2746</v>
      </c>
      <c r="E287" s="22">
        <v>45615.0</v>
      </c>
      <c r="F287" s="16" t="s">
        <v>335</v>
      </c>
      <c r="G287" s="14"/>
      <c r="H287" s="16"/>
      <c r="I287" s="16"/>
      <c r="J287" s="51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15" t="s">
        <v>336</v>
      </c>
      <c r="B288" s="11">
        <v>358.0</v>
      </c>
      <c r="C288" s="16">
        <v>1.0</v>
      </c>
      <c r="D288" s="11">
        <f t="shared" si="26"/>
        <v>358</v>
      </c>
      <c r="E288" s="22">
        <v>45615.0</v>
      </c>
      <c r="F288" s="16" t="s">
        <v>335</v>
      </c>
      <c r="G288" s="18"/>
      <c r="H288" s="16"/>
      <c r="I288" s="16"/>
      <c r="J288" s="16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15" t="s">
        <v>327</v>
      </c>
      <c r="B289" s="52">
        <v>98.27</v>
      </c>
      <c r="C289" s="25">
        <v>1.0</v>
      </c>
      <c r="D289" s="11">
        <f t="shared" si="26"/>
        <v>98.27</v>
      </c>
      <c r="E289" s="26">
        <v>46063.0</v>
      </c>
      <c r="F289" s="13" t="s">
        <v>26</v>
      </c>
      <c r="G289" s="53" t="s">
        <v>337</v>
      </c>
      <c r="H289" s="16" t="s">
        <v>329</v>
      </c>
      <c r="I289" s="54" t="s">
        <v>330</v>
      </c>
      <c r="J289" s="25" t="s">
        <v>338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15"/>
      <c r="B290" s="10"/>
      <c r="C290" s="16"/>
      <c r="D290" s="17"/>
      <c r="E290" s="7"/>
      <c r="F290" s="7"/>
      <c r="G290" s="14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46" t="s">
        <v>339</v>
      </c>
      <c r="B291" s="4">
        <f>SUM(D292:D293)</f>
        <v>712</v>
      </c>
      <c r="C291" s="16"/>
      <c r="D291" s="7"/>
      <c r="E291" s="7"/>
      <c r="F291" s="7"/>
      <c r="G291" s="14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32" t="s">
        <v>340</v>
      </c>
      <c r="B292" s="10">
        <v>356.0</v>
      </c>
      <c r="C292" s="7">
        <v>2.0</v>
      </c>
      <c r="D292" s="11">
        <f>C292*B292</f>
        <v>712</v>
      </c>
      <c r="E292" s="12">
        <v>45142.0</v>
      </c>
      <c r="F292" s="13" t="s">
        <v>17</v>
      </c>
      <c r="G292" s="14" t="s">
        <v>341</v>
      </c>
      <c r="H292" s="22" t="s">
        <v>342</v>
      </c>
      <c r="I292" s="13" t="s">
        <v>343</v>
      </c>
      <c r="J292" s="7" t="s">
        <v>344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15"/>
      <c r="B293" s="10"/>
      <c r="C293" s="16"/>
      <c r="D293" s="17"/>
      <c r="E293" s="7"/>
      <c r="F293" s="7"/>
      <c r="G293" s="14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0" customHeight="1">
      <c r="A294" s="46" t="s">
        <v>345</v>
      </c>
      <c r="B294" s="4">
        <f>SUM(D295:D321)</f>
        <v>12230.52</v>
      </c>
      <c r="C294" s="7"/>
      <c r="D294" s="7"/>
      <c r="E294" s="7"/>
      <c r="F294" s="7"/>
      <c r="G294" s="14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32" t="s">
        <v>346</v>
      </c>
      <c r="B295" s="10">
        <v>1215.0</v>
      </c>
      <c r="C295" s="7">
        <v>1.0</v>
      </c>
      <c r="D295" s="11">
        <f t="shared" ref="D295:D298" si="27">C295*B295</f>
        <v>1215</v>
      </c>
      <c r="E295" s="12">
        <v>45142.0</v>
      </c>
      <c r="F295" s="13" t="s">
        <v>347</v>
      </c>
      <c r="G295" s="14" t="s">
        <v>348</v>
      </c>
      <c r="H295" s="13" t="s">
        <v>347</v>
      </c>
      <c r="I295" s="7" t="s">
        <v>348</v>
      </c>
      <c r="J295" s="7" t="s">
        <v>47</v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32" t="s">
        <v>349</v>
      </c>
      <c r="B296" s="10">
        <v>1053.0</v>
      </c>
      <c r="C296" s="7">
        <v>1.0</v>
      </c>
      <c r="D296" s="11">
        <f t="shared" si="27"/>
        <v>1053</v>
      </c>
      <c r="E296" s="12">
        <v>45142.0</v>
      </c>
      <c r="F296" s="13" t="s">
        <v>347</v>
      </c>
      <c r="G296" s="14" t="s">
        <v>350</v>
      </c>
      <c r="H296" s="13" t="s">
        <v>347</v>
      </c>
      <c r="I296" s="7" t="s">
        <v>350</v>
      </c>
      <c r="J296" s="7" t="s">
        <v>47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32" t="s">
        <v>351</v>
      </c>
      <c r="B297" s="10">
        <v>943.0</v>
      </c>
      <c r="C297" s="7">
        <v>1.0</v>
      </c>
      <c r="D297" s="11">
        <f t="shared" si="27"/>
        <v>943</v>
      </c>
      <c r="E297" s="12">
        <v>45142.0</v>
      </c>
      <c r="F297" s="13" t="s">
        <v>347</v>
      </c>
      <c r="G297" s="14" t="s">
        <v>352</v>
      </c>
      <c r="H297" s="13" t="s">
        <v>347</v>
      </c>
      <c r="I297" s="7" t="s">
        <v>352</v>
      </c>
      <c r="J297" s="7" t="s">
        <v>47</v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32" t="s">
        <v>353</v>
      </c>
      <c r="B298" s="10">
        <v>718.0</v>
      </c>
      <c r="C298" s="7">
        <v>1.0</v>
      </c>
      <c r="D298" s="11">
        <f t="shared" si="27"/>
        <v>718</v>
      </c>
      <c r="E298" s="12">
        <v>45142.0</v>
      </c>
      <c r="F298" s="13" t="s">
        <v>347</v>
      </c>
      <c r="G298" s="14" t="s">
        <v>354</v>
      </c>
      <c r="H298" s="13" t="s">
        <v>347</v>
      </c>
      <c r="I298" s="7" t="s">
        <v>354</v>
      </c>
      <c r="J298" s="7" t="s">
        <v>47</v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15" t="s">
        <v>355</v>
      </c>
      <c r="B299" s="10">
        <v>2385.0</v>
      </c>
      <c r="C299" s="16">
        <v>2.0</v>
      </c>
      <c r="D299" s="17">
        <f t="shared" ref="D299:D320" si="28">B299*C299</f>
        <v>4770</v>
      </c>
      <c r="E299" s="22">
        <v>45215.0</v>
      </c>
      <c r="F299" s="16" t="s">
        <v>356</v>
      </c>
      <c r="G299" s="18" t="s">
        <v>357</v>
      </c>
      <c r="H299" s="16" t="s">
        <v>356</v>
      </c>
      <c r="I299" s="16" t="s">
        <v>357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15" t="s">
        <v>358</v>
      </c>
      <c r="B300" s="10">
        <v>1885.0</v>
      </c>
      <c r="C300" s="16">
        <v>1.0</v>
      </c>
      <c r="D300" s="17">
        <f t="shared" si="28"/>
        <v>1885</v>
      </c>
      <c r="E300" s="22">
        <v>45215.0</v>
      </c>
      <c r="F300" s="16" t="s">
        <v>356</v>
      </c>
      <c r="G300" s="18" t="s">
        <v>359</v>
      </c>
      <c r="H300" s="16" t="s">
        <v>356</v>
      </c>
      <c r="I300" s="16" t="s">
        <v>359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15" t="s">
        <v>360</v>
      </c>
      <c r="B301" s="10">
        <v>78.0</v>
      </c>
      <c r="C301" s="16">
        <v>3.0</v>
      </c>
      <c r="D301" s="17">
        <f t="shared" si="28"/>
        <v>234</v>
      </c>
      <c r="E301" s="22">
        <v>45329.0</v>
      </c>
      <c r="F301" s="16" t="s">
        <v>356</v>
      </c>
      <c r="G301" s="18" t="s">
        <v>361</v>
      </c>
      <c r="H301" s="16" t="s">
        <v>356</v>
      </c>
      <c r="I301" s="16" t="s">
        <v>361</v>
      </c>
      <c r="J301" s="16" t="s">
        <v>362</v>
      </c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15" t="s">
        <v>363</v>
      </c>
      <c r="B302" s="10">
        <v>50.0</v>
      </c>
      <c r="C302" s="16">
        <v>7.0</v>
      </c>
      <c r="D302" s="17">
        <f t="shared" si="28"/>
        <v>350</v>
      </c>
      <c r="E302" s="22">
        <v>45329.0</v>
      </c>
      <c r="F302" s="16" t="s">
        <v>356</v>
      </c>
      <c r="G302" s="18" t="s">
        <v>364</v>
      </c>
      <c r="H302" s="16" t="s">
        <v>356</v>
      </c>
      <c r="I302" s="16" t="s">
        <v>364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15" t="s">
        <v>360</v>
      </c>
      <c r="B303" s="10">
        <v>0.0</v>
      </c>
      <c r="C303" s="16">
        <v>2.0</v>
      </c>
      <c r="D303" s="17">
        <f t="shared" si="28"/>
        <v>0</v>
      </c>
      <c r="E303" s="12">
        <v>45142.0</v>
      </c>
      <c r="F303" s="13" t="s">
        <v>49</v>
      </c>
      <c r="G303" s="18" t="s">
        <v>361</v>
      </c>
      <c r="H303" s="16" t="s">
        <v>356</v>
      </c>
      <c r="I303" s="16" t="s">
        <v>361</v>
      </c>
      <c r="J303" s="7" t="s">
        <v>47</v>
      </c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15" t="s">
        <v>363</v>
      </c>
      <c r="B304" s="10">
        <v>0.0</v>
      </c>
      <c r="C304" s="16">
        <v>2.0</v>
      </c>
      <c r="D304" s="17">
        <f t="shared" si="28"/>
        <v>0</v>
      </c>
      <c r="E304" s="12">
        <v>45142.0</v>
      </c>
      <c r="F304" s="13" t="s">
        <v>49</v>
      </c>
      <c r="G304" s="18" t="s">
        <v>364</v>
      </c>
      <c r="H304" s="16" t="s">
        <v>356</v>
      </c>
      <c r="I304" s="16" t="s">
        <v>364</v>
      </c>
      <c r="J304" s="7" t="s">
        <v>47</v>
      </c>
      <c r="K304" s="7"/>
      <c r="L304" s="7"/>
      <c r="M304" s="7"/>
      <c r="N304" s="16" t="s">
        <v>365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15" t="s">
        <v>366</v>
      </c>
      <c r="B305" s="10">
        <v>0.0</v>
      </c>
      <c r="C305" s="16">
        <v>2.0</v>
      </c>
      <c r="D305" s="17">
        <f t="shared" si="28"/>
        <v>0</v>
      </c>
      <c r="E305" s="12">
        <v>45142.0</v>
      </c>
      <c r="F305" s="13" t="s">
        <v>49</v>
      </c>
      <c r="G305" s="18" t="s">
        <v>367</v>
      </c>
      <c r="H305" s="16" t="s">
        <v>356</v>
      </c>
      <c r="I305" s="16" t="s">
        <v>367</v>
      </c>
      <c r="J305" s="7" t="s">
        <v>47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15" t="s">
        <v>368</v>
      </c>
      <c r="B306" s="10">
        <v>0.0</v>
      </c>
      <c r="C306" s="16">
        <v>2.0</v>
      </c>
      <c r="D306" s="17">
        <f t="shared" si="28"/>
        <v>0</v>
      </c>
      <c r="E306" s="12">
        <v>45142.0</v>
      </c>
      <c r="F306" s="13" t="s">
        <v>49</v>
      </c>
      <c r="G306" s="18" t="s">
        <v>369</v>
      </c>
      <c r="H306" s="16" t="s">
        <v>356</v>
      </c>
      <c r="I306" s="16" t="s">
        <v>369</v>
      </c>
      <c r="J306" s="7" t="s">
        <v>47</v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15" t="s">
        <v>370</v>
      </c>
      <c r="B307" s="10">
        <v>116.99</v>
      </c>
      <c r="C307" s="16">
        <v>3.0</v>
      </c>
      <c r="D307" s="17">
        <f t="shared" si="28"/>
        <v>350.97</v>
      </c>
      <c r="E307" s="22">
        <v>45369.0</v>
      </c>
      <c r="F307" s="16" t="s">
        <v>130</v>
      </c>
      <c r="G307" s="18" t="s">
        <v>371</v>
      </c>
      <c r="H307" s="16"/>
      <c r="I307" s="16" t="s">
        <v>372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15" t="s">
        <v>373</v>
      </c>
      <c r="B308" s="10">
        <v>0.0</v>
      </c>
      <c r="C308" s="16">
        <v>1.0</v>
      </c>
      <c r="D308" s="17">
        <f t="shared" si="28"/>
        <v>0</v>
      </c>
      <c r="E308" s="12">
        <v>45142.0</v>
      </c>
      <c r="F308" s="13" t="s">
        <v>49</v>
      </c>
      <c r="G308" s="14"/>
      <c r="H308" s="16"/>
      <c r="I308" s="7"/>
      <c r="J308" s="7" t="s">
        <v>374</v>
      </c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0" customHeight="1">
      <c r="A309" s="7" t="s">
        <v>375</v>
      </c>
      <c r="B309" s="10">
        <v>23.03</v>
      </c>
      <c r="C309" s="16">
        <v>1.0</v>
      </c>
      <c r="D309" s="17">
        <f t="shared" si="28"/>
        <v>23.03</v>
      </c>
      <c r="E309" s="22">
        <v>45397.0</v>
      </c>
      <c r="F309" s="16" t="s">
        <v>162</v>
      </c>
      <c r="G309" s="14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15" t="s">
        <v>376</v>
      </c>
      <c r="B310" s="10">
        <v>23.03</v>
      </c>
      <c r="C310" s="16">
        <v>3.0</v>
      </c>
      <c r="D310" s="17">
        <f t="shared" si="28"/>
        <v>69.09</v>
      </c>
      <c r="E310" s="22">
        <v>45397.0</v>
      </c>
      <c r="F310" s="16" t="s">
        <v>162</v>
      </c>
      <c r="G310" s="18"/>
      <c r="H310" s="16"/>
      <c r="I310" s="16" t="s">
        <v>377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 t="s">
        <v>378</v>
      </c>
      <c r="B311" s="10">
        <v>25.53</v>
      </c>
      <c r="C311" s="16">
        <v>3.0</v>
      </c>
      <c r="D311" s="17">
        <f t="shared" si="28"/>
        <v>76.59</v>
      </c>
      <c r="E311" s="22">
        <v>45397.0</v>
      </c>
      <c r="F311" s="16" t="s">
        <v>162</v>
      </c>
      <c r="G311" s="18"/>
      <c r="H311" s="1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0" customHeight="1">
      <c r="A312" s="7" t="s">
        <v>379</v>
      </c>
      <c r="B312" s="10">
        <v>44.68</v>
      </c>
      <c r="C312" s="16">
        <v>1.0</v>
      </c>
      <c r="D312" s="17">
        <f t="shared" si="28"/>
        <v>44.68</v>
      </c>
      <c r="E312" s="22">
        <v>45397.0</v>
      </c>
      <c r="F312" s="16" t="s">
        <v>162</v>
      </c>
      <c r="G312" s="14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0" customHeight="1">
      <c r="A313" s="7" t="s">
        <v>380</v>
      </c>
      <c r="B313" s="10">
        <v>3.95</v>
      </c>
      <c r="C313" s="16">
        <v>2.0</v>
      </c>
      <c r="D313" s="17">
        <f t="shared" si="28"/>
        <v>7.9</v>
      </c>
      <c r="E313" s="22">
        <v>45394.0</v>
      </c>
      <c r="F313" s="16" t="s">
        <v>26</v>
      </c>
      <c r="G313" s="14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0" customHeight="1">
      <c r="A314" s="7" t="s">
        <v>381</v>
      </c>
      <c r="B314" s="10">
        <v>3.43</v>
      </c>
      <c r="C314" s="16">
        <v>2.0</v>
      </c>
      <c r="D314" s="17">
        <f t="shared" si="28"/>
        <v>6.86</v>
      </c>
      <c r="E314" s="22">
        <v>45394.0</v>
      </c>
      <c r="F314" s="16" t="s">
        <v>26</v>
      </c>
      <c r="G314" s="14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0" customHeight="1">
      <c r="A315" s="7" t="s">
        <v>382</v>
      </c>
      <c r="B315" s="10">
        <v>2.38</v>
      </c>
      <c r="C315" s="16">
        <v>1.0</v>
      </c>
      <c r="D315" s="17">
        <f t="shared" si="28"/>
        <v>2.38</v>
      </c>
      <c r="E315" s="22">
        <v>45394.0</v>
      </c>
      <c r="F315" s="16" t="s">
        <v>26</v>
      </c>
      <c r="G315" s="14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0" customHeight="1">
      <c r="A316" s="7" t="s">
        <v>107</v>
      </c>
      <c r="B316" s="10">
        <v>1.89</v>
      </c>
      <c r="C316" s="16">
        <v>2.0</v>
      </c>
      <c r="D316" s="17">
        <f t="shared" si="28"/>
        <v>3.78</v>
      </c>
      <c r="E316" s="22">
        <v>45394.0</v>
      </c>
      <c r="F316" s="16" t="s">
        <v>26</v>
      </c>
      <c r="G316" s="14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15" t="s">
        <v>383</v>
      </c>
      <c r="B317" s="10">
        <v>138.06</v>
      </c>
      <c r="C317" s="16">
        <v>1.0</v>
      </c>
      <c r="D317" s="17">
        <f t="shared" si="28"/>
        <v>138.06</v>
      </c>
      <c r="E317" s="22">
        <v>45693.0</v>
      </c>
      <c r="F317" s="16" t="s">
        <v>202</v>
      </c>
      <c r="G317" s="14"/>
      <c r="H317" s="16"/>
      <c r="I317" s="7"/>
      <c r="J317" s="16" t="s">
        <v>384</v>
      </c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15" t="s">
        <v>385</v>
      </c>
      <c r="B318" s="10">
        <v>114.46</v>
      </c>
      <c r="C318" s="16">
        <v>1.0</v>
      </c>
      <c r="D318" s="17">
        <f t="shared" si="28"/>
        <v>114.46</v>
      </c>
      <c r="E318" s="22">
        <v>45693.0</v>
      </c>
      <c r="F318" s="16" t="s">
        <v>202</v>
      </c>
      <c r="G318" s="14"/>
      <c r="H318" s="16"/>
      <c r="I318" s="7"/>
      <c r="J318" s="16" t="s">
        <v>386</v>
      </c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15" t="s">
        <v>387</v>
      </c>
      <c r="B319" s="10">
        <v>112.99</v>
      </c>
      <c r="C319" s="16">
        <v>1.0</v>
      </c>
      <c r="D319" s="17">
        <f t="shared" si="28"/>
        <v>112.99</v>
      </c>
      <c r="E319" s="22">
        <v>45693.0</v>
      </c>
      <c r="F319" s="16" t="s">
        <v>202</v>
      </c>
      <c r="G319" s="14"/>
      <c r="H319" s="16"/>
      <c r="I319" s="7"/>
      <c r="J319" s="16" t="s">
        <v>388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15" t="s">
        <v>389</v>
      </c>
      <c r="B320" s="10">
        <v>111.73</v>
      </c>
      <c r="C320" s="16">
        <v>1.0</v>
      </c>
      <c r="D320" s="17">
        <f t="shared" si="28"/>
        <v>111.73</v>
      </c>
      <c r="E320" s="22">
        <v>45693.0</v>
      </c>
      <c r="F320" s="16" t="s">
        <v>202</v>
      </c>
      <c r="G320" s="14"/>
      <c r="H320" s="16"/>
      <c r="I320" s="7"/>
      <c r="J320" s="16" t="s">
        <v>281</v>
      </c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0" customHeight="1">
      <c r="A321" s="7"/>
      <c r="B321" s="10"/>
      <c r="C321" s="16"/>
      <c r="D321" s="17"/>
      <c r="E321" s="7"/>
      <c r="F321" s="16"/>
      <c r="G321" s="14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46" t="s">
        <v>390</v>
      </c>
      <c r="B322" s="4">
        <f>SUM(D322:D358)</f>
        <v>1047.42</v>
      </c>
      <c r="C322" s="16"/>
      <c r="D322" s="17"/>
      <c r="E322" s="7"/>
      <c r="F322" s="13"/>
      <c r="G322" s="14"/>
      <c r="H322" s="1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34" t="s">
        <v>391</v>
      </c>
      <c r="B323" s="4">
        <f>SUM(D324:D335)</f>
        <v>508.88</v>
      </c>
      <c r="C323" s="16"/>
      <c r="D323" s="7"/>
      <c r="E323" s="7"/>
      <c r="F323" s="13"/>
      <c r="G323" s="14"/>
      <c r="H323" s="1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15" t="s">
        <v>392</v>
      </c>
      <c r="B324" s="10">
        <v>56.26</v>
      </c>
      <c r="C324" s="16">
        <v>4.0</v>
      </c>
      <c r="D324" s="17">
        <f t="shared" ref="D324:D334" si="29">B324*C324</f>
        <v>225.04</v>
      </c>
      <c r="E324" s="22">
        <v>45366.0</v>
      </c>
      <c r="F324" s="13" t="s">
        <v>26</v>
      </c>
      <c r="G324" s="14" t="s">
        <v>393</v>
      </c>
      <c r="H324" s="16"/>
      <c r="I324" s="7"/>
      <c r="J324" s="7" t="s">
        <v>394</v>
      </c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15" t="s">
        <v>395</v>
      </c>
      <c r="B325" s="10">
        <v>12.78</v>
      </c>
      <c r="C325" s="16">
        <v>1.0</v>
      </c>
      <c r="D325" s="17">
        <f t="shared" si="29"/>
        <v>12.78</v>
      </c>
      <c r="E325" s="22">
        <v>45366.0</v>
      </c>
      <c r="F325" s="13" t="s">
        <v>26</v>
      </c>
      <c r="G325" s="18"/>
      <c r="H325" s="1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15" t="s">
        <v>396</v>
      </c>
      <c r="B326" s="10">
        <v>4.28</v>
      </c>
      <c r="C326" s="16">
        <v>8.0</v>
      </c>
      <c r="D326" s="17">
        <f t="shared" si="29"/>
        <v>34.24</v>
      </c>
      <c r="E326" s="22">
        <v>45369.0</v>
      </c>
      <c r="F326" s="13" t="s">
        <v>130</v>
      </c>
      <c r="G326" s="18" t="s">
        <v>397</v>
      </c>
      <c r="H326" s="1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15" t="s">
        <v>398</v>
      </c>
      <c r="B327" s="10">
        <v>5.26</v>
      </c>
      <c r="C327" s="16">
        <v>8.0</v>
      </c>
      <c r="D327" s="17">
        <f t="shared" si="29"/>
        <v>42.08</v>
      </c>
      <c r="E327" s="22">
        <v>45369.0</v>
      </c>
      <c r="F327" s="13" t="s">
        <v>130</v>
      </c>
      <c r="G327" s="18" t="s">
        <v>399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15" t="s">
        <v>400</v>
      </c>
      <c r="B328" s="10">
        <v>3.35</v>
      </c>
      <c r="C328" s="16">
        <v>5.0</v>
      </c>
      <c r="D328" s="17">
        <f t="shared" si="29"/>
        <v>16.75</v>
      </c>
      <c r="E328" s="22">
        <v>45369.0</v>
      </c>
      <c r="F328" s="13" t="s">
        <v>130</v>
      </c>
      <c r="G328" s="18" t="s">
        <v>401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15" t="s">
        <v>402</v>
      </c>
      <c r="B329" s="10">
        <v>84.33</v>
      </c>
      <c r="C329" s="16">
        <v>1.0</v>
      </c>
      <c r="D329" s="17">
        <f t="shared" si="29"/>
        <v>84.33</v>
      </c>
      <c r="E329" s="22">
        <v>45369.0</v>
      </c>
      <c r="F329" s="13" t="s">
        <v>403</v>
      </c>
      <c r="G329" s="14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15" t="s">
        <v>404</v>
      </c>
      <c r="B330" s="10">
        <v>18.09</v>
      </c>
      <c r="C330" s="16">
        <v>3.0</v>
      </c>
      <c r="D330" s="17">
        <f t="shared" si="29"/>
        <v>54.27</v>
      </c>
      <c r="E330" s="22">
        <v>45366.0</v>
      </c>
      <c r="F330" s="13" t="s">
        <v>403</v>
      </c>
      <c r="G330" s="14"/>
      <c r="H330" s="7"/>
      <c r="I330" s="7"/>
      <c r="J330" s="7" t="s">
        <v>405</v>
      </c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15" t="s">
        <v>406</v>
      </c>
      <c r="B331" s="10">
        <v>22.86</v>
      </c>
      <c r="C331" s="16">
        <v>1.0</v>
      </c>
      <c r="D331" s="17">
        <f t="shared" si="29"/>
        <v>22.86</v>
      </c>
      <c r="E331" s="22">
        <v>45369.0</v>
      </c>
      <c r="F331" s="16" t="s">
        <v>130</v>
      </c>
      <c r="G331" s="18" t="s">
        <v>407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15" t="s">
        <v>408</v>
      </c>
      <c r="B332" s="10">
        <v>16.53</v>
      </c>
      <c r="C332" s="16">
        <v>1.0</v>
      </c>
      <c r="D332" s="17">
        <f t="shared" si="29"/>
        <v>16.53</v>
      </c>
      <c r="E332" s="22">
        <v>45366.0</v>
      </c>
      <c r="F332" s="13" t="s">
        <v>26</v>
      </c>
      <c r="G332" s="18" t="s">
        <v>409</v>
      </c>
      <c r="H332" s="7"/>
      <c r="I332" s="7"/>
      <c r="J332" s="7" t="s">
        <v>410</v>
      </c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32" t="s">
        <v>411</v>
      </c>
      <c r="B333" s="10">
        <v>0.0</v>
      </c>
      <c r="C333" s="7">
        <v>1.0</v>
      </c>
      <c r="D333" s="17">
        <f t="shared" si="29"/>
        <v>0</v>
      </c>
      <c r="E333" s="12">
        <v>45142.0</v>
      </c>
      <c r="F333" s="13" t="s">
        <v>78</v>
      </c>
      <c r="G333" s="14" t="s">
        <v>412</v>
      </c>
      <c r="H333" s="22"/>
      <c r="I333" s="13"/>
      <c r="J333" s="7" t="s">
        <v>47</v>
      </c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32" t="s">
        <v>96</v>
      </c>
      <c r="B334" s="10">
        <v>0.0</v>
      </c>
      <c r="C334" s="7">
        <v>1.0</v>
      </c>
      <c r="D334" s="17">
        <f t="shared" si="29"/>
        <v>0</v>
      </c>
      <c r="E334" s="12">
        <v>45142.0</v>
      </c>
      <c r="F334" s="13" t="s">
        <v>78</v>
      </c>
      <c r="G334" s="14"/>
      <c r="H334" s="22"/>
      <c r="I334" s="13"/>
      <c r="J334" s="7" t="s">
        <v>47</v>
      </c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15"/>
      <c r="B335" s="10"/>
      <c r="C335" s="16"/>
      <c r="D335" s="17"/>
      <c r="E335" s="7"/>
      <c r="F335" s="13"/>
      <c r="G335" s="14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34" t="s">
        <v>413</v>
      </c>
      <c r="B336" s="4">
        <f>SUM(D337:D348)</f>
        <v>374.14</v>
      </c>
      <c r="C336" s="16"/>
      <c r="D336" s="7"/>
      <c r="E336" s="7"/>
      <c r="F336" s="13"/>
      <c r="G336" s="14"/>
      <c r="H336" s="1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15" t="s">
        <v>392</v>
      </c>
      <c r="B337" s="10">
        <v>56.26</v>
      </c>
      <c r="C337" s="16">
        <v>3.0</v>
      </c>
      <c r="D337" s="17">
        <f t="shared" ref="D337:D347" si="30">B337*C337</f>
        <v>168.78</v>
      </c>
      <c r="E337" s="22">
        <v>45366.0</v>
      </c>
      <c r="F337" s="13" t="s">
        <v>26</v>
      </c>
      <c r="G337" s="14" t="s">
        <v>393</v>
      </c>
      <c r="H337" s="1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15" t="s">
        <v>414</v>
      </c>
      <c r="B338" s="10">
        <v>41.01</v>
      </c>
      <c r="C338" s="16">
        <v>1.0</v>
      </c>
      <c r="D338" s="17">
        <f t="shared" si="30"/>
        <v>41.01</v>
      </c>
      <c r="E338" s="22">
        <v>45567.0</v>
      </c>
      <c r="F338" s="13" t="s">
        <v>26</v>
      </c>
      <c r="G338" s="14" t="s">
        <v>415</v>
      </c>
      <c r="H338" s="1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15" t="s">
        <v>396</v>
      </c>
      <c r="B339" s="10">
        <v>4.28</v>
      </c>
      <c r="C339" s="16">
        <v>2.0</v>
      </c>
      <c r="D339" s="17">
        <f t="shared" si="30"/>
        <v>8.56</v>
      </c>
      <c r="E339" s="22">
        <v>45369.0</v>
      </c>
      <c r="F339" s="13" t="s">
        <v>130</v>
      </c>
      <c r="G339" s="18" t="s">
        <v>397</v>
      </c>
      <c r="H339" s="1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15" t="s">
        <v>398</v>
      </c>
      <c r="B340" s="10">
        <v>5.26</v>
      </c>
      <c r="C340" s="16">
        <v>2.0</v>
      </c>
      <c r="D340" s="17">
        <f t="shared" si="30"/>
        <v>10.52</v>
      </c>
      <c r="E340" s="22">
        <v>45369.0</v>
      </c>
      <c r="F340" s="13" t="s">
        <v>130</v>
      </c>
      <c r="G340" s="18" t="s">
        <v>399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15" t="s">
        <v>400</v>
      </c>
      <c r="B341" s="10">
        <v>3.35</v>
      </c>
      <c r="C341" s="16">
        <v>3.0</v>
      </c>
      <c r="D341" s="17">
        <f t="shared" si="30"/>
        <v>10.05</v>
      </c>
      <c r="E341" s="22">
        <v>45369.0</v>
      </c>
      <c r="F341" s="13" t="s">
        <v>130</v>
      </c>
      <c r="G341" s="18" t="s">
        <v>401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15" t="s">
        <v>149</v>
      </c>
      <c r="B342" s="10">
        <v>8.89</v>
      </c>
      <c r="C342" s="16">
        <v>4.0</v>
      </c>
      <c r="D342" s="17">
        <f t="shared" si="30"/>
        <v>35.56</v>
      </c>
      <c r="E342" s="22">
        <v>45566.0</v>
      </c>
      <c r="F342" s="13" t="s">
        <v>130</v>
      </c>
      <c r="G342" s="18" t="s">
        <v>416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15" t="s">
        <v>400</v>
      </c>
      <c r="B343" s="10">
        <v>3.7</v>
      </c>
      <c r="C343" s="16">
        <v>6.0</v>
      </c>
      <c r="D343" s="17">
        <f t="shared" si="30"/>
        <v>22.2</v>
      </c>
      <c r="E343" s="22">
        <v>45566.0</v>
      </c>
      <c r="F343" s="13" t="s">
        <v>130</v>
      </c>
      <c r="G343" s="18" t="s">
        <v>401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15" t="s">
        <v>417</v>
      </c>
      <c r="B344" s="10">
        <v>38.07</v>
      </c>
      <c r="C344" s="16">
        <v>1.0</v>
      </c>
      <c r="D344" s="17">
        <f t="shared" si="30"/>
        <v>38.07</v>
      </c>
      <c r="E344" s="22">
        <v>45369.0</v>
      </c>
      <c r="F344" s="13" t="s">
        <v>403</v>
      </c>
      <c r="G344" s="14"/>
      <c r="H344" s="7"/>
      <c r="I344" s="7"/>
      <c r="J344" s="7" t="s">
        <v>418</v>
      </c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15" t="s">
        <v>419</v>
      </c>
      <c r="B345" s="10">
        <v>0.0</v>
      </c>
      <c r="C345" s="16">
        <v>0.0</v>
      </c>
      <c r="D345" s="17">
        <f t="shared" si="30"/>
        <v>0</v>
      </c>
      <c r="E345" s="22">
        <v>45369.0</v>
      </c>
      <c r="F345" s="13" t="s">
        <v>403</v>
      </c>
      <c r="G345" s="14"/>
      <c r="H345" s="7"/>
      <c r="I345" s="7"/>
      <c r="J345" s="7" t="s">
        <v>420</v>
      </c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15" t="s">
        <v>406</v>
      </c>
      <c r="B346" s="10">
        <v>22.86</v>
      </c>
      <c r="C346" s="16">
        <v>1.0</v>
      </c>
      <c r="D346" s="17">
        <f t="shared" si="30"/>
        <v>22.86</v>
      </c>
      <c r="E346" s="22">
        <v>45369.0</v>
      </c>
      <c r="F346" s="16" t="s">
        <v>130</v>
      </c>
      <c r="G346" s="18" t="s">
        <v>407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15" t="s">
        <v>408</v>
      </c>
      <c r="B347" s="10">
        <v>16.53</v>
      </c>
      <c r="C347" s="16">
        <v>1.0</v>
      </c>
      <c r="D347" s="17">
        <f t="shared" si="30"/>
        <v>16.53</v>
      </c>
      <c r="E347" s="22">
        <v>45366.0</v>
      </c>
      <c r="F347" s="13" t="s">
        <v>26</v>
      </c>
      <c r="G347" s="18" t="s">
        <v>409</v>
      </c>
      <c r="H347" s="7"/>
      <c r="I347" s="7"/>
      <c r="J347" s="7" t="s">
        <v>410</v>
      </c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15"/>
      <c r="B348" s="10"/>
      <c r="C348" s="16"/>
      <c r="D348" s="17"/>
      <c r="E348" s="22"/>
      <c r="F348" s="13"/>
      <c r="G348" s="1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34" t="s">
        <v>421</v>
      </c>
      <c r="B349" s="4">
        <f>SUM(D350:D358)</f>
        <v>164.4</v>
      </c>
      <c r="C349" s="16"/>
      <c r="D349" s="17"/>
      <c r="E349" s="22"/>
      <c r="F349" s="13"/>
      <c r="G349" s="1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15" t="s">
        <v>422</v>
      </c>
      <c r="B350" s="10">
        <v>34.16</v>
      </c>
      <c r="C350" s="16">
        <v>1.0</v>
      </c>
      <c r="D350" s="17">
        <f t="shared" ref="D350:D357" si="31">B350*C350</f>
        <v>34.16</v>
      </c>
      <c r="E350" s="22">
        <v>45366.0</v>
      </c>
      <c r="F350" s="13" t="s">
        <v>26</v>
      </c>
      <c r="G350" s="18" t="s">
        <v>423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15" t="s">
        <v>324</v>
      </c>
      <c r="B351" s="10">
        <v>29.89</v>
      </c>
      <c r="C351" s="16">
        <v>1.0</v>
      </c>
      <c r="D351" s="17">
        <f t="shared" si="31"/>
        <v>29.89</v>
      </c>
      <c r="E351" s="22">
        <v>45567.0</v>
      </c>
      <c r="F351" s="13" t="s">
        <v>26</v>
      </c>
      <c r="G351" s="14" t="s">
        <v>325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15" t="s">
        <v>318</v>
      </c>
      <c r="B352" s="10">
        <v>3.8</v>
      </c>
      <c r="C352" s="16">
        <v>7.0</v>
      </c>
      <c r="D352" s="17">
        <f t="shared" si="31"/>
        <v>26.6</v>
      </c>
      <c r="E352" s="22">
        <v>45405.0</v>
      </c>
      <c r="F352" s="13" t="s">
        <v>26</v>
      </c>
      <c r="G352" s="14" t="s">
        <v>319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15" t="s">
        <v>318</v>
      </c>
      <c r="B353" s="10">
        <v>4.61</v>
      </c>
      <c r="C353" s="16">
        <v>2.0</v>
      </c>
      <c r="D353" s="17">
        <f t="shared" si="31"/>
        <v>9.22</v>
      </c>
      <c r="E353" s="22">
        <v>45559.0</v>
      </c>
      <c r="F353" s="13" t="s">
        <v>26</v>
      </c>
      <c r="G353" s="14" t="s">
        <v>319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15" t="s">
        <v>424</v>
      </c>
      <c r="B354" s="10">
        <v>4.67</v>
      </c>
      <c r="C354" s="16">
        <v>7.0</v>
      </c>
      <c r="D354" s="17">
        <f t="shared" si="31"/>
        <v>32.69</v>
      </c>
      <c r="E354" s="22">
        <v>45405.0</v>
      </c>
      <c r="F354" s="13" t="s">
        <v>26</v>
      </c>
      <c r="G354" s="14" t="s">
        <v>425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15" t="s">
        <v>320</v>
      </c>
      <c r="B355" s="10">
        <v>6.84</v>
      </c>
      <c r="C355" s="16">
        <v>1.0</v>
      </c>
      <c r="D355" s="17">
        <f t="shared" si="31"/>
        <v>6.84</v>
      </c>
      <c r="E355" s="22">
        <v>45405.0</v>
      </c>
      <c r="F355" s="13" t="s">
        <v>26</v>
      </c>
      <c r="G355" s="14" t="s">
        <v>321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15" t="s">
        <v>426</v>
      </c>
      <c r="B356" s="10">
        <v>0.28</v>
      </c>
      <c r="C356" s="16">
        <v>9.0</v>
      </c>
      <c r="D356" s="17">
        <f t="shared" si="31"/>
        <v>2.52</v>
      </c>
      <c r="E356" s="22">
        <v>45405.0</v>
      </c>
      <c r="F356" s="13" t="s">
        <v>152</v>
      </c>
      <c r="G356" s="14">
        <v>36410.0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10" t="s">
        <v>322</v>
      </c>
      <c r="B357" s="10">
        <v>2.81</v>
      </c>
      <c r="C357" s="16">
        <v>8.0</v>
      </c>
      <c r="D357" s="17">
        <f t="shared" si="31"/>
        <v>22.48</v>
      </c>
      <c r="E357" s="22">
        <v>45405.0</v>
      </c>
      <c r="F357" s="13" t="s">
        <v>26</v>
      </c>
      <c r="G357" s="14" t="s">
        <v>427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15"/>
      <c r="B358" s="10"/>
      <c r="C358" s="16"/>
      <c r="D358" s="17"/>
      <c r="E358" s="7"/>
      <c r="F358" s="13"/>
      <c r="G358" s="14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46" t="s">
        <v>428</v>
      </c>
      <c r="B359" s="4">
        <f>SUM(D360:D371)</f>
        <v>1687.78</v>
      </c>
      <c r="C359" s="16"/>
      <c r="D359" s="7"/>
      <c r="E359" s="7"/>
      <c r="F359" s="13"/>
      <c r="G359" s="14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15" t="s">
        <v>429</v>
      </c>
      <c r="B360" s="10">
        <v>1152.24</v>
      </c>
      <c r="C360" s="16">
        <v>1.0</v>
      </c>
      <c r="D360" s="11">
        <f>C360*B360</f>
        <v>1152.24</v>
      </c>
      <c r="E360" s="22">
        <v>45302.0</v>
      </c>
      <c r="F360" s="16" t="s">
        <v>162</v>
      </c>
      <c r="G360" s="18">
        <v>216143.0</v>
      </c>
      <c r="H360" s="7" t="s">
        <v>430</v>
      </c>
      <c r="I360" s="7"/>
      <c r="J360" s="7" t="s">
        <v>431</v>
      </c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15" t="s">
        <v>432</v>
      </c>
      <c r="B361" s="10">
        <v>287.16</v>
      </c>
      <c r="C361" s="16">
        <v>1.0</v>
      </c>
      <c r="D361" s="17">
        <f t="shared" ref="D361:D370" si="32">B361*C361</f>
        <v>287.16</v>
      </c>
      <c r="E361" s="22">
        <v>45369.0</v>
      </c>
      <c r="F361" s="13" t="s">
        <v>403</v>
      </c>
      <c r="G361" s="14"/>
      <c r="H361" s="7"/>
      <c r="I361" s="7"/>
      <c r="J361" s="7" t="s">
        <v>433</v>
      </c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15" t="s">
        <v>434</v>
      </c>
      <c r="B362" s="10">
        <v>36.74</v>
      </c>
      <c r="C362" s="16">
        <v>1.0</v>
      </c>
      <c r="D362" s="17">
        <f t="shared" si="32"/>
        <v>36.74</v>
      </c>
      <c r="E362" s="22">
        <v>45369.0</v>
      </c>
      <c r="F362" s="13" t="s">
        <v>403</v>
      </c>
      <c r="G362" s="14"/>
      <c r="H362" s="7"/>
      <c r="I362" s="7"/>
      <c r="J362" s="7" t="s">
        <v>435</v>
      </c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15" t="s">
        <v>436</v>
      </c>
      <c r="B363" s="10">
        <v>2.35</v>
      </c>
      <c r="C363" s="16">
        <v>8.0</v>
      </c>
      <c r="D363" s="17">
        <f t="shared" si="32"/>
        <v>18.8</v>
      </c>
      <c r="E363" s="22">
        <v>45397.0</v>
      </c>
      <c r="F363" s="16" t="s">
        <v>152</v>
      </c>
      <c r="G363" s="18">
        <v>23916.0</v>
      </c>
      <c r="H363" s="7"/>
      <c r="I363" s="7"/>
      <c r="J363" s="7" t="s">
        <v>437</v>
      </c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15" t="s">
        <v>438</v>
      </c>
      <c r="B364" s="10">
        <v>0.25</v>
      </c>
      <c r="C364" s="16">
        <v>8.0</v>
      </c>
      <c r="D364" s="17">
        <f t="shared" si="32"/>
        <v>2</v>
      </c>
      <c r="E364" s="22">
        <v>45397.0</v>
      </c>
      <c r="F364" s="16" t="s">
        <v>152</v>
      </c>
      <c r="G364" s="18">
        <v>33819.0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15" t="s">
        <v>439</v>
      </c>
      <c r="B365" s="10">
        <v>17.85</v>
      </c>
      <c r="C365" s="16">
        <v>1.0</v>
      </c>
      <c r="D365" s="17">
        <f t="shared" si="32"/>
        <v>17.85</v>
      </c>
      <c r="E365" s="22">
        <v>45397.0</v>
      </c>
      <c r="F365" s="16" t="s">
        <v>130</v>
      </c>
      <c r="G365" s="14" t="s">
        <v>440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15" t="s">
        <v>441</v>
      </c>
      <c r="B366" s="10">
        <v>119.0</v>
      </c>
      <c r="C366" s="16">
        <v>1.0</v>
      </c>
      <c r="D366" s="17">
        <f t="shared" si="32"/>
        <v>119</v>
      </c>
      <c r="E366" s="22">
        <v>45329.0</v>
      </c>
      <c r="F366" s="16" t="s">
        <v>51</v>
      </c>
      <c r="G366" s="14"/>
      <c r="H366" s="16" t="s">
        <v>442</v>
      </c>
      <c r="I366" s="7" t="s">
        <v>443</v>
      </c>
      <c r="J366" s="7" t="s">
        <v>444</v>
      </c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15" t="s">
        <v>445</v>
      </c>
      <c r="B367" s="10">
        <v>0.0</v>
      </c>
      <c r="C367" s="16">
        <v>2.0</v>
      </c>
      <c r="D367" s="17">
        <f t="shared" si="32"/>
        <v>0</v>
      </c>
      <c r="E367" s="7"/>
      <c r="F367" s="16" t="s">
        <v>141</v>
      </c>
      <c r="G367" s="14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10" t="s">
        <v>446</v>
      </c>
      <c r="B368" s="10">
        <v>12.76</v>
      </c>
      <c r="C368" s="16">
        <v>1.0</v>
      </c>
      <c r="D368" s="17">
        <f t="shared" si="32"/>
        <v>12.76</v>
      </c>
      <c r="E368" s="22">
        <v>45400.0</v>
      </c>
      <c r="F368" s="13" t="s">
        <v>152</v>
      </c>
      <c r="G368" s="14">
        <v>1133817.0</v>
      </c>
      <c r="H368" s="7"/>
      <c r="I368" s="7"/>
      <c r="J368" s="7" t="s">
        <v>447</v>
      </c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 t="s">
        <v>448</v>
      </c>
      <c r="B369" s="10">
        <v>3.5</v>
      </c>
      <c r="C369" s="16">
        <v>2.0</v>
      </c>
      <c r="D369" s="17">
        <f t="shared" si="32"/>
        <v>7</v>
      </c>
      <c r="E369" s="22">
        <v>45400.0</v>
      </c>
      <c r="F369" s="13" t="s">
        <v>152</v>
      </c>
      <c r="G369" s="14">
        <v>2123424.0</v>
      </c>
      <c r="H369" s="7"/>
      <c r="I369" s="7"/>
      <c r="J369" s="7" t="s">
        <v>449</v>
      </c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44" t="s">
        <v>450</v>
      </c>
      <c r="B370" s="55">
        <v>34.23</v>
      </c>
      <c r="C370" s="25">
        <v>1.0</v>
      </c>
      <c r="D370" s="17">
        <f t="shared" si="32"/>
        <v>34.23</v>
      </c>
      <c r="E370" s="26">
        <v>46031.0</v>
      </c>
      <c r="F370" s="56" t="s">
        <v>451</v>
      </c>
      <c r="G370" s="57" t="s">
        <v>452</v>
      </c>
      <c r="H370" s="44" t="s">
        <v>453</v>
      </c>
      <c r="I370" s="58" t="s">
        <v>454</v>
      </c>
      <c r="J370" s="44" t="s">
        <v>455</v>
      </c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15"/>
      <c r="B371" s="31"/>
      <c r="C371" s="7"/>
      <c r="D371" s="17"/>
      <c r="E371" s="7"/>
      <c r="F371" s="7"/>
      <c r="G371" s="14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0" customHeight="1">
      <c r="A372" s="46" t="s">
        <v>456</v>
      </c>
      <c r="B372" s="4">
        <f>SUM(D373:D389)</f>
        <v>12984.49</v>
      </c>
      <c r="C372" s="7"/>
      <c r="D372" s="7"/>
      <c r="E372" s="7"/>
      <c r="F372" s="7"/>
      <c r="G372" s="14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15" t="s">
        <v>457</v>
      </c>
      <c r="B373" s="10">
        <v>9706.93</v>
      </c>
      <c r="C373" s="16">
        <v>1.0</v>
      </c>
      <c r="D373" s="11">
        <f t="shared" ref="D373:D374" si="33">C373*B373</f>
        <v>9706.93</v>
      </c>
      <c r="E373" s="22">
        <v>45302.0</v>
      </c>
      <c r="F373" s="16" t="s">
        <v>162</v>
      </c>
      <c r="G373" s="14" t="s">
        <v>458</v>
      </c>
      <c r="H373" s="16" t="s">
        <v>162</v>
      </c>
      <c r="I373" s="7"/>
      <c r="J373" s="7" t="s">
        <v>459</v>
      </c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15" t="s">
        <v>460</v>
      </c>
      <c r="B374" s="10">
        <v>2353.54</v>
      </c>
      <c r="C374" s="16">
        <v>1.0</v>
      </c>
      <c r="D374" s="11">
        <f t="shared" si="33"/>
        <v>2353.54</v>
      </c>
      <c r="E374" s="22" t="s">
        <v>461</v>
      </c>
      <c r="F374" s="16" t="s">
        <v>162</v>
      </c>
      <c r="G374" s="14"/>
      <c r="H374" s="1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15" t="s">
        <v>462</v>
      </c>
      <c r="B375" s="10">
        <v>2.82</v>
      </c>
      <c r="C375" s="16">
        <v>8.0</v>
      </c>
      <c r="D375" s="17">
        <f t="shared" ref="D375:D379" si="34">B375*C375</f>
        <v>22.56</v>
      </c>
      <c r="E375" s="22">
        <v>45397.0</v>
      </c>
      <c r="F375" s="16" t="s">
        <v>152</v>
      </c>
      <c r="G375" s="18">
        <v>23918.0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15" t="s">
        <v>463</v>
      </c>
      <c r="B376" s="10">
        <v>17.82</v>
      </c>
      <c r="C376" s="16">
        <v>2.0</v>
      </c>
      <c r="D376" s="17">
        <f t="shared" si="34"/>
        <v>35.64</v>
      </c>
      <c r="E376" s="22" t="s">
        <v>464</v>
      </c>
      <c r="F376" s="16" t="s">
        <v>152</v>
      </c>
      <c r="G376" s="18">
        <v>9.25205457E8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15" t="s">
        <v>465</v>
      </c>
      <c r="B377" s="10">
        <v>23.22</v>
      </c>
      <c r="C377" s="16">
        <v>2.0</v>
      </c>
      <c r="D377" s="17">
        <f t="shared" si="34"/>
        <v>46.44</v>
      </c>
      <c r="E377" s="22" t="s">
        <v>466</v>
      </c>
      <c r="F377" s="16" t="s">
        <v>17</v>
      </c>
      <c r="G377" s="18" t="s">
        <v>467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15" t="s">
        <v>438</v>
      </c>
      <c r="B378" s="10">
        <v>0.25</v>
      </c>
      <c r="C378" s="16">
        <v>8.0</v>
      </c>
      <c r="D378" s="17">
        <f t="shared" si="34"/>
        <v>2</v>
      </c>
      <c r="E378" s="22">
        <v>45397.0</v>
      </c>
      <c r="F378" s="16" t="s">
        <v>152</v>
      </c>
      <c r="G378" s="18">
        <v>33819.0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15" t="s">
        <v>468</v>
      </c>
      <c r="B379" s="10">
        <v>7.46</v>
      </c>
      <c r="C379" s="16">
        <v>1.0</v>
      </c>
      <c r="D379" s="17">
        <f t="shared" si="34"/>
        <v>7.46</v>
      </c>
      <c r="E379" s="22" t="s">
        <v>464</v>
      </c>
      <c r="F379" s="16" t="s">
        <v>152</v>
      </c>
      <c r="G379" s="18">
        <v>1133819.0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15"/>
      <c r="B380" s="10"/>
      <c r="C380" s="16"/>
      <c r="D380" s="17"/>
      <c r="E380" s="22"/>
      <c r="F380" s="16"/>
      <c r="G380" s="1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15" t="s">
        <v>469</v>
      </c>
      <c r="B381" s="16">
        <v>23.07</v>
      </c>
      <c r="C381" s="16">
        <v>1.0</v>
      </c>
      <c r="D381" s="17">
        <f t="shared" ref="D381:D388" si="35">B381*C381</f>
        <v>23.07</v>
      </c>
      <c r="E381" s="22">
        <v>45369.0</v>
      </c>
      <c r="F381" s="16" t="s">
        <v>17</v>
      </c>
      <c r="G381" s="18" t="s">
        <v>470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15" t="s">
        <v>471</v>
      </c>
      <c r="B382" s="16">
        <v>287.16</v>
      </c>
      <c r="C382" s="16">
        <v>1.0</v>
      </c>
      <c r="D382" s="17">
        <f t="shared" si="35"/>
        <v>287.16</v>
      </c>
      <c r="E382" s="22">
        <v>45366.0</v>
      </c>
      <c r="F382" s="13" t="s">
        <v>403</v>
      </c>
      <c r="G382" s="14"/>
      <c r="H382" s="7"/>
      <c r="I382" s="7"/>
      <c r="J382" s="16" t="s">
        <v>472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15" t="s">
        <v>473</v>
      </c>
      <c r="B383" s="16">
        <v>2.74</v>
      </c>
      <c r="C383" s="16">
        <v>1.0</v>
      </c>
      <c r="D383" s="17">
        <f t="shared" si="35"/>
        <v>2.74</v>
      </c>
      <c r="E383" s="22">
        <v>45434.0</v>
      </c>
      <c r="F383" s="16" t="s">
        <v>26</v>
      </c>
      <c r="G383" s="14" t="s">
        <v>474</v>
      </c>
      <c r="H383" s="7"/>
      <c r="I383" s="7"/>
      <c r="J383" s="16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 t="s">
        <v>475</v>
      </c>
      <c r="B384" s="31">
        <v>60.67</v>
      </c>
      <c r="C384" s="16">
        <v>2.0</v>
      </c>
      <c r="D384" s="17">
        <f t="shared" si="35"/>
        <v>121.34</v>
      </c>
      <c r="E384" s="22">
        <v>45397.0</v>
      </c>
      <c r="F384" s="16" t="s">
        <v>162</v>
      </c>
      <c r="G384" s="18"/>
      <c r="H384" s="7"/>
      <c r="I384" s="7"/>
      <c r="J384" s="20" t="s">
        <v>476</v>
      </c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 t="s">
        <v>477</v>
      </c>
      <c r="B385" s="31">
        <v>27.21</v>
      </c>
      <c r="C385" s="16">
        <v>2.0</v>
      </c>
      <c r="D385" s="17">
        <f t="shared" si="35"/>
        <v>54.42</v>
      </c>
      <c r="E385" s="22">
        <v>45617.0</v>
      </c>
      <c r="F385" s="16" t="s">
        <v>239</v>
      </c>
      <c r="G385" s="18"/>
      <c r="H385" s="7"/>
      <c r="I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 t="s">
        <v>478</v>
      </c>
      <c r="B386" s="31">
        <v>43.23</v>
      </c>
      <c r="C386" s="16">
        <v>2.0</v>
      </c>
      <c r="D386" s="17">
        <f t="shared" si="35"/>
        <v>86.46</v>
      </c>
      <c r="E386" s="22">
        <v>45617.0</v>
      </c>
      <c r="F386" s="16" t="s">
        <v>239</v>
      </c>
      <c r="G386" s="18"/>
      <c r="H386" s="7"/>
      <c r="I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 t="s">
        <v>479</v>
      </c>
      <c r="B387" s="7">
        <v>100.87</v>
      </c>
      <c r="C387" s="16">
        <v>2.0</v>
      </c>
      <c r="D387" s="17">
        <f t="shared" si="35"/>
        <v>201.74</v>
      </c>
      <c r="E387" s="22">
        <v>45617.0</v>
      </c>
      <c r="F387" s="16" t="s">
        <v>17</v>
      </c>
      <c r="G387" s="14" t="s">
        <v>480</v>
      </c>
      <c r="H387" s="7"/>
      <c r="I387" s="7"/>
      <c r="J387" s="7" t="s">
        <v>481</v>
      </c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 t="s">
        <v>482</v>
      </c>
      <c r="B388" s="31">
        <v>32.99</v>
      </c>
      <c r="C388" s="16">
        <v>1.0</v>
      </c>
      <c r="D388" s="17">
        <f t="shared" si="35"/>
        <v>32.99</v>
      </c>
      <c r="E388" s="22">
        <v>45617.0</v>
      </c>
      <c r="F388" s="16" t="s">
        <v>239</v>
      </c>
      <c r="G388" s="14"/>
      <c r="H388" s="7"/>
      <c r="I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15"/>
      <c r="B389" s="59"/>
      <c r="C389" s="16"/>
      <c r="D389" s="17"/>
      <c r="E389" s="7"/>
      <c r="F389" s="7"/>
      <c r="G389" s="14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6" t="s">
        <v>483</v>
      </c>
      <c r="B390" s="4">
        <f>SUM(D391:D406)</f>
        <v>2957.44</v>
      </c>
      <c r="C390" s="7"/>
      <c r="D390" s="7"/>
      <c r="E390" s="7"/>
      <c r="F390" s="7"/>
      <c r="G390" s="14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15" t="s">
        <v>484</v>
      </c>
      <c r="B391" s="10">
        <v>304.0</v>
      </c>
      <c r="C391" s="16">
        <v>4.0</v>
      </c>
      <c r="D391" s="11">
        <f>C391*B391</f>
        <v>1216</v>
      </c>
      <c r="E391" s="22">
        <v>45222.0</v>
      </c>
      <c r="F391" s="16" t="s">
        <v>328</v>
      </c>
      <c r="G391" s="14"/>
      <c r="H391" s="16" t="s">
        <v>332</v>
      </c>
      <c r="I391" s="16" t="s">
        <v>485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15" t="s">
        <v>216</v>
      </c>
      <c r="B392" s="10">
        <v>2.78</v>
      </c>
      <c r="C392" s="16">
        <v>4.0</v>
      </c>
      <c r="D392" s="17">
        <f t="shared" ref="D392:D405" si="36">B392*C392</f>
        <v>11.12</v>
      </c>
      <c r="E392" s="22">
        <v>45397.0</v>
      </c>
      <c r="F392" s="13" t="s">
        <v>130</v>
      </c>
      <c r="G392" s="14" t="s">
        <v>143</v>
      </c>
      <c r="H392" s="16"/>
      <c r="I392" s="7"/>
      <c r="J392" s="16" t="s">
        <v>298</v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 t="s">
        <v>159</v>
      </c>
      <c r="B393" s="31">
        <v>134.81</v>
      </c>
      <c r="C393" s="16">
        <v>2.0</v>
      </c>
      <c r="D393" s="17">
        <f t="shared" si="36"/>
        <v>269.62</v>
      </c>
      <c r="E393" s="22">
        <v>45397.0</v>
      </c>
      <c r="F393" s="16" t="s">
        <v>130</v>
      </c>
      <c r="G393" s="14"/>
      <c r="H393" s="7"/>
      <c r="I393" s="7"/>
      <c r="J393" s="16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 t="s">
        <v>486</v>
      </c>
      <c r="B394" s="31">
        <v>33.85</v>
      </c>
      <c r="C394" s="16">
        <v>2.0</v>
      </c>
      <c r="D394" s="17">
        <f t="shared" si="36"/>
        <v>67.7</v>
      </c>
      <c r="E394" s="22">
        <v>45397.0</v>
      </c>
      <c r="F394" s="16" t="s">
        <v>162</v>
      </c>
      <c r="G394" s="14"/>
      <c r="H394" s="7"/>
      <c r="I394" s="7"/>
      <c r="J394" s="16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 t="s">
        <v>487</v>
      </c>
      <c r="B395" s="31">
        <v>106.02</v>
      </c>
      <c r="C395" s="16">
        <v>4.0</v>
      </c>
      <c r="D395" s="17">
        <f t="shared" si="36"/>
        <v>424.08</v>
      </c>
      <c r="E395" s="22">
        <v>45397.0</v>
      </c>
      <c r="F395" s="16" t="s">
        <v>162</v>
      </c>
      <c r="G395" s="14"/>
      <c r="H395" s="7"/>
      <c r="I395" s="7"/>
      <c r="J395" s="16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15" t="s">
        <v>488</v>
      </c>
      <c r="B396" s="31">
        <v>93.84</v>
      </c>
      <c r="C396" s="16">
        <v>1.0</v>
      </c>
      <c r="D396" s="17">
        <f t="shared" si="36"/>
        <v>93.84</v>
      </c>
      <c r="E396" s="22">
        <v>45397.0</v>
      </c>
      <c r="F396" s="16" t="s">
        <v>130</v>
      </c>
      <c r="G396" s="14"/>
      <c r="H396" s="7"/>
      <c r="I396" s="7"/>
      <c r="J396" s="16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 t="s">
        <v>173</v>
      </c>
      <c r="B397" s="31">
        <v>9.15</v>
      </c>
      <c r="C397" s="16">
        <v>2.0</v>
      </c>
      <c r="D397" s="17">
        <f t="shared" si="36"/>
        <v>18.3</v>
      </c>
      <c r="E397" s="22">
        <v>45397.0</v>
      </c>
      <c r="F397" s="16" t="s">
        <v>162</v>
      </c>
      <c r="G397" s="14"/>
      <c r="H397" s="7"/>
      <c r="I397" s="7"/>
      <c r="J397" s="16" t="s">
        <v>174</v>
      </c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 t="s">
        <v>173</v>
      </c>
      <c r="B398" s="31">
        <v>23.05</v>
      </c>
      <c r="C398" s="16">
        <v>1.0</v>
      </c>
      <c r="D398" s="17">
        <f t="shared" si="36"/>
        <v>23.05</v>
      </c>
      <c r="E398" s="12" t="s">
        <v>489</v>
      </c>
      <c r="F398" s="16" t="s">
        <v>17</v>
      </c>
      <c r="G398" s="14" t="s">
        <v>490</v>
      </c>
      <c r="H398" s="7"/>
      <c r="I398" s="7"/>
      <c r="J398" s="16" t="s">
        <v>491</v>
      </c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 t="s">
        <v>492</v>
      </c>
      <c r="B399" s="31">
        <v>186.38</v>
      </c>
      <c r="C399" s="16">
        <v>2.0</v>
      </c>
      <c r="D399" s="17">
        <f t="shared" si="36"/>
        <v>372.76</v>
      </c>
      <c r="E399" s="22">
        <v>45617.0</v>
      </c>
      <c r="F399" s="16" t="s">
        <v>17</v>
      </c>
      <c r="G399" s="14" t="s">
        <v>493</v>
      </c>
      <c r="H399" s="7"/>
      <c r="I399" s="7"/>
      <c r="J399" s="7" t="s">
        <v>481</v>
      </c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 t="s">
        <v>494</v>
      </c>
      <c r="B400" s="7">
        <v>79.05</v>
      </c>
      <c r="C400" s="16">
        <v>2.0</v>
      </c>
      <c r="D400" s="17">
        <f t="shared" si="36"/>
        <v>158.1</v>
      </c>
      <c r="E400" s="22">
        <v>45617.0</v>
      </c>
      <c r="F400" s="16" t="s">
        <v>17</v>
      </c>
      <c r="G400" s="14" t="s">
        <v>495</v>
      </c>
      <c r="H400" s="7"/>
      <c r="I400" s="7"/>
      <c r="J400" s="7" t="s">
        <v>481</v>
      </c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15" t="s">
        <v>67</v>
      </c>
      <c r="B401" s="31">
        <v>6.02</v>
      </c>
      <c r="C401" s="16">
        <v>1.0</v>
      </c>
      <c r="D401" s="17">
        <f t="shared" si="36"/>
        <v>6.02</v>
      </c>
      <c r="E401" s="22">
        <v>45394.0</v>
      </c>
      <c r="F401" s="16" t="s">
        <v>51</v>
      </c>
      <c r="G401" s="14"/>
      <c r="H401" s="7"/>
      <c r="I401" s="7"/>
      <c r="J401" s="16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15" t="s">
        <v>69</v>
      </c>
      <c r="B402" s="31">
        <v>2.37</v>
      </c>
      <c r="C402" s="16">
        <v>1.0</v>
      </c>
      <c r="D402" s="17">
        <f t="shared" si="36"/>
        <v>2.37</v>
      </c>
      <c r="E402" s="22">
        <v>45394.0</v>
      </c>
      <c r="F402" s="16" t="s">
        <v>26</v>
      </c>
      <c r="G402" s="14"/>
      <c r="H402" s="7"/>
      <c r="I402" s="7"/>
      <c r="J402" s="16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15" t="s">
        <v>496</v>
      </c>
      <c r="B403" s="31">
        <v>9.26</v>
      </c>
      <c r="C403" s="16">
        <v>1.0</v>
      </c>
      <c r="D403" s="17">
        <f t="shared" si="36"/>
        <v>9.26</v>
      </c>
      <c r="E403" s="22">
        <v>45394.0</v>
      </c>
      <c r="F403" s="16" t="s">
        <v>51</v>
      </c>
      <c r="G403" s="14"/>
      <c r="H403" s="7"/>
      <c r="I403" s="7"/>
      <c r="J403" s="16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15" t="s">
        <v>71</v>
      </c>
      <c r="B404" s="31">
        <v>1.64</v>
      </c>
      <c r="C404" s="16">
        <v>3.0</v>
      </c>
      <c r="D404" s="17">
        <f t="shared" si="36"/>
        <v>4.92</v>
      </c>
      <c r="E404" s="22">
        <v>45394.0</v>
      </c>
      <c r="F404" s="16" t="s">
        <v>26</v>
      </c>
      <c r="G404" s="14"/>
      <c r="H404" s="7"/>
      <c r="I404" s="7"/>
      <c r="J404" s="16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15" t="s">
        <v>497</v>
      </c>
      <c r="B405" s="10">
        <v>280.3</v>
      </c>
      <c r="C405" s="16">
        <v>1.0</v>
      </c>
      <c r="D405" s="17">
        <f t="shared" si="36"/>
        <v>280.3</v>
      </c>
      <c r="E405" s="22">
        <v>45693.0</v>
      </c>
      <c r="F405" s="16" t="s">
        <v>202</v>
      </c>
      <c r="G405" s="14"/>
      <c r="H405" s="16"/>
      <c r="I405" s="7"/>
      <c r="J405" s="16" t="s">
        <v>498</v>
      </c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15"/>
      <c r="B406" s="10"/>
      <c r="C406" s="16"/>
      <c r="D406" s="11"/>
      <c r="E406" s="7"/>
      <c r="F406" s="7"/>
      <c r="G406" s="14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46" t="s">
        <v>499</v>
      </c>
      <c r="B407" s="4">
        <f>SUM(D408:D421)</f>
        <v>3930.33</v>
      </c>
      <c r="C407" s="16"/>
      <c r="D407" s="7"/>
      <c r="E407" s="7"/>
      <c r="F407" s="7"/>
      <c r="G407" s="14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15" t="s">
        <v>500</v>
      </c>
      <c r="B408" s="10">
        <v>1281.0</v>
      </c>
      <c r="C408" s="16">
        <v>2.0</v>
      </c>
      <c r="D408" s="11">
        <f t="shared" ref="D408:D409" si="37">C408*B408</f>
        <v>2562</v>
      </c>
      <c r="E408" s="22">
        <v>45222.0</v>
      </c>
      <c r="F408" s="16" t="s">
        <v>328</v>
      </c>
      <c r="G408" s="14"/>
      <c r="H408" s="16" t="s">
        <v>501</v>
      </c>
      <c r="I408" s="16" t="s">
        <v>502</v>
      </c>
      <c r="J408" s="16" t="s">
        <v>503</v>
      </c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15" t="s">
        <v>504</v>
      </c>
      <c r="B409" s="10">
        <v>289.0</v>
      </c>
      <c r="C409" s="16">
        <v>2.0</v>
      </c>
      <c r="D409" s="11">
        <f t="shared" si="37"/>
        <v>578</v>
      </c>
      <c r="E409" s="22">
        <v>45222.0</v>
      </c>
      <c r="F409" s="16" t="s">
        <v>328</v>
      </c>
      <c r="G409" s="14"/>
      <c r="H409" s="16" t="s">
        <v>332</v>
      </c>
      <c r="I409" s="16" t="s">
        <v>505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 t="s">
        <v>506</v>
      </c>
      <c r="B410" s="31">
        <v>69.65</v>
      </c>
      <c r="C410" s="16">
        <v>2.0</v>
      </c>
      <c r="D410" s="17">
        <f t="shared" ref="D410:D419" si="38">B410*C410</f>
        <v>139.3</v>
      </c>
      <c r="E410" s="22">
        <v>45397.0</v>
      </c>
      <c r="F410" s="16" t="s">
        <v>162</v>
      </c>
      <c r="G410" s="14"/>
      <c r="H410" s="7"/>
      <c r="I410" s="7"/>
      <c r="J410" s="16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 t="s">
        <v>506</v>
      </c>
      <c r="B411" s="31">
        <v>77.22</v>
      </c>
      <c r="C411" s="16">
        <v>1.0</v>
      </c>
      <c r="D411" s="17">
        <f t="shared" si="38"/>
        <v>77.22</v>
      </c>
      <c r="E411" s="12" t="s">
        <v>489</v>
      </c>
      <c r="F411" s="16" t="s">
        <v>130</v>
      </c>
      <c r="G411" s="14" t="s">
        <v>507</v>
      </c>
      <c r="H411" s="7"/>
      <c r="I411" s="7"/>
      <c r="J411" s="16" t="s">
        <v>491</v>
      </c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15" t="s">
        <v>194</v>
      </c>
      <c r="B412" s="31">
        <v>11.8</v>
      </c>
      <c r="C412" s="16">
        <v>4.0</v>
      </c>
      <c r="D412" s="17">
        <f t="shared" si="38"/>
        <v>47.2</v>
      </c>
      <c r="E412" s="22">
        <v>45397.0</v>
      </c>
      <c r="F412" s="16" t="s">
        <v>162</v>
      </c>
      <c r="G412" s="14"/>
      <c r="H412" s="7"/>
      <c r="I412" s="7"/>
      <c r="J412" s="16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15" t="s">
        <v>508</v>
      </c>
      <c r="B413" s="31">
        <v>28.45</v>
      </c>
      <c r="C413" s="16">
        <v>2.0</v>
      </c>
      <c r="D413" s="17">
        <f t="shared" si="38"/>
        <v>56.9</v>
      </c>
      <c r="E413" s="22">
        <v>45397.0</v>
      </c>
      <c r="F413" s="16" t="s">
        <v>162</v>
      </c>
      <c r="G413" s="14"/>
      <c r="H413" s="7"/>
      <c r="I413" s="7"/>
      <c r="J413" s="16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15" t="s">
        <v>508</v>
      </c>
      <c r="B414" s="31">
        <v>64.76</v>
      </c>
      <c r="C414" s="16">
        <v>1.0</v>
      </c>
      <c r="D414" s="17">
        <f t="shared" si="38"/>
        <v>64.76</v>
      </c>
      <c r="E414" s="12" t="s">
        <v>489</v>
      </c>
      <c r="F414" s="16" t="s">
        <v>130</v>
      </c>
      <c r="G414" s="14" t="s">
        <v>509</v>
      </c>
      <c r="H414" s="7"/>
      <c r="I414" s="7"/>
      <c r="J414" s="16" t="s">
        <v>491</v>
      </c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 t="s">
        <v>171</v>
      </c>
      <c r="B415" s="31">
        <v>23.03</v>
      </c>
      <c r="C415" s="16">
        <v>2.0</v>
      </c>
      <c r="D415" s="17">
        <f t="shared" si="38"/>
        <v>46.06</v>
      </c>
      <c r="E415" s="22">
        <v>45397.0</v>
      </c>
      <c r="F415" s="16" t="s">
        <v>162</v>
      </c>
      <c r="G415" s="14"/>
      <c r="H415" s="7"/>
      <c r="I415" s="7"/>
      <c r="J415" s="16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15" t="s">
        <v>181</v>
      </c>
      <c r="B416" s="31">
        <v>13.5</v>
      </c>
      <c r="C416" s="16">
        <v>2.0</v>
      </c>
      <c r="D416" s="17">
        <f t="shared" si="38"/>
        <v>27</v>
      </c>
      <c r="E416" s="22">
        <v>45397.0</v>
      </c>
      <c r="F416" s="16" t="s">
        <v>162</v>
      </c>
      <c r="G416" s="14"/>
      <c r="H416" s="7"/>
      <c r="I416" s="7"/>
      <c r="J416" s="16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 t="s">
        <v>177</v>
      </c>
      <c r="B417" s="31">
        <v>23.7</v>
      </c>
      <c r="C417" s="16">
        <v>2.0</v>
      </c>
      <c r="D417" s="17">
        <f t="shared" si="38"/>
        <v>47.4</v>
      </c>
      <c r="E417" s="22">
        <v>45397.0</v>
      </c>
      <c r="F417" s="16" t="s">
        <v>162</v>
      </c>
      <c r="G417" s="14"/>
      <c r="H417" s="7"/>
      <c r="I417" s="7"/>
      <c r="J417" s="16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15" t="s">
        <v>510</v>
      </c>
      <c r="B418" s="31">
        <v>141.72</v>
      </c>
      <c r="C418" s="16">
        <v>1.0</v>
      </c>
      <c r="D418" s="17">
        <f t="shared" si="38"/>
        <v>141.72</v>
      </c>
      <c r="E418" s="22">
        <v>45693.0</v>
      </c>
      <c r="F418" s="16" t="s">
        <v>202</v>
      </c>
      <c r="G418" s="14"/>
      <c r="H418" s="7"/>
      <c r="I418" s="7"/>
      <c r="J418" s="16" t="s">
        <v>511</v>
      </c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15" t="s">
        <v>512</v>
      </c>
      <c r="B419" s="31">
        <v>142.77</v>
      </c>
      <c r="C419" s="16">
        <v>1.0</v>
      </c>
      <c r="D419" s="17">
        <f t="shared" si="38"/>
        <v>142.77</v>
      </c>
      <c r="E419" s="22">
        <v>45693.0</v>
      </c>
      <c r="F419" s="16" t="s">
        <v>202</v>
      </c>
      <c r="G419" s="14"/>
      <c r="H419" s="7"/>
      <c r="I419" s="7"/>
      <c r="J419" s="16" t="s">
        <v>513</v>
      </c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31"/>
      <c r="C420" s="16"/>
      <c r="D420" s="17"/>
      <c r="E420" s="7"/>
      <c r="F420" s="16"/>
      <c r="G420" s="14"/>
      <c r="H420" s="7"/>
      <c r="I420" s="7"/>
      <c r="J420" s="16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15"/>
      <c r="B421" s="31"/>
      <c r="C421" s="7"/>
      <c r="D421" s="17"/>
      <c r="E421" s="7"/>
      <c r="F421" s="7"/>
      <c r="G421" s="14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46" t="s">
        <v>514</v>
      </c>
      <c r="B422" s="4">
        <f>SUM(D423:D428)</f>
        <v>1077.14</v>
      </c>
      <c r="C422" s="7"/>
      <c r="D422" s="7"/>
      <c r="E422" s="7"/>
      <c r="F422" s="7"/>
      <c r="G422" s="14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15" t="s">
        <v>515</v>
      </c>
      <c r="B423" s="10">
        <v>31.56</v>
      </c>
      <c r="C423" s="16">
        <v>1.0</v>
      </c>
      <c r="D423" s="17">
        <f t="shared" ref="D423:D427" si="39">B423*C423</f>
        <v>31.56</v>
      </c>
      <c r="E423" s="22">
        <v>45369.0</v>
      </c>
      <c r="F423" s="13" t="s">
        <v>26</v>
      </c>
      <c r="G423" s="14"/>
      <c r="H423" s="7"/>
      <c r="I423" s="7"/>
      <c r="J423" s="7" t="s">
        <v>516</v>
      </c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15" t="s">
        <v>517</v>
      </c>
      <c r="B424" s="31">
        <v>469.32</v>
      </c>
      <c r="C424" s="7">
        <v>2.0</v>
      </c>
      <c r="D424" s="17">
        <f t="shared" si="39"/>
        <v>938.64</v>
      </c>
      <c r="E424" s="22">
        <v>45397.0</v>
      </c>
      <c r="F424" s="7" t="s">
        <v>518</v>
      </c>
      <c r="G424" s="14"/>
      <c r="H424" s="16" t="s">
        <v>519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15" t="s">
        <v>520</v>
      </c>
      <c r="B425" s="31">
        <v>0.92</v>
      </c>
      <c r="C425" s="16">
        <v>4.0</v>
      </c>
      <c r="D425" s="17">
        <f t="shared" si="39"/>
        <v>3.68</v>
      </c>
      <c r="E425" s="22">
        <v>45397.0</v>
      </c>
      <c r="F425" s="16" t="s">
        <v>152</v>
      </c>
      <c r="G425" s="14">
        <v>23314.0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 t="s">
        <v>521</v>
      </c>
      <c r="B426" s="31">
        <v>4.92</v>
      </c>
      <c r="C426" s="7">
        <v>4.0</v>
      </c>
      <c r="D426" s="17">
        <f t="shared" si="39"/>
        <v>19.68</v>
      </c>
      <c r="E426" s="22">
        <v>45397.0</v>
      </c>
      <c r="F426" s="16" t="s">
        <v>130</v>
      </c>
      <c r="G426" s="14" t="s">
        <v>522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16" t="s">
        <v>523</v>
      </c>
      <c r="B427" s="31">
        <v>41.79</v>
      </c>
      <c r="C427" s="16">
        <v>2.0</v>
      </c>
      <c r="D427" s="17">
        <f t="shared" si="39"/>
        <v>83.58</v>
      </c>
      <c r="E427" s="22">
        <v>45397.0</v>
      </c>
      <c r="F427" s="16" t="s">
        <v>130</v>
      </c>
      <c r="G427" s="14" t="s">
        <v>524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15"/>
      <c r="B428" s="10"/>
      <c r="C428" s="16"/>
      <c r="D428" s="17"/>
      <c r="E428" s="7"/>
      <c r="F428" s="7"/>
      <c r="G428" s="14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46" t="s">
        <v>525</v>
      </c>
      <c r="B429" s="4">
        <f>SUM(D430:D439)</f>
        <v>3707</v>
      </c>
      <c r="C429" s="16"/>
      <c r="D429" s="7"/>
      <c r="E429" s="7"/>
      <c r="F429" s="7"/>
      <c r="G429" s="14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32" t="s">
        <v>526</v>
      </c>
      <c r="B430" s="10">
        <v>172.5</v>
      </c>
      <c r="C430" s="7">
        <v>2.0</v>
      </c>
      <c r="D430" s="11">
        <f t="shared" ref="D430:D435" si="40">C430*B430</f>
        <v>345</v>
      </c>
      <c r="E430" s="12">
        <v>45142.0</v>
      </c>
      <c r="F430" s="7" t="s">
        <v>527</v>
      </c>
      <c r="G430" s="14" t="s">
        <v>528</v>
      </c>
      <c r="H430" s="7" t="s">
        <v>527</v>
      </c>
      <c r="I430" s="7" t="s">
        <v>528</v>
      </c>
      <c r="J430" s="7" t="s">
        <v>47</v>
      </c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32" t="s">
        <v>529</v>
      </c>
      <c r="B431" s="10">
        <v>64.5</v>
      </c>
      <c r="C431" s="7">
        <v>7.0</v>
      </c>
      <c r="D431" s="11">
        <f t="shared" si="40"/>
        <v>451.5</v>
      </c>
      <c r="E431" s="12">
        <v>45142.0</v>
      </c>
      <c r="F431" s="13" t="s">
        <v>17</v>
      </c>
      <c r="G431" s="14" t="s">
        <v>530</v>
      </c>
      <c r="H431" s="22"/>
      <c r="I431" s="13"/>
      <c r="J431" s="7" t="s">
        <v>47</v>
      </c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32" t="s">
        <v>531</v>
      </c>
      <c r="B432" s="10">
        <v>359.0</v>
      </c>
      <c r="C432" s="7">
        <v>1.0</v>
      </c>
      <c r="D432" s="11">
        <f t="shared" si="40"/>
        <v>359</v>
      </c>
      <c r="E432" s="12">
        <v>45142.0</v>
      </c>
      <c r="F432" s="13" t="s">
        <v>532</v>
      </c>
      <c r="G432" s="14" t="s">
        <v>533</v>
      </c>
      <c r="H432" s="7" t="s">
        <v>534</v>
      </c>
      <c r="I432" s="13" t="s">
        <v>535</v>
      </c>
      <c r="J432" s="7" t="s">
        <v>47</v>
      </c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32" t="s">
        <v>536</v>
      </c>
      <c r="B433" s="10">
        <v>359.0</v>
      </c>
      <c r="C433" s="7">
        <v>1.0</v>
      </c>
      <c r="D433" s="11">
        <f t="shared" si="40"/>
        <v>359</v>
      </c>
      <c r="E433" s="12">
        <v>45142.0</v>
      </c>
      <c r="F433" s="13" t="s">
        <v>532</v>
      </c>
      <c r="G433" s="14" t="s">
        <v>533</v>
      </c>
      <c r="H433" s="7" t="s">
        <v>534</v>
      </c>
      <c r="I433" s="13" t="s">
        <v>535</v>
      </c>
      <c r="J433" s="7" t="s">
        <v>47</v>
      </c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32" t="s">
        <v>537</v>
      </c>
      <c r="B434" s="10">
        <v>565.0</v>
      </c>
      <c r="C434" s="7">
        <v>1.0</v>
      </c>
      <c r="D434" s="11">
        <f t="shared" si="40"/>
        <v>565</v>
      </c>
      <c r="E434" s="12">
        <v>45142.0</v>
      </c>
      <c r="F434" s="13" t="s">
        <v>538</v>
      </c>
      <c r="G434" s="14" t="s">
        <v>539</v>
      </c>
      <c r="H434" s="13" t="s">
        <v>538</v>
      </c>
      <c r="I434" s="7" t="s">
        <v>539</v>
      </c>
      <c r="J434" s="7" t="s">
        <v>47</v>
      </c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32" t="s">
        <v>540</v>
      </c>
      <c r="B435" s="10">
        <v>1627.5</v>
      </c>
      <c r="C435" s="7">
        <v>1.0</v>
      </c>
      <c r="D435" s="11">
        <f t="shared" si="40"/>
        <v>1627.5</v>
      </c>
      <c r="E435" s="12">
        <v>45142.0</v>
      </c>
      <c r="F435" s="13" t="s">
        <v>541</v>
      </c>
      <c r="G435" s="14" t="s">
        <v>542</v>
      </c>
      <c r="H435" s="13" t="s">
        <v>541</v>
      </c>
      <c r="I435" s="7" t="s">
        <v>542</v>
      </c>
      <c r="J435" s="7" t="s">
        <v>47</v>
      </c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32"/>
      <c r="B436" s="10"/>
      <c r="C436" s="7"/>
      <c r="D436" s="11"/>
      <c r="E436" s="12"/>
      <c r="F436" s="13"/>
      <c r="G436" s="14"/>
      <c r="H436" s="13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33" t="s">
        <v>543</v>
      </c>
      <c r="B437" s="10"/>
      <c r="C437" s="7"/>
      <c r="D437" s="11"/>
      <c r="E437" s="12"/>
      <c r="F437" s="13"/>
      <c r="G437" s="14"/>
      <c r="H437" s="13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15" t="s">
        <v>544</v>
      </c>
      <c r="B438" s="10">
        <v>0.0</v>
      </c>
      <c r="C438" s="16">
        <v>2.0</v>
      </c>
      <c r="D438" s="11">
        <f>C438*B438</f>
        <v>0</v>
      </c>
      <c r="E438" s="12">
        <v>45142.0</v>
      </c>
      <c r="F438" s="7" t="s">
        <v>49</v>
      </c>
      <c r="G438" s="14"/>
      <c r="H438" s="7"/>
      <c r="I438" s="7"/>
      <c r="J438" s="7" t="s">
        <v>47</v>
      </c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15"/>
      <c r="B439" s="10"/>
      <c r="C439" s="16"/>
      <c r="D439" s="17"/>
      <c r="E439" s="7"/>
      <c r="F439" s="7"/>
      <c r="G439" s="14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15"/>
      <c r="B440" s="10"/>
      <c r="C440" s="16"/>
      <c r="D440" s="17"/>
      <c r="E440" s="7"/>
      <c r="F440" s="7"/>
      <c r="G440" s="14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46" t="s">
        <v>545</v>
      </c>
      <c r="B441" s="4">
        <f>SUM(D442:D449)</f>
        <v>126.93</v>
      </c>
      <c r="C441" s="16"/>
      <c r="D441" s="7"/>
      <c r="E441" s="7"/>
      <c r="F441" s="7"/>
      <c r="G441" s="14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32" t="s">
        <v>546</v>
      </c>
      <c r="B442" s="10">
        <v>2.55</v>
      </c>
      <c r="C442" s="7">
        <v>5.0</v>
      </c>
      <c r="D442" s="11">
        <f t="shared" ref="D442:D449" si="41">C442*B442</f>
        <v>12.75</v>
      </c>
      <c r="E442" s="12">
        <v>45567.0</v>
      </c>
      <c r="F442" s="13" t="s">
        <v>547</v>
      </c>
      <c r="G442" s="14" t="s">
        <v>548</v>
      </c>
      <c r="H442" s="13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32" t="s">
        <v>549</v>
      </c>
      <c r="B443" s="10">
        <v>5.77</v>
      </c>
      <c r="C443" s="7">
        <v>5.0</v>
      </c>
      <c r="D443" s="11">
        <f t="shared" si="41"/>
        <v>28.85</v>
      </c>
      <c r="E443" s="12">
        <v>45568.0</v>
      </c>
      <c r="F443" s="13" t="s">
        <v>547</v>
      </c>
      <c r="G443" s="14" t="s">
        <v>550</v>
      </c>
      <c r="H443" s="13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32" t="s">
        <v>551</v>
      </c>
      <c r="B444" s="10">
        <v>6.36</v>
      </c>
      <c r="C444" s="7">
        <v>8.0</v>
      </c>
      <c r="D444" s="11">
        <f t="shared" si="41"/>
        <v>50.88</v>
      </c>
      <c r="E444" s="12" t="s">
        <v>489</v>
      </c>
      <c r="F444" s="13" t="s">
        <v>547</v>
      </c>
      <c r="G444" s="14" t="s">
        <v>552</v>
      </c>
      <c r="H444" s="13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60" t="s">
        <v>553</v>
      </c>
      <c r="B445" s="24">
        <v>6.3</v>
      </c>
      <c r="C445" s="44">
        <v>3.0</v>
      </c>
      <c r="D445" s="11">
        <f t="shared" si="41"/>
        <v>18.9</v>
      </c>
      <c r="E445" s="29">
        <v>46156.0</v>
      </c>
      <c r="F445" s="13" t="s">
        <v>547</v>
      </c>
      <c r="G445" s="61" t="s">
        <v>554</v>
      </c>
      <c r="H445" s="56" t="s">
        <v>555</v>
      </c>
      <c r="I445" s="62" t="s">
        <v>556</v>
      </c>
      <c r="J445" s="44" t="s">
        <v>557</v>
      </c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60" t="s">
        <v>558</v>
      </c>
      <c r="B446" s="24">
        <v>0.348</v>
      </c>
      <c r="C446" s="44">
        <v>10.0</v>
      </c>
      <c r="D446" s="11">
        <f t="shared" si="41"/>
        <v>3.48</v>
      </c>
      <c r="E446" s="29">
        <v>46122.0</v>
      </c>
      <c r="F446" s="13" t="s">
        <v>547</v>
      </c>
      <c r="G446" s="62" t="s">
        <v>559</v>
      </c>
      <c r="I446" s="7"/>
      <c r="J446" s="44" t="s">
        <v>560</v>
      </c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60" t="s">
        <v>561</v>
      </c>
      <c r="B447" s="24">
        <v>0.563</v>
      </c>
      <c r="C447" s="44">
        <v>10.0</v>
      </c>
      <c r="D447" s="11">
        <f t="shared" si="41"/>
        <v>5.63</v>
      </c>
      <c r="E447" s="29">
        <v>46123.0</v>
      </c>
      <c r="F447" s="13" t="s">
        <v>547</v>
      </c>
      <c r="G447" s="61" t="s">
        <v>562</v>
      </c>
      <c r="H447" s="13"/>
      <c r="I447" s="7"/>
      <c r="J447" s="44" t="s">
        <v>560</v>
      </c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28" t="s">
        <v>563</v>
      </c>
      <c r="B448" s="24">
        <v>0.85</v>
      </c>
      <c r="C448" s="25">
        <v>5.0</v>
      </c>
      <c r="D448" s="11">
        <f t="shared" si="41"/>
        <v>4.25</v>
      </c>
      <c r="E448" s="63">
        <v>46097.0</v>
      </c>
      <c r="F448" s="44" t="s">
        <v>564</v>
      </c>
      <c r="G448" s="64" t="s">
        <v>565</v>
      </c>
      <c r="H448" s="44" t="s">
        <v>566</v>
      </c>
      <c r="I448" s="61" t="s">
        <v>567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28" t="s">
        <v>568</v>
      </c>
      <c r="B449" s="24">
        <v>2.19</v>
      </c>
      <c r="C449" s="25">
        <v>1.0</v>
      </c>
      <c r="D449" s="11">
        <f t="shared" si="41"/>
        <v>2.19</v>
      </c>
      <c r="E449" s="63">
        <v>46097.0</v>
      </c>
      <c r="F449" s="44" t="s">
        <v>564</v>
      </c>
      <c r="G449" s="62" t="s">
        <v>569</v>
      </c>
      <c r="H449" s="44" t="s">
        <v>570</v>
      </c>
      <c r="I449" s="61" t="s">
        <v>571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28" t="s">
        <v>572</v>
      </c>
      <c r="B450" s="24"/>
      <c r="C450" s="25"/>
      <c r="D450" s="11"/>
      <c r="E450" s="63"/>
      <c r="F450" s="44"/>
      <c r="G450" s="62"/>
      <c r="H450" s="44"/>
      <c r="I450" s="6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15"/>
      <c r="B451" s="10"/>
      <c r="C451" s="16"/>
      <c r="D451" s="17"/>
      <c r="E451" s="7"/>
      <c r="F451" s="7"/>
      <c r="G451" s="1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0" customHeight="1">
      <c r="A452" s="46" t="s">
        <v>573</v>
      </c>
      <c r="B452" s="4">
        <f>SUM(D453:D470)</f>
        <v>309</v>
      </c>
      <c r="C452" s="16"/>
      <c r="D452" s="7"/>
      <c r="E452" s="7"/>
      <c r="F452" s="7"/>
      <c r="G452" s="14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15" t="s">
        <v>574</v>
      </c>
      <c r="B453" s="10">
        <v>13.19</v>
      </c>
      <c r="C453" s="16">
        <v>1.0</v>
      </c>
      <c r="D453" s="17">
        <f t="shared" ref="D453:D467" si="42">B453*C453</f>
        <v>13.19</v>
      </c>
      <c r="E453" s="22">
        <v>45455.0</v>
      </c>
      <c r="F453" s="16" t="s">
        <v>51</v>
      </c>
      <c r="G453" s="14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10" t="s">
        <v>575</v>
      </c>
      <c r="B454" s="10">
        <v>34.26</v>
      </c>
      <c r="C454" s="16">
        <v>1.0</v>
      </c>
      <c r="D454" s="17">
        <f t="shared" si="42"/>
        <v>34.26</v>
      </c>
      <c r="E454" s="22">
        <v>45455.0</v>
      </c>
      <c r="F454" s="16" t="s">
        <v>51</v>
      </c>
      <c r="G454" s="14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15" t="s">
        <v>576</v>
      </c>
      <c r="B455" s="10">
        <v>11.88</v>
      </c>
      <c r="C455" s="16">
        <v>1.0</v>
      </c>
      <c r="D455" s="17">
        <f t="shared" si="42"/>
        <v>11.88</v>
      </c>
      <c r="E455" s="22">
        <v>45455.0</v>
      </c>
      <c r="F455" s="7" t="s">
        <v>51</v>
      </c>
      <c r="G455" s="14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65" t="s">
        <v>577</v>
      </c>
      <c r="B456" s="10">
        <v>33.99</v>
      </c>
      <c r="C456" s="16">
        <v>1.0</v>
      </c>
      <c r="D456" s="17">
        <f t="shared" si="42"/>
        <v>33.99</v>
      </c>
      <c r="E456" s="22">
        <v>45455.0</v>
      </c>
      <c r="F456" s="7" t="s">
        <v>51</v>
      </c>
      <c r="G456" s="14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65" t="s">
        <v>578</v>
      </c>
      <c r="B457" s="10">
        <v>29.69</v>
      </c>
      <c r="C457" s="16">
        <v>2.0</v>
      </c>
      <c r="D457" s="17">
        <f t="shared" si="42"/>
        <v>59.38</v>
      </c>
      <c r="E457" s="22">
        <v>45455.0</v>
      </c>
      <c r="F457" s="7" t="s">
        <v>51</v>
      </c>
      <c r="G457" s="14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65" t="s">
        <v>579</v>
      </c>
      <c r="B458" s="10">
        <v>24.49</v>
      </c>
      <c r="C458" s="16">
        <v>1.0</v>
      </c>
      <c r="D458" s="17">
        <f t="shared" si="42"/>
        <v>24.49</v>
      </c>
      <c r="E458" s="22">
        <v>45455.0</v>
      </c>
      <c r="F458" s="7" t="s">
        <v>51</v>
      </c>
      <c r="G458" s="14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65" t="s">
        <v>580</v>
      </c>
      <c r="B459" s="10">
        <v>32.74</v>
      </c>
      <c r="C459" s="16">
        <v>1.0</v>
      </c>
      <c r="D459" s="17">
        <f t="shared" si="42"/>
        <v>32.74</v>
      </c>
      <c r="E459" s="22">
        <v>45455.0</v>
      </c>
      <c r="F459" s="7" t="s">
        <v>26</v>
      </c>
      <c r="G459" s="14" t="s">
        <v>581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65" t="s">
        <v>582</v>
      </c>
      <c r="B460" s="10">
        <v>6.61</v>
      </c>
      <c r="C460" s="16">
        <v>1.0</v>
      </c>
      <c r="D460" s="17">
        <f t="shared" si="42"/>
        <v>6.61</v>
      </c>
      <c r="E460" s="22">
        <v>45455.0</v>
      </c>
      <c r="F460" s="7" t="s">
        <v>26</v>
      </c>
      <c r="G460" s="14" t="s">
        <v>583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65" t="s">
        <v>584</v>
      </c>
      <c r="B461" s="10">
        <v>1.35</v>
      </c>
      <c r="C461" s="16">
        <v>1.0</v>
      </c>
      <c r="D461" s="17">
        <f t="shared" si="42"/>
        <v>1.35</v>
      </c>
      <c r="E461" s="22">
        <v>45455.0</v>
      </c>
      <c r="F461" s="7" t="s">
        <v>26</v>
      </c>
      <c r="G461" s="14" t="s">
        <v>585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65" t="s">
        <v>586</v>
      </c>
      <c r="B462" s="10">
        <v>8.98</v>
      </c>
      <c r="C462" s="16">
        <v>1.0</v>
      </c>
      <c r="D462" s="17">
        <f t="shared" si="42"/>
        <v>8.98</v>
      </c>
      <c r="E462" s="22">
        <v>45632.0</v>
      </c>
      <c r="F462" s="7" t="s">
        <v>51</v>
      </c>
      <c r="G462" s="14" t="s">
        <v>587</v>
      </c>
      <c r="H462" s="7"/>
      <c r="I462" s="7"/>
      <c r="J462" s="7" t="s">
        <v>588</v>
      </c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 t="s">
        <v>589</v>
      </c>
      <c r="B463" s="10">
        <v>25.95</v>
      </c>
      <c r="C463" s="16">
        <v>1.0</v>
      </c>
      <c r="D463" s="17">
        <f t="shared" si="42"/>
        <v>25.95</v>
      </c>
      <c r="E463" s="22">
        <v>45679.0</v>
      </c>
      <c r="F463" s="7" t="s">
        <v>51</v>
      </c>
      <c r="G463" s="14" t="s">
        <v>590</v>
      </c>
      <c r="H463" s="7" t="s">
        <v>591</v>
      </c>
      <c r="I463" s="7">
        <v>2721.0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65" t="s">
        <v>592</v>
      </c>
      <c r="B464" s="10">
        <v>6.3</v>
      </c>
      <c r="C464" s="16">
        <v>1.0</v>
      </c>
      <c r="D464" s="17">
        <f t="shared" si="42"/>
        <v>6.3</v>
      </c>
      <c r="E464" s="22">
        <v>45688.0</v>
      </c>
      <c r="F464" s="7" t="s">
        <v>51</v>
      </c>
      <c r="G464" s="19" t="s">
        <v>593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65" t="s">
        <v>594</v>
      </c>
      <c r="B465" s="10">
        <v>15.99</v>
      </c>
      <c r="C465" s="16">
        <v>1.0</v>
      </c>
      <c r="D465" s="17">
        <f t="shared" si="42"/>
        <v>15.99</v>
      </c>
      <c r="E465" s="22">
        <v>45688.0</v>
      </c>
      <c r="F465" s="7" t="s">
        <v>51</v>
      </c>
      <c r="G465" s="19" t="s">
        <v>595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65" t="s">
        <v>596</v>
      </c>
      <c r="B466" s="10">
        <v>6.39</v>
      </c>
      <c r="C466" s="16">
        <v>4.0</v>
      </c>
      <c r="D466" s="17">
        <f t="shared" si="42"/>
        <v>25.56</v>
      </c>
      <c r="E466" s="22">
        <v>45688.0</v>
      </c>
      <c r="F466" s="7" t="s">
        <v>51</v>
      </c>
      <c r="G466" s="19" t="s">
        <v>597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65" t="s">
        <v>598</v>
      </c>
      <c r="B467" s="10">
        <v>8.33</v>
      </c>
      <c r="C467" s="16">
        <v>1.0</v>
      </c>
      <c r="D467" s="17">
        <f t="shared" si="42"/>
        <v>8.33</v>
      </c>
      <c r="E467" s="22">
        <v>45688.0</v>
      </c>
      <c r="F467" s="7" t="s">
        <v>51</v>
      </c>
      <c r="G467" s="19" t="s">
        <v>599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10"/>
      <c r="C468" s="16"/>
      <c r="D468" s="17"/>
      <c r="E468" s="22"/>
      <c r="F468" s="7"/>
      <c r="G468" s="14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10"/>
      <c r="C469" s="16"/>
      <c r="D469" s="17"/>
      <c r="E469" s="22"/>
      <c r="F469" s="7"/>
      <c r="G469" s="14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65"/>
      <c r="B470" s="10"/>
      <c r="C470" s="16"/>
      <c r="D470" s="17"/>
      <c r="E470" s="22"/>
      <c r="F470" s="7"/>
      <c r="G470" s="14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0" customHeight="1">
      <c r="A471" s="46" t="s">
        <v>600</v>
      </c>
      <c r="B471" s="4">
        <f>SUM(D472:D495)</f>
        <v>574.85</v>
      </c>
      <c r="C471" s="16"/>
      <c r="D471" s="7"/>
      <c r="E471" s="7"/>
      <c r="F471" s="7"/>
      <c r="G471" s="14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15" t="s">
        <v>601</v>
      </c>
      <c r="B472" s="10">
        <v>202.29</v>
      </c>
      <c r="C472" s="16">
        <v>1.0</v>
      </c>
      <c r="D472" s="17">
        <f t="shared" ref="D472:D480" si="43">B472*C472</f>
        <v>202.29</v>
      </c>
      <c r="E472" s="22">
        <v>45329.0</v>
      </c>
      <c r="F472" s="16" t="s">
        <v>51</v>
      </c>
      <c r="G472" s="14"/>
      <c r="H472" s="7"/>
      <c r="I472" s="7"/>
      <c r="J472" s="7" t="s">
        <v>602</v>
      </c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10" t="s">
        <v>603</v>
      </c>
      <c r="B473" s="10">
        <v>14.21</v>
      </c>
      <c r="C473" s="16">
        <v>1.0</v>
      </c>
      <c r="D473" s="17">
        <f t="shared" si="43"/>
        <v>14.21</v>
      </c>
      <c r="E473" s="22">
        <v>45397.0</v>
      </c>
      <c r="F473" s="16" t="s">
        <v>152</v>
      </c>
      <c r="G473" s="14">
        <v>227534.0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15" t="s">
        <v>604</v>
      </c>
      <c r="B474" s="10">
        <v>19.88</v>
      </c>
      <c r="C474" s="16">
        <v>1.0</v>
      </c>
      <c r="D474" s="17">
        <f t="shared" si="43"/>
        <v>19.88</v>
      </c>
      <c r="E474" s="22">
        <v>45411.0</v>
      </c>
      <c r="F474" s="7" t="s">
        <v>51</v>
      </c>
      <c r="G474" s="14"/>
      <c r="H474" s="7"/>
      <c r="I474" s="7"/>
      <c r="J474" s="7" t="s">
        <v>605</v>
      </c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65" t="s">
        <v>606</v>
      </c>
      <c r="B475" s="10">
        <v>35.74</v>
      </c>
      <c r="C475" s="16">
        <v>1.0</v>
      </c>
      <c r="D475" s="17">
        <f t="shared" si="43"/>
        <v>35.74</v>
      </c>
      <c r="E475" s="22">
        <v>45411.0</v>
      </c>
      <c r="F475" s="7" t="s">
        <v>26</v>
      </c>
      <c r="G475" s="14" t="s">
        <v>607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65" t="s">
        <v>608</v>
      </c>
      <c r="B476" s="10">
        <v>22.58</v>
      </c>
      <c r="C476" s="16">
        <v>1.0</v>
      </c>
      <c r="D476" s="17">
        <f t="shared" si="43"/>
        <v>22.58</v>
      </c>
      <c r="E476" s="22">
        <v>45434.0</v>
      </c>
      <c r="F476" s="7" t="s">
        <v>26</v>
      </c>
      <c r="G476" s="14" t="s">
        <v>609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65" t="s">
        <v>610</v>
      </c>
      <c r="B477" s="10">
        <v>34.54</v>
      </c>
      <c r="C477" s="16">
        <v>1.0</v>
      </c>
      <c r="D477" s="17">
        <f t="shared" si="43"/>
        <v>34.54</v>
      </c>
      <c r="E477" s="22">
        <v>45434.0</v>
      </c>
      <c r="F477" s="7" t="s">
        <v>26</v>
      </c>
      <c r="G477" s="14" t="s">
        <v>611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65" t="s">
        <v>612</v>
      </c>
      <c r="B478" s="10">
        <v>12.86</v>
      </c>
      <c r="C478" s="16">
        <v>1.0</v>
      </c>
      <c r="D478" s="17">
        <f t="shared" si="43"/>
        <v>12.86</v>
      </c>
      <c r="E478" s="22">
        <v>45632.0</v>
      </c>
      <c r="F478" s="7" t="s">
        <v>51</v>
      </c>
      <c r="G478" s="14" t="s">
        <v>613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65" t="s">
        <v>614</v>
      </c>
      <c r="B479" s="10">
        <v>67.14</v>
      </c>
      <c r="C479" s="16">
        <v>1.0</v>
      </c>
      <c r="D479" s="17">
        <f t="shared" si="43"/>
        <v>67.14</v>
      </c>
      <c r="E479" s="22">
        <v>45706.0</v>
      </c>
      <c r="F479" s="7" t="s">
        <v>51</v>
      </c>
      <c r="G479" s="14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65" t="s">
        <v>615</v>
      </c>
      <c r="B480" s="10">
        <v>59.9</v>
      </c>
      <c r="C480" s="16">
        <v>1.0</v>
      </c>
      <c r="D480" s="17">
        <f t="shared" si="43"/>
        <v>59.9</v>
      </c>
      <c r="E480" s="12" t="s">
        <v>489</v>
      </c>
      <c r="F480" s="16" t="s">
        <v>130</v>
      </c>
      <c r="G480" s="14" t="s">
        <v>616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65"/>
      <c r="B481" s="10"/>
      <c r="C481" s="16"/>
      <c r="D481" s="17"/>
      <c r="E481" s="22"/>
      <c r="F481" s="7"/>
      <c r="G481" s="14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0" customHeight="1">
      <c r="A482" s="46" t="s">
        <v>617</v>
      </c>
      <c r="B482" s="4">
        <f>SUM(D483:D494)</f>
        <v>105.71</v>
      </c>
      <c r="C482" s="16"/>
      <c r="D482" s="7"/>
      <c r="E482" s="7"/>
      <c r="F482" s="7"/>
      <c r="G482" s="14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15" t="s">
        <v>618</v>
      </c>
      <c r="B483" s="10">
        <v>54.98</v>
      </c>
      <c r="C483" s="16">
        <v>1.0</v>
      </c>
      <c r="D483" s="17">
        <f t="shared" ref="D483:D491" si="44">B483*C483</f>
        <v>54.98</v>
      </c>
      <c r="E483" s="22"/>
      <c r="F483" s="16" t="s">
        <v>51</v>
      </c>
      <c r="G483" s="14"/>
      <c r="H483" s="7"/>
      <c r="I483" s="7"/>
      <c r="J483" s="7" t="s">
        <v>602</v>
      </c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15" t="s">
        <v>619</v>
      </c>
      <c r="B484" s="10">
        <v>8.99</v>
      </c>
      <c r="C484" s="16">
        <v>1.0</v>
      </c>
      <c r="D484" s="17">
        <f t="shared" si="44"/>
        <v>8.99</v>
      </c>
      <c r="E484" s="22"/>
      <c r="F484" s="16" t="s">
        <v>51</v>
      </c>
      <c r="G484" s="14" t="s">
        <v>620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0" customHeight="1">
      <c r="A485" s="15" t="s">
        <v>68</v>
      </c>
      <c r="B485" s="10">
        <v>3.38</v>
      </c>
      <c r="C485" s="16">
        <v>2.0</v>
      </c>
      <c r="D485" s="17">
        <f t="shared" si="44"/>
        <v>6.76</v>
      </c>
      <c r="E485" s="22"/>
      <c r="F485" s="16" t="s">
        <v>51</v>
      </c>
      <c r="G485" s="18"/>
      <c r="H485" s="16"/>
      <c r="I485" s="16"/>
      <c r="J485" s="16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0" customHeight="1">
      <c r="A486" s="15" t="s">
        <v>67</v>
      </c>
      <c r="B486" s="10">
        <v>5.71</v>
      </c>
      <c r="C486" s="16">
        <v>2.0</v>
      </c>
      <c r="D486" s="17">
        <f t="shared" si="44"/>
        <v>11.42</v>
      </c>
      <c r="E486" s="22"/>
      <c r="F486" s="16" t="s">
        <v>51</v>
      </c>
      <c r="G486" s="18"/>
      <c r="H486" s="16"/>
      <c r="I486" s="16"/>
      <c r="J486" s="16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0" customHeight="1">
      <c r="A487" s="15" t="s">
        <v>71</v>
      </c>
      <c r="B487" s="10">
        <v>4.05</v>
      </c>
      <c r="C487" s="16">
        <v>2.0</v>
      </c>
      <c r="D487" s="17">
        <f t="shared" si="44"/>
        <v>8.1</v>
      </c>
      <c r="E487" s="22"/>
      <c r="F487" s="16" t="s">
        <v>51</v>
      </c>
      <c r="G487" s="18"/>
      <c r="H487" s="16"/>
      <c r="I487" s="16"/>
      <c r="J487" s="16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0" customHeight="1">
      <c r="A488" s="20" t="s">
        <v>299</v>
      </c>
      <c r="B488" s="10">
        <v>1.17</v>
      </c>
      <c r="C488" s="16">
        <v>1.0</v>
      </c>
      <c r="D488" s="17">
        <f t="shared" si="44"/>
        <v>1.17</v>
      </c>
      <c r="E488" s="22"/>
      <c r="F488" s="16" t="s">
        <v>26</v>
      </c>
      <c r="G488" s="18"/>
      <c r="H488" s="16"/>
      <c r="I488" s="16"/>
      <c r="J488" s="16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0" customHeight="1">
      <c r="A489" s="15" t="s">
        <v>101</v>
      </c>
      <c r="B489" s="10">
        <v>3.35</v>
      </c>
      <c r="C489" s="16">
        <v>2.0</v>
      </c>
      <c r="D489" s="17">
        <f t="shared" si="44"/>
        <v>6.7</v>
      </c>
      <c r="E489" s="22"/>
      <c r="F489" s="16" t="s">
        <v>26</v>
      </c>
      <c r="G489" s="18"/>
      <c r="H489" s="16"/>
      <c r="I489" s="16"/>
      <c r="J489" s="16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20" t="s">
        <v>59</v>
      </c>
      <c r="B490" s="10">
        <v>3.09</v>
      </c>
      <c r="C490" s="16">
        <v>2.0</v>
      </c>
      <c r="D490" s="17">
        <f t="shared" si="44"/>
        <v>6.18</v>
      </c>
      <c r="E490" s="22"/>
      <c r="F490" s="16" t="s">
        <v>51</v>
      </c>
      <c r="G490" s="14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0" customHeight="1">
      <c r="A491" s="20" t="s">
        <v>208</v>
      </c>
      <c r="B491" s="10">
        <v>1.41</v>
      </c>
      <c r="C491" s="16">
        <v>1.0</v>
      </c>
      <c r="D491" s="17">
        <f t="shared" si="44"/>
        <v>1.41</v>
      </c>
      <c r="E491" s="22"/>
      <c r="F491" s="16" t="s">
        <v>26</v>
      </c>
      <c r="G491" s="18"/>
      <c r="H491" s="16"/>
      <c r="I491" s="16"/>
      <c r="J491" s="16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0" customHeight="1">
      <c r="A492" s="15"/>
      <c r="B492" s="10"/>
      <c r="C492" s="16"/>
      <c r="D492" s="17"/>
      <c r="E492" s="22"/>
      <c r="F492" s="16"/>
      <c r="G492" s="18"/>
      <c r="H492" s="16"/>
      <c r="I492" s="16"/>
      <c r="J492" s="16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15"/>
      <c r="B493" s="10"/>
      <c r="C493" s="16"/>
      <c r="D493" s="17"/>
      <c r="E493" s="22"/>
      <c r="F493" s="16"/>
      <c r="G493" s="14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65"/>
      <c r="B494" s="10"/>
      <c r="C494" s="16"/>
      <c r="D494" s="17"/>
      <c r="E494" s="22"/>
      <c r="F494" s="7"/>
      <c r="G494" s="14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15"/>
      <c r="B495" s="10"/>
      <c r="C495" s="16"/>
      <c r="D495" s="17"/>
      <c r="E495" s="22"/>
      <c r="F495" s="7"/>
      <c r="G495" s="14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46" t="s">
        <v>621</v>
      </c>
      <c r="B496" s="4">
        <f>SUM(D497:D506)</f>
        <v>1173.19</v>
      </c>
      <c r="C496" s="16"/>
      <c r="D496" s="7"/>
      <c r="E496" s="7"/>
      <c r="F496" s="7"/>
      <c r="G496" s="14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15" t="s">
        <v>622</v>
      </c>
      <c r="B497" s="10">
        <v>385.0</v>
      </c>
      <c r="C497" s="16">
        <v>1.0</v>
      </c>
      <c r="D497" s="17">
        <f t="shared" ref="D497:D504" si="45">B497*C497</f>
        <v>385</v>
      </c>
      <c r="E497" s="22">
        <v>45215.0</v>
      </c>
      <c r="F497" s="7"/>
      <c r="G497" s="14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15" t="s">
        <v>623</v>
      </c>
      <c r="B498" s="10">
        <v>400.0</v>
      </c>
      <c r="C498" s="16">
        <v>1.0</v>
      </c>
      <c r="D498" s="17">
        <f t="shared" si="45"/>
        <v>400</v>
      </c>
      <c r="E498" s="22">
        <v>45302.0</v>
      </c>
      <c r="F498" s="7"/>
      <c r="G498" s="14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15" t="s">
        <v>624</v>
      </c>
      <c r="B499" s="10">
        <v>15.27</v>
      </c>
      <c r="C499" s="16">
        <v>1.0</v>
      </c>
      <c r="D499" s="17">
        <f t="shared" si="45"/>
        <v>15.27</v>
      </c>
      <c r="E499" s="22">
        <v>45406.0</v>
      </c>
      <c r="F499" s="7"/>
      <c r="G499" s="14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 t="s">
        <v>625</v>
      </c>
      <c r="B500" s="7">
        <v>149.0</v>
      </c>
      <c r="C500" s="16">
        <v>1.0</v>
      </c>
      <c r="D500" s="17">
        <f t="shared" si="45"/>
        <v>149</v>
      </c>
      <c r="E500" s="22">
        <v>45366.0</v>
      </c>
      <c r="F500" s="7"/>
      <c r="G500" s="14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 t="s">
        <v>626</v>
      </c>
      <c r="B501" s="7">
        <v>25.0</v>
      </c>
      <c r="C501" s="16">
        <v>1.0</v>
      </c>
      <c r="D501" s="17">
        <f t="shared" si="45"/>
        <v>25</v>
      </c>
      <c r="E501" s="22">
        <v>45455.0</v>
      </c>
      <c r="F501" s="7"/>
      <c r="G501" s="14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 t="s">
        <v>627</v>
      </c>
      <c r="B502" s="7">
        <v>149.0</v>
      </c>
      <c r="C502" s="16">
        <v>1.0</v>
      </c>
      <c r="D502" s="17">
        <f t="shared" si="45"/>
        <v>149</v>
      </c>
      <c r="E502" s="22">
        <v>45567.0</v>
      </c>
      <c r="F502" s="7"/>
      <c r="G502" s="14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 t="s">
        <v>628</v>
      </c>
      <c r="B503" s="7">
        <v>6.99</v>
      </c>
      <c r="C503" s="16">
        <v>1.0</v>
      </c>
      <c r="D503" s="17">
        <f t="shared" si="45"/>
        <v>6.99</v>
      </c>
      <c r="E503" s="22">
        <v>45568.0</v>
      </c>
      <c r="F503" s="7"/>
      <c r="G503" s="14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 t="s">
        <v>629</v>
      </c>
      <c r="B504" s="7">
        <v>42.93</v>
      </c>
      <c r="C504" s="16">
        <v>1.0</v>
      </c>
      <c r="D504" s="17">
        <f t="shared" si="45"/>
        <v>42.93</v>
      </c>
      <c r="E504" s="22">
        <v>45628.0</v>
      </c>
      <c r="F504" s="7"/>
      <c r="G504" s="14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16"/>
      <c r="D505" s="17"/>
      <c r="E505" s="22"/>
      <c r="F505" s="7"/>
      <c r="G505" s="14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15"/>
      <c r="B506" s="10"/>
      <c r="C506" s="16"/>
      <c r="D506" s="17"/>
      <c r="E506" s="22"/>
      <c r="F506" s="7"/>
      <c r="G506" s="14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15"/>
      <c r="B507" s="31"/>
      <c r="C507" s="66" t="s">
        <v>3</v>
      </c>
      <c r="D507" s="67">
        <f>SUM(D2:D505)</f>
        <v>70578.07</v>
      </c>
      <c r="E507" s="7"/>
      <c r="F507" s="7"/>
      <c r="G507" s="14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68"/>
      <c r="B508" s="31"/>
      <c r="C508" s="7"/>
      <c r="D508" s="7"/>
      <c r="E508" s="7"/>
      <c r="F508" s="7"/>
      <c r="G508" s="14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68"/>
      <c r="B509" s="31"/>
      <c r="C509" s="7"/>
      <c r="D509" s="7"/>
      <c r="E509" s="7"/>
      <c r="F509" s="7"/>
      <c r="G509" s="14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68"/>
      <c r="B510" s="31"/>
      <c r="C510" s="7"/>
      <c r="D510" s="7"/>
      <c r="E510" s="7"/>
      <c r="F510" s="7"/>
      <c r="G510" s="14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68"/>
      <c r="B511" s="31"/>
      <c r="C511" s="7"/>
      <c r="D511" s="7"/>
      <c r="E511" s="7"/>
      <c r="F511" s="7"/>
      <c r="G511" s="14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68"/>
      <c r="B512" s="31"/>
      <c r="C512" s="7"/>
      <c r="D512" s="7"/>
      <c r="E512" s="7"/>
      <c r="F512" s="7"/>
      <c r="G512" s="14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68"/>
      <c r="B513" s="31"/>
      <c r="C513" s="7"/>
      <c r="D513" s="7"/>
      <c r="E513" s="7"/>
      <c r="F513" s="7"/>
      <c r="G513" s="14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68"/>
      <c r="B514" s="31"/>
      <c r="C514" s="7"/>
      <c r="D514" s="7"/>
      <c r="E514" s="7"/>
      <c r="F514" s="7"/>
      <c r="G514" s="14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68"/>
      <c r="B515" s="7"/>
      <c r="C515" s="7"/>
      <c r="D515" s="7"/>
      <c r="E515" s="7"/>
      <c r="F515" s="7"/>
      <c r="G515" s="14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68"/>
      <c r="B516" s="7"/>
      <c r="C516" s="7"/>
      <c r="D516" s="7"/>
      <c r="E516" s="7"/>
      <c r="F516" s="7"/>
      <c r="G516" s="14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68"/>
      <c r="B517" s="7"/>
      <c r="C517" s="7"/>
      <c r="D517" s="7"/>
      <c r="E517" s="7"/>
      <c r="F517" s="7"/>
      <c r="G517" s="14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68"/>
      <c r="B518" s="7"/>
      <c r="C518" s="7"/>
      <c r="D518" s="7"/>
      <c r="E518" s="7"/>
      <c r="F518" s="7"/>
      <c r="G518" s="14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68"/>
      <c r="B519" s="7"/>
      <c r="C519" s="7"/>
      <c r="D519" s="7"/>
      <c r="E519" s="7"/>
      <c r="F519" s="7"/>
      <c r="G519" s="14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68"/>
      <c r="B520" s="7"/>
      <c r="C520" s="7"/>
      <c r="D520" s="7"/>
      <c r="E520" s="7"/>
      <c r="F520" s="7"/>
      <c r="G520" s="14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68"/>
      <c r="B521" s="7"/>
      <c r="C521" s="7"/>
      <c r="D521" s="7"/>
      <c r="E521" s="7"/>
      <c r="F521" s="7"/>
      <c r="G521" s="14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68"/>
      <c r="B522" s="7"/>
      <c r="C522" s="7"/>
      <c r="D522" s="7"/>
      <c r="E522" s="7"/>
      <c r="F522" s="7"/>
      <c r="G522" s="14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68"/>
      <c r="B523" s="7"/>
      <c r="C523" s="7"/>
      <c r="D523" s="7"/>
      <c r="E523" s="7"/>
      <c r="F523" s="7"/>
      <c r="G523" s="14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68"/>
      <c r="B524" s="7"/>
      <c r="C524" s="7"/>
      <c r="D524" s="7"/>
      <c r="E524" s="7"/>
      <c r="F524" s="7"/>
      <c r="G524" s="14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68"/>
      <c r="B525" s="7"/>
      <c r="C525" s="7"/>
      <c r="D525" s="7"/>
      <c r="E525" s="7"/>
      <c r="F525" s="7"/>
      <c r="G525" s="1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68"/>
      <c r="B526" s="7"/>
      <c r="C526" s="7"/>
      <c r="D526" s="7"/>
      <c r="E526" s="7"/>
      <c r="F526" s="7"/>
      <c r="G526" s="14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68"/>
      <c r="B527" s="7"/>
      <c r="C527" s="7"/>
      <c r="D527" s="7"/>
      <c r="E527" s="7"/>
      <c r="F527" s="7"/>
      <c r="G527" s="14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68"/>
      <c r="B528" s="7"/>
      <c r="C528" s="7"/>
      <c r="D528" s="7"/>
      <c r="E528" s="7"/>
      <c r="F528" s="7"/>
      <c r="G528" s="14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68"/>
      <c r="B529" s="7"/>
      <c r="C529" s="7"/>
      <c r="D529" s="7"/>
      <c r="E529" s="7"/>
      <c r="F529" s="7"/>
      <c r="G529" s="14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68"/>
      <c r="B530" s="7"/>
      <c r="C530" s="7"/>
      <c r="D530" s="7"/>
      <c r="E530" s="7"/>
      <c r="F530" s="7"/>
      <c r="G530" s="14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68"/>
      <c r="B531" s="7"/>
      <c r="C531" s="7"/>
      <c r="D531" s="7"/>
      <c r="E531" s="7"/>
      <c r="F531" s="7"/>
      <c r="G531" s="14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68"/>
      <c r="B532" s="7"/>
      <c r="C532" s="7"/>
      <c r="D532" s="7"/>
      <c r="E532" s="7"/>
      <c r="F532" s="7"/>
      <c r="G532" s="14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68"/>
      <c r="B533" s="7"/>
      <c r="C533" s="7"/>
      <c r="D533" s="7"/>
      <c r="E533" s="7"/>
      <c r="F533" s="7"/>
      <c r="G533" s="14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68"/>
      <c r="B534" s="7"/>
      <c r="C534" s="7"/>
      <c r="D534" s="7"/>
      <c r="E534" s="7"/>
      <c r="F534" s="7"/>
      <c r="G534" s="14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68"/>
      <c r="B535" s="7"/>
      <c r="C535" s="7"/>
      <c r="D535" s="7"/>
      <c r="E535" s="7"/>
      <c r="F535" s="7"/>
      <c r="G535" s="14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68"/>
      <c r="B536" s="7"/>
      <c r="C536" s="7"/>
      <c r="D536" s="7"/>
      <c r="E536" s="7"/>
      <c r="F536" s="7"/>
      <c r="G536" s="14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68"/>
      <c r="B537" s="7"/>
      <c r="C537" s="7"/>
      <c r="D537" s="7"/>
      <c r="E537" s="7"/>
      <c r="F537" s="7"/>
      <c r="G537" s="14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68"/>
      <c r="B538" s="7"/>
      <c r="C538" s="7"/>
      <c r="D538" s="7"/>
      <c r="E538" s="7"/>
      <c r="F538" s="7"/>
      <c r="G538" s="14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68"/>
      <c r="B539" s="7"/>
      <c r="C539" s="7"/>
      <c r="D539" s="7"/>
      <c r="E539" s="7"/>
      <c r="F539" s="7"/>
      <c r="G539" s="14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68"/>
      <c r="B540" s="7"/>
      <c r="C540" s="7"/>
      <c r="D540" s="7"/>
      <c r="E540" s="7"/>
      <c r="F540" s="7"/>
      <c r="G540" s="14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68"/>
      <c r="B541" s="7"/>
      <c r="C541" s="7"/>
      <c r="D541" s="7"/>
      <c r="E541" s="7"/>
      <c r="F541" s="7"/>
      <c r="G541" s="14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68"/>
      <c r="B542" s="7"/>
      <c r="C542" s="7"/>
      <c r="D542" s="7"/>
      <c r="E542" s="7"/>
      <c r="F542" s="7"/>
      <c r="G542" s="14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68"/>
      <c r="B543" s="7"/>
      <c r="C543" s="7"/>
      <c r="D543" s="7"/>
      <c r="E543" s="7"/>
      <c r="F543" s="7"/>
      <c r="G543" s="14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68"/>
      <c r="B544" s="7"/>
      <c r="C544" s="7"/>
      <c r="D544" s="7"/>
      <c r="E544" s="7"/>
      <c r="F544" s="7"/>
      <c r="G544" s="14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68"/>
      <c r="B545" s="7"/>
      <c r="C545" s="7"/>
      <c r="D545" s="7"/>
      <c r="E545" s="7"/>
      <c r="F545" s="7"/>
      <c r="G545" s="14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68"/>
      <c r="B546" s="7"/>
      <c r="C546" s="7"/>
      <c r="D546" s="7"/>
      <c r="E546" s="7"/>
      <c r="F546" s="7"/>
      <c r="G546" s="14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68"/>
      <c r="B547" s="7"/>
      <c r="C547" s="7"/>
      <c r="D547" s="7"/>
      <c r="E547" s="7"/>
      <c r="F547" s="7"/>
      <c r="G547" s="14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68"/>
      <c r="B548" s="7"/>
      <c r="C548" s="7"/>
      <c r="D548" s="7"/>
      <c r="E548" s="7"/>
      <c r="F548" s="7"/>
      <c r="G548" s="14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68"/>
      <c r="B549" s="7"/>
      <c r="C549" s="7"/>
      <c r="D549" s="7"/>
      <c r="E549" s="7"/>
      <c r="F549" s="7"/>
      <c r="G549" s="14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68"/>
      <c r="B550" s="7"/>
      <c r="C550" s="7"/>
      <c r="D550" s="7"/>
      <c r="E550" s="7"/>
      <c r="F550" s="7"/>
      <c r="G550" s="14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68"/>
      <c r="B551" s="7"/>
      <c r="C551" s="7"/>
      <c r="D551" s="7"/>
      <c r="E551" s="7"/>
      <c r="F551" s="7"/>
      <c r="G551" s="14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68"/>
      <c r="B552" s="7"/>
      <c r="C552" s="7"/>
      <c r="D552" s="7"/>
      <c r="E552" s="7"/>
      <c r="F552" s="7"/>
      <c r="G552" s="1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68"/>
      <c r="B553" s="7"/>
      <c r="C553" s="7"/>
      <c r="D553" s="7"/>
      <c r="E553" s="7"/>
      <c r="F553" s="7"/>
      <c r="G553" s="14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68"/>
      <c r="B554" s="7"/>
      <c r="C554" s="7"/>
      <c r="D554" s="7"/>
      <c r="E554" s="7"/>
      <c r="F554" s="7"/>
      <c r="G554" s="1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68"/>
      <c r="B555" s="7"/>
      <c r="C555" s="7"/>
      <c r="D555" s="7"/>
      <c r="E555" s="7"/>
      <c r="F555" s="7"/>
      <c r="G555" s="1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68"/>
      <c r="B556" s="7"/>
      <c r="C556" s="7"/>
      <c r="D556" s="7"/>
      <c r="E556" s="7"/>
      <c r="F556" s="7"/>
      <c r="G556" s="1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68"/>
      <c r="B557" s="7"/>
      <c r="C557" s="7"/>
      <c r="D557" s="7"/>
      <c r="E557" s="7"/>
      <c r="F557" s="7"/>
      <c r="G557" s="1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68"/>
      <c r="B558" s="7"/>
      <c r="C558" s="7"/>
      <c r="D558" s="7"/>
      <c r="E558" s="7"/>
      <c r="F558" s="7"/>
      <c r="G558" s="1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68"/>
      <c r="B559" s="7"/>
      <c r="C559" s="7"/>
      <c r="D559" s="7"/>
      <c r="E559" s="7"/>
      <c r="F559" s="7"/>
      <c r="G559" s="1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68"/>
      <c r="B560" s="7"/>
      <c r="C560" s="7"/>
      <c r="D560" s="7"/>
      <c r="E560" s="7"/>
      <c r="F560" s="7"/>
      <c r="G560" s="1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68"/>
      <c r="B561" s="7"/>
      <c r="C561" s="7"/>
      <c r="D561" s="7"/>
      <c r="E561" s="7"/>
      <c r="F561" s="7"/>
      <c r="G561" s="1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68"/>
      <c r="B562" s="7"/>
      <c r="C562" s="7"/>
      <c r="D562" s="7"/>
      <c r="E562" s="7"/>
      <c r="F562" s="7"/>
      <c r="G562" s="1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68"/>
      <c r="B563" s="7"/>
      <c r="C563" s="7"/>
      <c r="D563" s="7"/>
      <c r="E563" s="7"/>
      <c r="F563" s="7"/>
      <c r="G563" s="1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68"/>
      <c r="B564" s="7"/>
      <c r="C564" s="7"/>
      <c r="D564" s="7"/>
      <c r="E564" s="7"/>
      <c r="F564" s="7"/>
      <c r="G564" s="1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68"/>
      <c r="B565" s="7"/>
      <c r="C565" s="7"/>
      <c r="D565" s="7"/>
      <c r="E565" s="7"/>
      <c r="F565" s="7"/>
      <c r="G565" s="1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68"/>
      <c r="B566" s="7"/>
      <c r="C566" s="7"/>
      <c r="D566" s="7"/>
      <c r="E566" s="7"/>
      <c r="F566" s="7"/>
      <c r="G566" s="1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68"/>
      <c r="B567" s="7"/>
      <c r="C567" s="7"/>
      <c r="D567" s="7"/>
      <c r="E567" s="7"/>
      <c r="F567" s="7"/>
      <c r="G567" s="1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68"/>
      <c r="B568" s="7"/>
      <c r="C568" s="7"/>
      <c r="D568" s="7"/>
      <c r="E568" s="7"/>
      <c r="F568" s="7"/>
      <c r="G568" s="1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68"/>
      <c r="B569" s="7"/>
      <c r="C569" s="7"/>
      <c r="D569" s="7"/>
      <c r="E569" s="7"/>
      <c r="F569" s="7"/>
      <c r="G569" s="1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68"/>
      <c r="B570" s="7"/>
      <c r="C570" s="7"/>
      <c r="D570" s="7"/>
      <c r="E570" s="7"/>
      <c r="F570" s="7"/>
      <c r="G570" s="1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68"/>
      <c r="B571" s="7"/>
      <c r="C571" s="7"/>
      <c r="D571" s="7"/>
      <c r="E571" s="7"/>
      <c r="F571" s="7"/>
      <c r="G571" s="1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68"/>
      <c r="B572" s="7"/>
      <c r="C572" s="7"/>
      <c r="D572" s="7"/>
      <c r="E572" s="7"/>
      <c r="F572" s="7"/>
      <c r="G572" s="1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68"/>
      <c r="B573" s="7"/>
      <c r="C573" s="7"/>
      <c r="D573" s="7"/>
      <c r="E573" s="7"/>
      <c r="F573" s="7"/>
      <c r="G573" s="1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68"/>
      <c r="B574" s="7"/>
      <c r="C574" s="7"/>
      <c r="D574" s="7"/>
      <c r="E574" s="7"/>
      <c r="F574" s="7"/>
      <c r="G574" s="1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68"/>
      <c r="B575" s="7"/>
      <c r="C575" s="7"/>
      <c r="D575" s="7"/>
      <c r="E575" s="7"/>
      <c r="F575" s="7"/>
      <c r="G575" s="1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68"/>
      <c r="B576" s="7"/>
      <c r="C576" s="7"/>
      <c r="D576" s="7"/>
      <c r="E576" s="7"/>
      <c r="F576" s="7"/>
      <c r="G576" s="1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68"/>
      <c r="B577" s="7"/>
      <c r="C577" s="7"/>
      <c r="D577" s="7"/>
      <c r="E577" s="7"/>
      <c r="F577" s="7"/>
      <c r="G577" s="1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68"/>
      <c r="B578" s="7"/>
      <c r="C578" s="7"/>
      <c r="D578" s="7"/>
      <c r="E578" s="7"/>
      <c r="F578" s="7"/>
      <c r="G578" s="1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68"/>
      <c r="B579" s="7"/>
      <c r="C579" s="7"/>
      <c r="D579" s="7"/>
      <c r="E579" s="7"/>
      <c r="F579" s="7"/>
      <c r="G579" s="1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68"/>
      <c r="B580" s="7"/>
      <c r="C580" s="7"/>
      <c r="D580" s="7"/>
      <c r="E580" s="7"/>
      <c r="F580" s="7"/>
      <c r="G580" s="1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68"/>
      <c r="B581" s="7"/>
      <c r="C581" s="7"/>
      <c r="D581" s="7"/>
      <c r="E581" s="7"/>
      <c r="F581" s="7"/>
      <c r="G581" s="1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68"/>
      <c r="B582" s="7"/>
      <c r="C582" s="7"/>
      <c r="D582" s="7"/>
      <c r="E582" s="7"/>
      <c r="F582" s="7"/>
      <c r="G582" s="1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68"/>
      <c r="B583" s="7"/>
      <c r="C583" s="7"/>
      <c r="D583" s="7"/>
      <c r="E583" s="7"/>
      <c r="F583" s="7"/>
      <c r="G583" s="1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68"/>
      <c r="B584" s="7"/>
      <c r="C584" s="7"/>
      <c r="D584" s="7"/>
      <c r="E584" s="7"/>
      <c r="F584" s="7"/>
      <c r="G584" s="1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68"/>
      <c r="B585" s="7"/>
      <c r="C585" s="7"/>
      <c r="D585" s="7"/>
      <c r="E585" s="7"/>
      <c r="F585" s="7"/>
      <c r="G585" s="1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68"/>
      <c r="B586" s="7"/>
      <c r="C586" s="7"/>
      <c r="D586" s="7"/>
      <c r="E586" s="7"/>
      <c r="F586" s="7"/>
      <c r="G586" s="1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68"/>
      <c r="B587" s="7"/>
      <c r="C587" s="7"/>
      <c r="D587" s="7"/>
      <c r="E587" s="7"/>
      <c r="F587" s="7"/>
      <c r="G587" s="14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68"/>
      <c r="B588" s="7"/>
      <c r="C588" s="7"/>
      <c r="D588" s="7"/>
      <c r="E588" s="7"/>
      <c r="F588" s="7"/>
      <c r="G588" s="1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68"/>
      <c r="B589" s="7"/>
      <c r="C589" s="7"/>
      <c r="D589" s="7"/>
      <c r="E589" s="7"/>
      <c r="F589" s="7"/>
      <c r="G589" s="1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68"/>
      <c r="B590" s="7"/>
      <c r="C590" s="7"/>
      <c r="D590" s="7"/>
      <c r="E590" s="7"/>
      <c r="F590" s="7"/>
      <c r="G590" s="1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68"/>
      <c r="B591" s="7"/>
      <c r="C591" s="7"/>
      <c r="D591" s="7"/>
      <c r="E591" s="7"/>
      <c r="F591" s="7"/>
      <c r="G591" s="1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68"/>
      <c r="B592" s="7"/>
      <c r="C592" s="7"/>
      <c r="D592" s="7"/>
      <c r="E592" s="7"/>
      <c r="F592" s="7"/>
      <c r="G592" s="1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68"/>
      <c r="B593" s="7"/>
      <c r="C593" s="7"/>
      <c r="D593" s="7"/>
      <c r="E593" s="7"/>
      <c r="F593" s="7"/>
      <c r="G593" s="1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68"/>
      <c r="B594" s="7"/>
      <c r="C594" s="7"/>
      <c r="D594" s="7"/>
      <c r="E594" s="7"/>
      <c r="F594" s="7"/>
      <c r="G594" s="1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68"/>
      <c r="B595" s="7"/>
      <c r="C595" s="7"/>
      <c r="D595" s="7"/>
      <c r="E595" s="7"/>
      <c r="F595" s="7"/>
      <c r="G595" s="1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68"/>
      <c r="B596" s="7"/>
      <c r="C596" s="7"/>
      <c r="D596" s="7"/>
      <c r="E596" s="7"/>
      <c r="F596" s="7"/>
      <c r="G596" s="1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68"/>
      <c r="B597" s="7"/>
      <c r="C597" s="7"/>
      <c r="D597" s="7"/>
      <c r="E597" s="7"/>
      <c r="F597" s="7"/>
      <c r="G597" s="14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68"/>
      <c r="B598" s="7"/>
      <c r="C598" s="7"/>
      <c r="D598" s="7"/>
      <c r="E598" s="7"/>
      <c r="F598" s="7"/>
      <c r="G598" s="14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68"/>
      <c r="B599" s="7"/>
      <c r="C599" s="7"/>
      <c r="D599" s="7"/>
      <c r="E599" s="7"/>
      <c r="F599" s="7"/>
      <c r="G599" s="14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68"/>
      <c r="B600" s="7"/>
      <c r="C600" s="7"/>
      <c r="D600" s="7"/>
      <c r="E600" s="7"/>
      <c r="F600" s="7"/>
      <c r="G600" s="14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68"/>
      <c r="B601" s="7"/>
      <c r="C601" s="7"/>
      <c r="D601" s="7"/>
      <c r="E601" s="7"/>
      <c r="F601" s="7"/>
      <c r="G601" s="14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68"/>
      <c r="B602" s="7"/>
      <c r="C602" s="7"/>
      <c r="D602" s="7"/>
      <c r="E602" s="7"/>
      <c r="F602" s="7"/>
      <c r="G602" s="14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68"/>
      <c r="B603" s="7"/>
      <c r="C603" s="7"/>
      <c r="D603" s="7"/>
      <c r="E603" s="7"/>
      <c r="F603" s="7"/>
      <c r="G603" s="14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68"/>
      <c r="B604" s="7"/>
      <c r="C604" s="7"/>
      <c r="D604" s="7"/>
      <c r="E604" s="7"/>
      <c r="F604" s="7"/>
      <c r="G604" s="14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68"/>
      <c r="B605" s="7"/>
      <c r="C605" s="7"/>
      <c r="D605" s="7"/>
      <c r="E605" s="7"/>
      <c r="F605" s="7"/>
      <c r="G605" s="14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68"/>
      <c r="B606" s="7"/>
      <c r="C606" s="7"/>
      <c r="D606" s="7"/>
      <c r="E606" s="7"/>
      <c r="F606" s="7"/>
      <c r="G606" s="14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68"/>
      <c r="B607" s="7"/>
      <c r="C607" s="7"/>
      <c r="D607" s="7"/>
      <c r="E607" s="7"/>
      <c r="F607" s="7"/>
      <c r="G607" s="14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68"/>
      <c r="B608" s="7"/>
      <c r="C608" s="7"/>
      <c r="D608" s="7"/>
      <c r="E608" s="7"/>
      <c r="F608" s="7"/>
      <c r="G608" s="14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68"/>
      <c r="B609" s="7"/>
      <c r="C609" s="7"/>
      <c r="D609" s="7"/>
      <c r="E609" s="7"/>
      <c r="F609" s="7"/>
      <c r="G609" s="14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68"/>
      <c r="B610" s="7"/>
      <c r="C610" s="7"/>
      <c r="D610" s="7"/>
      <c r="E610" s="7"/>
      <c r="F610" s="7"/>
      <c r="G610" s="14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68"/>
      <c r="B611" s="7"/>
      <c r="C611" s="7"/>
      <c r="D611" s="7"/>
      <c r="E611" s="7"/>
      <c r="F611" s="7"/>
      <c r="G611" s="14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68"/>
      <c r="B612" s="7"/>
      <c r="C612" s="7"/>
      <c r="D612" s="7"/>
      <c r="E612" s="7"/>
      <c r="F612" s="7"/>
      <c r="G612" s="14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68"/>
      <c r="B613" s="7"/>
      <c r="C613" s="7"/>
      <c r="D613" s="7"/>
      <c r="E613" s="7"/>
      <c r="F613" s="7"/>
      <c r="G613" s="14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68"/>
      <c r="B614" s="7"/>
      <c r="C614" s="7"/>
      <c r="D614" s="7"/>
      <c r="E614" s="7"/>
      <c r="F614" s="7"/>
      <c r="G614" s="14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68"/>
      <c r="B615" s="7"/>
      <c r="C615" s="7"/>
      <c r="D615" s="7"/>
      <c r="E615" s="7"/>
      <c r="F615" s="7"/>
      <c r="G615" s="14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68"/>
      <c r="B616" s="7"/>
      <c r="C616" s="7"/>
      <c r="D616" s="7"/>
      <c r="E616" s="7"/>
      <c r="F616" s="7"/>
      <c r="G616" s="14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68"/>
      <c r="B617" s="7"/>
      <c r="C617" s="7"/>
      <c r="D617" s="7"/>
      <c r="E617" s="7"/>
      <c r="F617" s="7"/>
      <c r="G617" s="14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68"/>
      <c r="B618" s="7"/>
      <c r="C618" s="7"/>
      <c r="D618" s="7"/>
      <c r="E618" s="7"/>
      <c r="F618" s="7"/>
      <c r="G618" s="14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68"/>
      <c r="B619" s="7"/>
      <c r="C619" s="7"/>
      <c r="D619" s="7"/>
      <c r="E619" s="7"/>
      <c r="F619" s="7"/>
      <c r="G619" s="14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68"/>
      <c r="B620" s="7"/>
      <c r="C620" s="7"/>
      <c r="D620" s="7"/>
      <c r="E620" s="7"/>
      <c r="F620" s="7"/>
      <c r="G620" s="14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68"/>
      <c r="B621" s="7"/>
      <c r="C621" s="7"/>
      <c r="D621" s="7"/>
      <c r="E621" s="7"/>
      <c r="F621" s="7"/>
      <c r="G621" s="14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68"/>
      <c r="B622" s="7"/>
      <c r="C622" s="7"/>
      <c r="D622" s="7"/>
      <c r="E622" s="7"/>
      <c r="F622" s="7"/>
      <c r="G622" s="14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68"/>
      <c r="B623" s="7"/>
      <c r="C623" s="7"/>
      <c r="D623" s="7"/>
      <c r="E623" s="7"/>
      <c r="F623" s="7"/>
      <c r="G623" s="14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68"/>
      <c r="B624" s="7"/>
      <c r="C624" s="7"/>
      <c r="D624" s="7"/>
      <c r="E624" s="7"/>
      <c r="F624" s="7"/>
      <c r="G624" s="14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68"/>
      <c r="B625" s="7"/>
      <c r="C625" s="7"/>
      <c r="D625" s="7"/>
      <c r="E625" s="7"/>
      <c r="F625" s="7"/>
      <c r="G625" s="14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68"/>
      <c r="B626" s="7"/>
      <c r="C626" s="7"/>
      <c r="D626" s="7"/>
      <c r="E626" s="7"/>
      <c r="F626" s="7"/>
      <c r="G626" s="14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68"/>
      <c r="B627" s="7"/>
      <c r="C627" s="7"/>
      <c r="D627" s="7"/>
      <c r="E627" s="7"/>
      <c r="F627" s="7"/>
      <c r="G627" s="14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68"/>
      <c r="B628" s="7"/>
      <c r="C628" s="7"/>
      <c r="D628" s="7"/>
      <c r="E628" s="7"/>
      <c r="F628" s="7"/>
      <c r="G628" s="14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68"/>
      <c r="B629" s="7"/>
      <c r="C629" s="7"/>
      <c r="D629" s="7"/>
      <c r="E629" s="7"/>
      <c r="F629" s="7"/>
      <c r="G629" s="14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68"/>
      <c r="B630" s="7"/>
      <c r="C630" s="7"/>
      <c r="D630" s="7"/>
      <c r="E630" s="7"/>
      <c r="F630" s="7"/>
      <c r="G630" s="14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68"/>
      <c r="B631" s="7"/>
      <c r="C631" s="7"/>
      <c r="D631" s="7"/>
      <c r="E631" s="7"/>
      <c r="F631" s="7"/>
      <c r="G631" s="14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68"/>
      <c r="B632" s="7"/>
      <c r="C632" s="7"/>
      <c r="D632" s="7"/>
      <c r="E632" s="7"/>
      <c r="F632" s="7"/>
      <c r="G632" s="14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68"/>
      <c r="B633" s="7"/>
      <c r="C633" s="7"/>
      <c r="D633" s="7"/>
      <c r="E633" s="7"/>
      <c r="F633" s="7"/>
      <c r="G633" s="14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68"/>
      <c r="B634" s="7"/>
      <c r="C634" s="7"/>
      <c r="D634" s="7"/>
      <c r="E634" s="7"/>
      <c r="F634" s="7"/>
      <c r="G634" s="14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68"/>
      <c r="B635" s="7"/>
      <c r="C635" s="7"/>
      <c r="D635" s="7"/>
      <c r="E635" s="7"/>
      <c r="F635" s="7"/>
      <c r="G635" s="14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68"/>
      <c r="B636" s="7"/>
      <c r="C636" s="7"/>
      <c r="D636" s="7"/>
      <c r="E636" s="7"/>
      <c r="F636" s="7"/>
      <c r="G636" s="14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68"/>
      <c r="B637" s="7"/>
      <c r="C637" s="7"/>
      <c r="D637" s="7"/>
      <c r="E637" s="7"/>
      <c r="F637" s="7"/>
      <c r="G637" s="14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68"/>
      <c r="B638" s="7"/>
      <c r="C638" s="7"/>
      <c r="D638" s="7"/>
      <c r="E638" s="7"/>
      <c r="F638" s="7"/>
      <c r="G638" s="14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68"/>
      <c r="B639" s="7"/>
      <c r="C639" s="7"/>
      <c r="D639" s="7"/>
      <c r="E639" s="7"/>
      <c r="F639" s="7"/>
      <c r="G639" s="14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68"/>
      <c r="B640" s="7"/>
      <c r="C640" s="7"/>
      <c r="D640" s="7"/>
      <c r="E640" s="7"/>
      <c r="F640" s="7"/>
      <c r="G640" s="14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68"/>
      <c r="B641" s="7"/>
      <c r="C641" s="7"/>
      <c r="D641" s="7"/>
      <c r="E641" s="7"/>
      <c r="F641" s="7"/>
      <c r="G641" s="14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68"/>
      <c r="B642" s="7"/>
      <c r="C642" s="7"/>
      <c r="D642" s="7"/>
      <c r="E642" s="7"/>
      <c r="F642" s="7"/>
      <c r="G642" s="14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68"/>
      <c r="B643" s="7"/>
      <c r="C643" s="7"/>
      <c r="D643" s="7"/>
      <c r="E643" s="7"/>
      <c r="F643" s="7"/>
      <c r="G643" s="14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68"/>
      <c r="B644" s="7"/>
      <c r="C644" s="7"/>
      <c r="D644" s="7"/>
      <c r="E644" s="7"/>
      <c r="F644" s="7"/>
      <c r="G644" s="14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68"/>
      <c r="B645" s="7"/>
      <c r="C645" s="7"/>
      <c r="D645" s="7"/>
      <c r="E645" s="7"/>
      <c r="F645" s="7"/>
      <c r="G645" s="14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68"/>
      <c r="B646" s="7"/>
      <c r="C646" s="7"/>
      <c r="D646" s="7"/>
      <c r="E646" s="7"/>
      <c r="F646" s="7"/>
      <c r="G646" s="14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68"/>
      <c r="B647" s="7"/>
      <c r="C647" s="7"/>
      <c r="D647" s="7"/>
      <c r="E647" s="7"/>
      <c r="F647" s="7"/>
      <c r="G647" s="14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68"/>
      <c r="B648" s="7"/>
      <c r="C648" s="7"/>
      <c r="D648" s="7"/>
      <c r="E648" s="7"/>
      <c r="F648" s="7"/>
      <c r="G648" s="14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68"/>
      <c r="B649" s="7"/>
      <c r="C649" s="7"/>
      <c r="D649" s="7"/>
      <c r="E649" s="7"/>
      <c r="F649" s="7"/>
      <c r="G649" s="14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68"/>
      <c r="B650" s="7"/>
      <c r="C650" s="7"/>
      <c r="D650" s="7"/>
      <c r="E650" s="7"/>
      <c r="F650" s="7"/>
      <c r="G650" s="14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68"/>
      <c r="B651" s="7"/>
      <c r="C651" s="7"/>
      <c r="D651" s="7"/>
      <c r="E651" s="7"/>
      <c r="F651" s="7"/>
      <c r="G651" s="14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68"/>
      <c r="B652" s="7"/>
      <c r="C652" s="7"/>
      <c r="D652" s="7"/>
      <c r="E652" s="7"/>
      <c r="F652" s="7"/>
      <c r="G652" s="14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68"/>
      <c r="B653" s="7"/>
      <c r="C653" s="7"/>
      <c r="D653" s="7"/>
      <c r="E653" s="7"/>
      <c r="F653" s="7"/>
      <c r="G653" s="14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68"/>
      <c r="B654" s="7"/>
      <c r="C654" s="7"/>
      <c r="D654" s="7"/>
      <c r="E654" s="7"/>
      <c r="F654" s="7"/>
      <c r="G654" s="14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68"/>
      <c r="B655" s="7"/>
      <c r="C655" s="7"/>
      <c r="D655" s="7"/>
      <c r="E655" s="7"/>
      <c r="F655" s="7"/>
      <c r="G655" s="14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68"/>
      <c r="B656" s="7"/>
      <c r="C656" s="7"/>
      <c r="D656" s="7"/>
      <c r="E656" s="7"/>
      <c r="F656" s="7"/>
      <c r="G656" s="14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68"/>
      <c r="B657" s="7"/>
      <c r="C657" s="7"/>
      <c r="D657" s="7"/>
      <c r="E657" s="7"/>
      <c r="F657" s="7"/>
      <c r="G657" s="14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68"/>
      <c r="B658" s="7"/>
      <c r="C658" s="7"/>
      <c r="D658" s="7"/>
      <c r="E658" s="7"/>
      <c r="F658" s="7"/>
      <c r="G658" s="14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68"/>
      <c r="B659" s="7"/>
      <c r="C659" s="7"/>
      <c r="D659" s="7"/>
      <c r="E659" s="7"/>
      <c r="F659" s="7"/>
      <c r="G659" s="14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68"/>
      <c r="B660" s="7"/>
      <c r="C660" s="7"/>
      <c r="D660" s="7"/>
      <c r="E660" s="7"/>
      <c r="F660" s="7"/>
      <c r="G660" s="14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68"/>
      <c r="B661" s="7"/>
      <c r="C661" s="7"/>
      <c r="D661" s="7"/>
      <c r="E661" s="7"/>
      <c r="F661" s="7"/>
      <c r="G661" s="14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68"/>
      <c r="B662" s="7"/>
      <c r="C662" s="7"/>
      <c r="D662" s="7"/>
      <c r="E662" s="7"/>
      <c r="F662" s="7"/>
      <c r="G662" s="14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68"/>
      <c r="B663" s="7"/>
      <c r="C663" s="7"/>
      <c r="D663" s="7"/>
      <c r="E663" s="7"/>
      <c r="F663" s="7"/>
      <c r="G663" s="14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68"/>
      <c r="B664" s="7"/>
      <c r="C664" s="7"/>
      <c r="D664" s="7"/>
      <c r="E664" s="7"/>
      <c r="F664" s="7"/>
      <c r="G664" s="14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68"/>
      <c r="B665" s="7"/>
      <c r="C665" s="7"/>
      <c r="D665" s="7"/>
      <c r="E665" s="7"/>
      <c r="F665" s="7"/>
      <c r="G665" s="14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68"/>
      <c r="B666" s="7"/>
      <c r="C666" s="7"/>
      <c r="D666" s="7"/>
      <c r="E666" s="7"/>
      <c r="F666" s="7"/>
      <c r="G666" s="14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68"/>
      <c r="B667" s="7"/>
      <c r="C667" s="7"/>
      <c r="D667" s="7"/>
      <c r="E667" s="7"/>
      <c r="F667" s="7"/>
      <c r="G667" s="14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68"/>
      <c r="B668" s="7"/>
      <c r="C668" s="7"/>
      <c r="D668" s="7"/>
      <c r="E668" s="7"/>
      <c r="F668" s="7"/>
      <c r="G668" s="14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68"/>
      <c r="B669" s="7"/>
      <c r="C669" s="7"/>
      <c r="D669" s="7"/>
      <c r="E669" s="7"/>
      <c r="F669" s="7"/>
      <c r="G669" s="14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68"/>
      <c r="B670" s="7"/>
      <c r="C670" s="7"/>
      <c r="D670" s="7"/>
      <c r="E670" s="7"/>
      <c r="F670" s="7"/>
      <c r="G670" s="14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68"/>
      <c r="B671" s="7"/>
      <c r="C671" s="7"/>
      <c r="D671" s="7"/>
      <c r="E671" s="7"/>
      <c r="F671" s="7"/>
      <c r="G671" s="14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68"/>
      <c r="B672" s="7"/>
      <c r="C672" s="7"/>
      <c r="D672" s="7"/>
      <c r="E672" s="7"/>
      <c r="F672" s="7"/>
      <c r="G672" s="14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68"/>
      <c r="B673" s="7"/>
      <c r="C673" s="7"/>
      <c r="D673" s="7"/>
      <c r="E673" s="7"/>
      <c r="F673" s="7"/>
      <c r="G673" s="14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68"/>
      <c r="B674" s="7"/>
      <c r="C674" s="7"/>
      <c r="D674" s="7"/>
      <c r="E674" s="7"/>
      <c r="F674" s="7"/>
      <c r="G674" s="1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68"/>
      <c r="B675" s="7"/>
      <c r="C675" s="7"/>
      <c r="D675" s="7"/>
      <c r="E675" s="7"/>
      <c r="F675" s="7"/>
      <c r="G675" s="1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68"/>
      <c r="B676" s="7"/>
      <c r="C676" s="7"/>
      <c r="D676" s="7"/>
      <c r="E676" s="7"/>
      <c r="F676" s="7"/>
      <c r="G676" s="1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68"/>
      <c r="B677" s="7"/>
      <c r="C677" s="7"/>
      <c r="D677" s="7"/>
      <c r="E677" s="7"/>
      <c r="F677" s="7"/>
      <c r="G677" s="1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68"/>
      <c r="B678" s="7"/>
      <c r="C678" s="7"/>
      <c r="D678" s="7"/>
      <c r="E678" s="7"/>
      <c r="F678" s="7"/>
      <c r="G678" s="1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68"/>
      <c r="B679" s="7"/>
      <c r="C679" s="7"/>
      <c r="D679" s="7"/>
      <c r="E679" s="7"/>
      <c r="F679" s="7"/>
      <c r="G679" s="1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68"/>
      <c r="B680" s="7"/>
      <c r="C680" s="7"/>
      <c r="D680" s="7"/>
      <c r="E680" s="7"/>
      <c r="F680" s="7"/>
      <c r="G680" s="1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68"/>
      <c r="B681" s="7"/>
      <c r="C681" s="7"/>
      <c r="D681" s="7"/>
      <c r="E681" s="7"/>
      <c r="F681" s="7"/>
      <c r="G681" s="1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68"/>
      <c r="B682" s="7"/>
      <c r="C682" s="7"/>
      <c r="D682" s="7"/>
      <c r="E682" s="7"/>
      <c r="F682" s="7"/>
      <c r="G682" s="1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68"/>
      <c r="B683" s="7"/>
      <c r="C683" s="7"/>
      <c r="D683" s="7"/>
      <c r="E683" s="7"/>
      <c r="F683" s="7"/>
      <c r="G683" s="1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68"/>
      <c r="B684" s="7"/>
      <c r="C684" s="7"/>
      <c r="D684" s="7"/>
      <c r="E684" s="7"/>
      <c r="F684" s="7"/>
      <c r="G684" s="1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68"/>
      <c r="B685" s="7"/>
      <c r="C685" s="7"/>
      <c r="D685" s="7"/>
      <c r="E685" s="7"/>
      <c r="F685" s="7"/>
      <c r="G685" s="1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68"/>
      <c r="B686" s="7"/>
      <c r="C686" s="7"/>
      <c r="D686" s="7"/>
      <c r="E686" s="7"/>
      <c r="F686" s="7"/>
      <c r="G686" s="1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68"/>
      <c r="B687" s="7"/>
      <c r="C687" s="7"/>
      <c r="D687" s="7"/>
      <c r="E687" s="7"/>
      <c r="F687" s="7"/>
      <c r="G687" s="1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68"/>
      <c r="B688" s="7"/>
      <c r="C688" s="7"/>
      <c r="D688" s="7"/>
      <c r="E688" s="7"/>
      <c r="F688" s="7"/>
      <c r="G688" s="1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68"/>
      <c r="B689" s="7"/>
      <c r="C689" s="7"/>
      <c r="D689" s="7"/>
      <c r="E689" s="7"/>
      <c r="F689" s="7"/>
      <c r="G689" s="1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68"/>
      <c r="B690" s="7"/>
      <c r="C690" s="7"/>
      <c r="D690" s="7"/>
      <c r="E690" s="7"/>
      <c r="F690" s="7"/>
      <c r="G690" s="1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68"/>
      <c r="B691" s="7"/>
      <c r="C691" s="7"/>
      <c r="D691" s="7"/>
      <c r="E691" s="7"/>
      <c r="F691" s="7"/>
      <c r="G691" s="1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68"/>
      <c r="B692" s="7"/>
      <c r="C692" s="7"/>
      <c r="D692" s="7"/>
      <c r="E692" s="7"/>
      <c r="F692" s="7"/>
      <c r="G692" s="1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68"/>
      <c r="B693" s="7"/>
      <c r="C693" s="7"/>
      <c r="D693" s="7"/>
      <c r="E693" s="7"/>
      <c r="F693" s="7"/>
      <c r="G693" s="1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68"/>
      <c r="B694" s="7"/>
      <c r="C694" s="7"/>
      <c r="D694" s="7"/>
      <c r="E694" s="7"/>
      <c r="F694" s="7"/>
      <c r="G694" s="1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68"/>
      <c r="B695" s="7"/>
      <c r="C695" s="7"/>
      <c r="D695" s="7"/>
      <c r="E695" s="7"/>
      <c r="F695" s="7"/>
      <c r="G695" s="1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68"/>
      <c r="B696" s="7"/>
      <c r="C696" s="7"/>
      <c r="D696" s="7"/>
      <c r="E696" s="7"/>
      <c r="F696" s="7"/>
      <c r="G696" s="1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68"/>
      <c r="B697" s="7"/>
      <c r="C697" s="7"/>
      <c r="D697" s="7"/>
      <c r="E697" s="7"/>
      <c r="F697" s="7"/>
      <c r="G697" s="1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68"/>
      <c r="B698" s="7"/>
      <c r="C698" s="7"/>
      <c r="D698" s="7"/>
      <c r="E698" s="7"/>
      <c r="F698" s="7"/>
      <c r="G698" s="1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68"/>
      <c r="B699" s="7"/>
      <c r="C699" s="7"/>
      <c r="D699" s="7"/>
      <c r="E699" s="7"/>
      <c r="F699" s="7"/>
      <c r="G699" s="1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68"/>
      <c r="B700" s="7"/>
      <c r="C700" s="7"/>
      <c r="D700" s="7"/>
      <c r="E700" s="7"/>
      <c r="F700" s="7"/>
      <c r="G700" s="1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68"/>
      <c r="B701" s="7"/>
      <c r="C701" s="7"/>
      <c r="D701" s="7"/>
      <c r="E701" s="7"/>
      <c r="F701" s="7"/>
      <c r="G701" s="1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68"/>
      <c r="B702" s="7"/>
      <c r="C702" s="7"/>
      <c r="D702" s="7"/>
      <c r="E702" s="7"/>
      <c r="F702" s="7"/>
      <c r="G702" s="1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68"/>
      <c r="B703" s="7"/>
      <c r="C703" s="7"/>
      <c r="D703" s="7"/>
      <c r="E703" s="7"/>
      <c r="F703" s="7"/>
      <c r="G703" s="1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68"/>
      <c r="B704" s="7"/>
      <c r="C704" s="7"/>
      <c r="D704" s="7"/>
      <c r="E704" s="7"/>
      <c r="F704" s="7"/>
      <c r="G704" s="1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68"/>
      <c r="B705" s="7"/>
      <c r="C705" s="7"/>
      <c r="D705" s="7"/>
      <c r="E705" s="7"/>
      <c r="F705" s="7"/>
      <c r="G705" s="1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68"/>
      <c r="B706" s="7"/>
      <c r="C706" s="7"/>
      <c r="D706" s="7"/>
      <c r="E706" s="7"/>
      <c r="F706" s="7"/>
      <c r="G706" s="1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68"/>
      <c r="B707" s="7"/>
      <c r="C707" s="7"/>
      <c r="D707" s="7"/>
      <c r="E707" s="7"/>
      <c r="F707" s="7"/>
      <c r="G707" s="1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1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1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1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1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1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1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1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1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1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1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1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1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1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1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1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1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1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1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1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1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1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1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1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1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1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1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1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1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1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1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1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1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1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1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1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1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1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1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1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1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14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14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14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14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14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14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1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14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14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14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14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14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14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14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14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14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14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14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14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14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14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14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14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14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14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14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14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14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14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14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14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14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14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14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14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1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1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1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1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1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1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1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1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1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1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1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1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1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1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1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1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1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1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1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1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1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1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1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1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1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1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1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1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1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1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1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1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1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1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1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1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1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1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1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1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1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1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1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1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1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1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1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1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1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1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1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1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1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1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1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1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1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1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1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1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1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1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1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1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1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1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1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1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1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1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1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1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1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1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1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1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1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1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1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1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1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1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1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1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1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1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1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1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1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1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1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1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1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1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1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1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1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1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1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1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1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1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1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1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1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1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1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1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1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1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1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1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1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1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1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1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1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1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1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1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1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1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1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1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1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1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1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1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1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1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1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1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1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1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1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1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1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1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1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1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1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1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1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1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1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1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1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1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1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1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1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1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1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1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1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1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1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1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1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1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1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1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1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1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1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1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1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1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1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1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1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1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1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1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1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1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1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1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1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1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1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1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1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1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1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1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1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1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1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1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1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1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1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1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1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1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1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1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1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1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1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1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1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1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1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1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1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1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1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1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1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1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1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1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1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1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1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1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14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14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14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14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7"/>
      <c r="B1005" s="7"/>
      <c r="C1005" s="7"/>
      <c r="D1005" s="7"/>
      <c r="E1005" s="7"/>
      <c r="F1005" s="7"/>
      <c r="G1005" s="14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7"/>
      <c r="B1006" s="7"/>
      <c r="C1006" s="7"/>
      <c r="D1006" s="7"/>
      <c r="E1006" s="7"/>
      <c r="F1006" s="7"/>
      <c r="G1006" s="14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7"/>
      <c r="B1007" s="7"/>
      <c r="C1007" s="7"/>
      <c r="D1007" s="7"/>
      <c r="E1007" s="7"/>
      <c r="F1007" s="7"/>
      <c r="G1007" s="14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7"/>
      <c r="B1008" s="7"/>
      <c r="C1008" s="7"/>
      <c r="D1008" s="7"/>
      <c r="E1008" s="7"/>
      <c r="F1008" s="7"/>
      <c r="G1008" s="14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7"/>
      <c r="B1009" s="7"/>
      <c r="C1009" s="7"/>
      <c r="D1009" s="7"/>
      <c r="E1009" s="7"/>
      <c r="F1009" s="7"/>
      <c r="G1009" s="14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7"/>
      <c r="B1010" s="7"/>
      <c r="C1010" s="7"/>
      <c r="D1010" s="7"/>
      <c r="E1010" s="7"/>
      <c r="F1010" s="7"/>
      <c r="G1010" s="14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7"/>
      <c r="B1011" s="7"/>
      <c r="C1011" s="7"/>
      <c r="D1011" s="7"/>
      <c r="E1011" s="7"/>
      <c r="F1011" s="7"/>
      <c r="G1011" s="14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7"/>
      <c r="B1012" s="7"/>
      <c r="C1012" s="7"/>
      <c r="D1012" s="7"/>
      <c r="E1012" s="7"/>
      <c r="F1012" s="7"/>
      <c r="G1012" s="14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7"/>
      <c r="B1013" s="7"/>
      <c r="C1013" s="7"/>
      <c r="D1013" s="7"/>
      <c r="E1013" s="7"/>
      <c r="F1013" s="7"/>
      <c r="G1013" s="14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7"/>
      <c r="B1014" s="7"/>
      <c r="C1014" s="7"/>
      <c r="D1014" s="7"/>
      <c r="E1014" s="7"/>
      <c r="F1014" s="7"/>
      <c r="G1014" s="14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7"/>
      <c r="B1015" s="7"/>
      <c r="C1015" s="7"/>
      <c r="D1015" s="7"/>
      <c r="E1015" s="7"/>
      <c r="F1015" s="7"/>
      <c r="G1015" s="14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7"/>
      <c r="B1016" s="7"/>
      <c r="C1016" s="7"/>
      <c r="D1016" s="7"/>
      <c r="E1016" s="7"/>
      <c r="F1016" s="7"/>
      <c r="G1016" s="14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7"/>
      <c r="B1017" s="7"/>
      <c r="C1017" s="7"/>
      <c r="D1017" s="7"/>
      <c r="E1017" s="7"/>
      <c r="F1017" s="7"/>
      <c r="G1017" s="14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7"/>
      <c r="B1018" s="7"/>
      <c r="C1018" s="7"/>
      <c r="D1018" s="7"/>
      <c r="E1018" s="7"/>
      <c r="F1018" s="7"/>
      <c r="G1018" s="14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</sheetData>
  <hyperlinks>
    <hyperlink r:id="rId1" ref="J232"/>
  </hyperlink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 ht="12.75" customHeight="1">
      <c r="A1" s="20">
        <v>1.0</v>
      </c>
      <c r="B1" s="20">
        <v>8.82</v>
      </c>
      <c r="C1" s="20">
        <f t="shared" ref="C1:C7" si="1">B1/A1</f>
        <v>8.82</v>
      </c>
      <c r="E1" s="20">
        <f t="shared" ref="E1:E7" si="2">A1*12</f>
        <v>12</v>
      </c>
    </row>
    <row r="2" ht="12.75" customHeight="1">
      <c r="A2" s="20">
        <v>1.5</v>
      </c>
      <c r="B2" s="20">
        <v>12.76</v>
      </c>
      <c r="C2" s="20">
        <f t="shared" si="1"/>
        <v>8.506666667</v>
      </c>
      <c r="E2" s="20">
        <f t="shared" si="2"/>
        <v>18</v>
      </c>
    </row>
    <row r="3" ht="12.75" customHeight="1">
      <c r="A3" s="20">
        <v>2.0</v>
      </c>
      <c r="B3" s="20">
        <v>16.86</v>
      </c>
      <c r="C3" s="20">
        <f t="shared" si="1"/>
        <v>8.43</v>
      </c>
      <c r="E3" s="20">
        <f t="shared" si="2"/>
        <v>24</v>
      </c>
    </row>
    <row r="4" ht="12.75" customHeight="1">
      <c r="A4" s="20">
        <v>3.0</v>
      </c>
      <c r="B4" s="20">
        <v>25.14</v>
      </c>
      <c r="C4" s="20">
        <f t="shared" si="1"/>
        <v>8.38</v>
      </c>
      <c r="E4" s="20">
        <f t="shared" si="2"/>
        <v>36</v>
      </c>
    </row>
    <row r="5" ht="12.75" customHeight="1">
      <c r="A5" s="20">
        <v>4.0</v>
      </c>
      <c r="B5" s="20">
        <v>34.79</v>
      </c>
      <c r="C5" s="20">
        <f t="shared" si="1"/>
        <v>8.6975</v>
      </c>
      <c r="E5" s="20">
        <f t="shared" si="2"/>
        <v>48</v>
      </c>
      <c r="H5" s="7" t="s">
        <v>630</v>
      </c>
      <c r="M5" s="7" t="s">
        <v>631</v>
      </c>
    </row>
    <row r="6" ht="12.75" customHeight="1">
      <c r="A6" s="20">
        <v>5.0</v>
      </c>
      <c r="B6" s="20">
        <v>45.37</v>
      </c>
      <c r="C6" s="20">
        <f t="shared" si="1"/>
        <v>9.074</v>
      </c>
      <c r="E6" s="20">
        <f t="shared" si="2"/>
        <v>60</v>
      </c>
      <c r="H6" s="20">
        <v>1.0</v>
      </c>
      <c r="I6" s="20">
        <v>2.0</v>
      </c>
      <c r="J6" s="20">
        <v>3.0</v>
      </c>
      <c r="K6" s="20">
        <v>4.0</v>
      </c>
      <c r="L6" s="20">
        <v>5.0</v>
      </c>
      <c r="M6" s="20">
        <v>6.0</v>
      </c>
      <c r="N6" s="20">
        <v>7.0</v>
      </c>
      <c r="O6" s="20">
        <v>8.0</v>
      </c>
      <c r="P6" s="20">
        <v>9.0</v>
      </c>
      <c r="Q6" s="20">
        <v>10.0</v>
      </c>
      <c r="R6" s="20">
        <v>11.0</v>
      </c>
      <c r="S6" s="20">
        <v>12.0</v>
      </c>
      <c r="T6" s="20">
        <v>13.0</v>
      </c>
      <c r="U6" s="20">
        <v>14.0</v>
      </c>
      <c r="V6" s="20">
        <v>15.0</v>
      </c>
      <c r="W6" s="20">
        <v>16.0</v>
      </c>
      <c r="X6" s="20">
        <v>17.0</v>
      </c>
      <c r="Y6" s="20">
        <v>18.0</v>
      </c>
      <c r="Z6" s="20">
        <v>19.0</v>
      </c>
      <c r="AA6" s="20">
        <v>20.0</v>
      </c>
    </row>
    <row r="7" ht="12.75" customHeight="1">
      <c r="A7" s="20">
        <v>10.0</v>
      </c>
      <c r="B7" s="20">
        <v>74.23</v>
      </c>
      <c r="C7" s="20">
        <f t="shared" si="1"/>
        <v>7.423</v>
      </c>
      <c r="E7" s="20">
        <f t="shared" si="2"/>
        <v>120</v>
      </c>
      <c r="H7" s="20">
        <v>54.0</v>
      </c>
      <c r="I7" s="20">
        <v>54.0</v>
      </c>
      <c r="J7" s="20">
        <v>32.0</v>
      </c>
      <c r="K7" s="20">
        <v>31.0</v>
      </c>
      <c r="M7" s="20">
        <v>43.0</v>
      </c>
      <c r="N7" s="20">
        <v>32.0</v>
      </c>
      <c r="O7" s="20">
        <v>43.0</v>
      </c>
    </row>
    <row r="8" ht="12.75" customHeight="1">
      <c r="H8" s="20">
        <v>32.0</v>
      </c>
      <c r="I8" s="20">
        <v>32.0</v>
      </c>
      <c r="J8" s="20">
        <v>31.0</v>
      </c>
      <c r="M8" s="20">
        <v>32.0</v>
      </c>
      <c r="N8" s="20">
        <v>32.0</v>
      </c>
      <c r="O8" s="20">
        <v>31.0</v>
      </c>
    </row>
    <row r="9" ht="12.75" customHeight="1">
      <c r="H9" s="20">
        <v>30.0</v>
      </c>
      <c r="I9" s="20">
        <v>30.0</v>
      </c>
      <c r="J9" s="20">
        <v>31.0</v>
      </c>
      <c r="K9" s="20">
        <v>17.0</v>
      </c>
      <c r="M9" s="20">
        <v>31.0</v>
      </c>
      <c r="N9" s="20">
        <v>17.0</v>
      </c>
      <c r="O9" s="20">
        <v>31.0</v>
      </c>
    </row>
    <row r="10" ht="12.75" customHeight="1">
      <c r="J10" s="20">
        <v>19.0</v>
      </c>
      <c r="K10" s="20">
        <v>16.0</v>
      </c>
      <c r="N10" s="20">
        <v>15.0</v>
      </c>
      <c r="O10" s="20">
        <v>2.0</v>
      </c>
    </row>
    <row r="11" ht="12.75" customHeight="1">
      <c r="K11" s="20">
        <v>16.0</v>
      </c>
      <c r="N11" s="20">
        <v>15.0</v>
      </c>
      <c r="O11" s="20">
        <v>2.0</v>
      </c>
    </row>
    <row r="12" ht="12.75" customHeight="1">
      <c r="K12" s="20">
        <v>12.0</v>
      </c>
      <c r="O12" s="20">
        <v>2.0</v>
      </c>
    </row>
    <row r="13" ht="12.75" customHeight="1">
      <c r="K13" s="20">
        <v>12.0</v>
      </c>
      <c r="N13" s="20">
        <v>2.0</v>
      </c>
      <c r="O13" s="20">
        <v>2.0</v>
      </c>
    </row>
    <row r="14" ht="12.75" customHeight="1">
      <c r="K14" s="20">
        <v>15.0</v>
      </c>
      <c r="L14" s="20">
        <v>15.0</v>
      </c>
      <c r="N14" s="20">
        <v>2.0</v>
      </c>
      <c r="O14" s="20">
        <v>2.0</v>
      </c>
    </row>
    <row r="15" ht="12.75" customHeight="1">
      <c r="O15" s="20">
        <v>2.0</v>
      </c>
    </row>
    <row r="16" ht="12.75" customHeight="1">
      <c r="L16" s="20">
        <v>2.0</v>
      </c>
      <c r="O16" s="20">
        <v>2.0</v>
      </c>
    </row>
    <row r="17" ht="12.75" customHeight="1">
      <c r="L17" s="20">
        <v>2.0</v>
      </c>
      <c r="M17" s="20">
        <v>2.0</v>
      </c>
    </row>
    <row r="18" ht="12.75" customHeight="1">
      <c r="L18" s="20">
        <v>2.0</v>
      </c>
      <c r="M18" s="20">
        <v>2.0</v>
      </c>
    </row>
    <row r="19" ht="12.75" customHeight="1">
      <c r="M19" s="20">
        <v>2.0</v>
      </c>
    </row>
    <row r="20" ht="12.75" customHeight="1">
      <c r="M20" s="20">
        <v>2.0</v>
      </c>
    </row>
    <row r="21" ht="12.75" customHeight="1">
      <c r="M21" s="20">
        <v>2.0</v>
      </c>
    </row>
    <row r="22" ht="12.75" customHeight="1">
      <c r="M22" s="20">
        <v>2.0</v>
      </c>
    </row>
    <row r="23" ht="12.75" customHeight="1"/>
    <row r="24" ht="12.75" customHeight="1"/>
    <row r="25" ht="12.75" customHeight="1"/>
    <row r="26" ht="12.75" customHeight="1">
      <c r="G26" s="7" t="s">
        <v>632</v>
      </c>
      <c r="H26" s="20">
        <f t="shared" ref="H26:AA26" si="3">SUM(H7:H25)</f>
        <v>116</v>
      </c>
      <c r="I26" s="20">
        <f t="shared" si="3"/>
        <v>116</v>
      </c>
      <c r="J26" s="20">
        <f t="shared" si="3"/>
        <v>113</v>
      </c>
      <c r="K26" s="20">
        <f t="shared" si="3"/>
        <v>119</v>
      </c>
      <c r="L26" s="20">
        <f t="shared" si="3"/>
        <v>21</v>
      </c>
      <c r="M26" s="20">
        <f t="shared" si="3"/>
        <v>118</v>
      </c>
      <c r="N26" s="20">
        <f t="shared" si="3"/>
        <v>115</v>
      </c>
      <c r="O26" s="20">
        <f t="shared" si="3"/>
        <v>119</v>
      </c>
      <c r="P26" s="20">
        <f t="shared" si="3"/>
        <v>0</v>
      </c>
      <c r="Q26" s="20">
        <f t="shared" si="3"/>
        <v>0</v>
      </c>
      <c r="R26" s="20">
        <f t="shared" si="3"/>
        <v>0</v>
      </c>
      <c r="S26" s="20">
        <f t="shared" si="3"/>
        <v>0</v>
      </c>
      <c r="T26" s="20">
        <f t="shared" si="3"/>
        <v>0</v>
      </c>
      <c r="U26" s="20">
        <f t="shared" si="3"/>
        <v>0</v>
      </c>
      <c r="V26" s="20">
        <f t="shared" si="3"/>
        <v>0</v>
      </c>
      <c r="W26" s="20">
        <f t="shared" si="3"/>
        <v>0</v>
      </c>
      <c r="X26" s="20">
        <f t="shared" si="3"/>
        <v>0</v>
      </c>
      <c r="Y26" s="20">
        <f t="shared" si="3"/>
        <v>0</v>
      </c>
      <c r="Z26" s="20">
        <f t="shared" si="3"/>
        <v>0</v>
      </c>
      <c r="AA26" s="20">
        <f t="shared" si="3"/>
        <v>0</v>
      </c>
      <c r="AC26" s="7"/>
    </row>
    <row r="27" ht="12.75" customHeight="1">
      <c r="G27" s="20">
        <f>SUM(H26:P26)</f>
        <v>837</v>
      </c>
    </row>
    <row r="28" ht="12.75" customHeight="1">
      <c r="G28" s="20">
        <f>SUM(H26:K26)</f>
        <v>464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29"/>
    <col customWidth="1" min="3" max="3" width="35.71"/>
    <col customWidth="1" min="4" max="4" width="17.86"/>
    <col customWidth="1" min="5" max="5" width="35.71"/>
    <col customWidth="1" min="6" max="7" width="16.29"/>
    <col customWidth="1" min="8" max="8" width="9.29"/>
    <col customWidth="1" min="9" max="9" width="10.71"/>
    <col customWidth="1" min="10" max="10" width="14.86"/>
    <col customWidth="1" min="11" max="11" width="21.86"/>
    <col customWidth="1" min="12" max="13" width="17.86"/>
    <col customWidth="1" min="14" max="14" width="13.0"/>
    <col customWidth="1" min="15" max="20" width="13.71"/>
    <col customWidth="1" min="21" max="26" width="9.29"/>
  </cols>
  <sheetData>
    <row r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69" t="s">
        <v>633</v>
      </c>
      <c r="B2" s="69" t="s">
        <v>634</v>
      </c>
      <c r="C2" s="69" t="s">
        <v>635</v>
      </c>
      <c r="D2" s="69" t="s">
        <v>636</v>
      </c>
      <c r="E2" s="69" t="s">
        <v>637</v>
      </c>
      <c r="F2" s="69" t="s">
        <v>638</v>
      </c>
      <c r="G2" s="69" t="s">
        <v>639</v>
      </c>
      <c r="H2" s="69" t="s">
        <v>640</v>
      </c>
      <c r="I2" s="69" t="s">
        <v>641</v>
      </c>
      <c r="J2" s="69" t="s">
        <v>642</v>
      </c>
      <c r="K2" s="69" t="s">
        <v>643</v>
      </c>
      <c r="L2" s="69" t="s">
        <v>644</v>
      </c>
      <c r="M2" s="69"/>
      <c r="N2" s="69" t="s">
        <v>645</v>
      </c>
      <c r="O2" s="69" t="s">
        <v>646</v>
      </c>
      <c r="P2" s="69" t="s">
        <v>647</v>
      </c>
      <c r="Q2" s="69"/>
      <c r="R2" s="69" t="s">
        <v>648</v>
      </c>
      <c r="S2" s="69" t="s">
        <v>649</v>
      </c>
      <c r="T2" s="69" t="s">
        <v>650</v>
      </c>
      <c r="U2" s="69" t="s">
        <v>651</v>
      </c>
      <c r="V2" s="69"/>
      <c r="W2" s="69" t="s">
        <v>652</v>
      </c>
      <c r="X2" s="69"/>
      <c r="Y2" s="69"/>
      <c r="Z2" s="69"/>
    </row>
    <row r="3">
      <c r="A3" s="69">
        <f>4*2+2</f>
        <v>10</v>
      </c>
      <c r="B3" s="69">
        <f>8*3+4*2</f>
        <v>32</v>
      </c>
      <c r="C3" s="69" t="s">
        <v>653</v>
      </c>
      <c r="D3" s="69">
        <v>0.25</v>
      </c>
      <c r="E3" s="69">
        <v>0.0</v>
      </c>
      <c r="F3" s="69">
        <v>0.105</v>
      </c>
      <c r="G3" s="69">
        <v>0.0</v>
      </c>
      <c r="H3" s="69">
        <v>0.095</v>
      </c>
      <c r="I3" s="69">
        <v>0.095</v>
      </c>
      <c r="J3" s="69">
        <v>0.5</v>
      </c>
      <c r="K3" s="69">
        <f t="shared" ref="K3:K9" si="1">SUM(D3:I3)</f>
        <v>0.545</v>
      </c>
      <c r="L3" s="69">
        <f t="shared" ref="L3:L9" si="2">SUM(D3:J3)</f>
        <v>1.045</v>
      </c>
      <c r="M3" s="69"/>
      <c r="N3" s="69">
        <v>2.0</v>
      </c>
      <c r="O3" s="69">
        <v>1.0</v>
      </c>
      <c r="P3" s="69">
        <v>0.0</v>
      </c>
      <c r="Q3" s="69"/>
      <c r="R3" s="69">
        <f t="shared" ref="R3:R9" si="3">N3*(A3+B3)</f>
        <v>84</v>
      </c>
      <c r="S3" s="69">
        <f t="shared" ref="S3:S9" si="4">O3*(A3+B3)</f>
        <v>42</v>
      </c>
      <c r="T3" s="69">
        <f t="shared" ref="T3:T9" si="5">P3*(A3+B3)</f>
        <v>0</v>
      </c>
      <c r="U3" s="69">
        <f t="shared" ref="U3:U9" si="6">A3+B3</f>
        <v>42</v>
      </c>
      <c r="V3" s="69"/>
      <c r="W3" s="69" t="s">
        <v>654</v>
      </c>
      <c r="X3" s="69"/>
      <c r="Y3" s="69"/>
      <c r="Z3" s="69"/>
    </row>
    <row r="4">
      <c r="A4" s="69">
        <v>7.0</v>
      </c>
      <c r="B4" s="69">
        <v>10.0</v>
      </c>
      <c r="C4" s="69" t="s">
        <v>655</v>
      </c>
      <c r="D4" s="69">
        <v>0.0</v>
      </c>
      <c r="E4" s="69">
        <v>0.125</v>
      </c>
      <c r="F4" s="69">
        <v>0.105</v>
      </c>
      <c r="G4" s="69">
        <v>0.0</v>
      </c>
      <c r="H4" s="69">
        <v>0.095</v>
      </c>
      <c r="I4" s="69">
        <v>0.095</v>
      </c>
      <c r="J4" s="69">
        <v>0.5</v>
      </c>
      <c r="K4" s="69">
        <f t="shared" si="1"/>
        <v>0.42</v>
      </c>
      <c r="L4" s="69">
        <f t="shared" si="2"/>
        <v>0.92</v>
      </c>
      <c r="M4" s="69"/>
      <c r="N4" s="69">
        <v>2.0</v>
      </c>
      <c r="O4" s="69">
        <v>1.0</v>
      </c>
      <c r="P4" s="69">
        <v>0.0</v>
      </c>
      <c r="Q4" s="69"/>
      <c r="R4" s="69">
        <f t="shared" si="3"/>
        <v>34</v>
      </c>
      <c r="S4" s="69">
        <f t="shared" si="4"/>
        <v>17</v>
      </c>
      <c r="T4" s="69">
        <f t="shared" si="5"/>
        <v>0</v>
      </c>
      <c r="U4" s="69">
        <f t="shared" si="6"/>
        <v>17</v>
      </c>
      <c r="V4" s="69"/>
      <c r="W4" s="69" t="s">
        <v>656</v>
      </c>
      <c r="X4" s="69"/>
      <c r="Y4" s="69"/>
      <c r="Z4" s="69"/>
    </row>
    <row r="5">
      <c r="A5" s="69">
        <v>7.0</v>
      </c>
      <c r="B5" s="69">
        <v>8.0</v>
      </c>
      <c r="C5" s="69" t="s">
        <v>657</v>
      </c>
      <c r="D5" s="69">
        <v>0.0</v>
      </c>
      <c r="E5" s="69">
        <v>0.125</v>
      </c>
      <c r="F5" s="69">
        <v>0.3</v>
      </c>
      <c r="G5" s="69">
        <v>0.0</v>
      </c>
      <c r="H5" s="69">
        <v>0.095</v>
      </c>
      <c r="I5" s="69">
        <v>0.0</v>
      </c>
      <c r="J5" s="69">
        <v>0.5</v>
      </c>
      <c r="K5" s="69">
        <f t="shared" si="1"/>
        <v>0.52</v>
      </c>
      <c r="L5" s="69">
        <f t="shared" si="2"/>
        <v>1.02</v>
      </c>
      <c r="M5" s="69"/>
      <c r="N5" s="69">
        <v>1.0</v>
      </c>
      <c r="O5" s="69">
        <v>0.0</v>
      </c>
      <c r="P5" s="69">
        <v>1.0</v>
      </c>
      <c r="Q5" s="69"/>
      <c r="R5" s="69">
        <f t="shared" si="3"/>
        <v>15</v>
      </c>
      <c r="S5" s="69">
        <f t="shared" si="4"/>
        <v>0</v>
      </c>
      <c r="T5" s="69">
        <f t="shared" si="5"/>
        <v>15</v>
      </c>
      <c r="U5" s="69">
        <f t="shared" si="6"/>
        <v>15</v>
      </c>
      <c r="V5" s="69"/>
      <c r="W5" s="69" t="s">
        <v>656</v>
      </c>
      <c r="X5" s="69"/>
      <c r="Y5" s="69"/>
      <c r="Z5" s="69"/>
    </row>
    <row r="6">
      <c r="A6" s="69">
        <v>4.0</v>
      </c>
      <c r="B6" s="69">
        <v>16.0</v>
      </c>
      <c r="C6" s="69" t="s">
        <v>658</v>
      </c>
      <c r="D6" s="69">
        <v>0.25</v>
      </c>
      <c r="E6" s="69">
        <v>0.0</v>
      </c>
      <c r="F6" s="69">
        <v>0.3</v>
      </c>
      <c r="G6" s="69">
        <v>0.0</v>
      </c>
      <c r="H6" s="69">
        <v>0.095</v>
      </c>
      <c r="I6" s="69">
        <v>0.0</v>
      </c>
      <c r="J6" s="69">
        <v>0.5</v>
      </c>
      <c r="K6" s="69">
        <f t="shared" si="1"/>
        <v>0.645</v>
      </c>
      <c r="L6" s="69">
        <f t="shared" si="2"/>
        <v>1.145</v>
      </c>
      <c r="M6" s="69"/>
      <c r="N6" s="69">
        <v>1.0</v>
      </c>
      <c r="O6" s="69">
        <v>0.0</v>
      </c>
      <c r="P6" s="69">
        <v>1.0</v>
      </c>
      <c r="Q6" s="69"/>
      <c r="R6" s="69">
        <f t="shared" si="3"/>
        <v>20</v>
      </c>
      <c r="S6" s="69">
        <f t="shared" si="4"/>
        <v>0</v>
      </c>
      <c r="T6" s="69">
        <f t="shared" si="5"/>
        <v>20</v>
      </c>
      <c r="U6" s="69">
        <f t="shared" si="6"/>
        <v>20</v>
      </c>
      <c r="V6" s="69"/>
      <c r="W6" s="69" t="s">
        <v>654</v>
      </c>
      <c r="X6" s="69"/>
      <c r="Y6" s="69"/>
      <c r="Z6" s="69"/>
    </row>
    <row r="7">
      <c r="A7" s="69">
        <v>4.0</v>
      </c>
      <c r="B7" s="69">
        <v>10.0</v>
      </c>
      <c r="C7" s="69" t="s">
        <v>659</v>
      </c>
      <c r="D7" s="69">
        <v>0.25</v>
      </c>
      <c r="E7" s="69">
        <v>0.125</v>
      </c>
      <c r="F7" s="69">
        <v>0.3</v>
      </c>
      <c r="G7" s="69">
        <v>0.0</v>
      </c>
      <c r="H7" s="69">
        <v>0.095</v>
      </c>
      <c r="I7" s="69">
        <v>0.0</v>
      </c>
      <c r="J7" s="69">
        <v>0.5</v>
      </c>
      <c r="K7" s="69">
        <f t="shared" si="1"/>
        <v>0.77</v>
      </c>
      <c r="L7" s="69">
        <f t="shared" si="2"/>
        <v>1.27</v>
      </c>
      <c r="M7" s="69"/>
      <c r="N7" s="69">
        <v>1.0</v>
      </c>
      <c r="O7" s="69">
        <v>0.0</v>
      </c>
      <c r="P7" s="69">
        <v>1.0</v>
      </c>
      <c r="Q7" s="69"/>
      <c r="R7" s="69">
        <f t="shared" si="3"/>
        <v>14</v>
      </c>
      <c r="S7" s="69">
        <f t="shared" si="4"/>
        <v>0</v>
      </c>
      <c r="T7" s="69">
        <f t="shared" si="5"/>
        <v>14</v>
      </c>
      <c r="U7" s="69">
        <f t="shared" si="6"/>
        <v>14</v>
      </c>
      <c r="V7" s="69"/>
      <c r="W7" s="69" t="s">
        <v>660</v>
      </c>
      <c r="X7" s="69"/>
      <c r="Y7" s="69"/>
      <c r="Z7" s="69"/>
    </row>
    <row r="8">
      <c r="A8" s="69">
        <v>9.0</v>
      </c>
      <c r="B8" s="69">
        <v>9.0</v>
      </c>
      <c r="C8" s="69" t="s">
        <v>661</v>
      </c>
      <c r="D8" s="69">
        <v>0.0</v>
      </c>
      <c r="E8" s="69">
        <v>0.0</v>
      </c>
      <c r="F8" s="69">
        <v>0.3</v>
      </c>
      <c r="G8" s="69">
        <v>0.105</v>
      </c>
      <c r="H8" s="69">
        <v>0.095</v>
      </c>
      <c r="I8" s="69">
        <v>0.0</v>
      </c>
      <c r="J8" s="69">
        <v>0.5</v>
      </c>
      <c r="K8" s="69">
        <f t="shared" si="1"/>
        <v>0.5</v>
      </c>
      <c r="L8" s="69">
        <f t="shared" si="2"/>
        <v>1</v>
      </c>
      <c r="M8" s="69"/>
      <c r="N8" s="69">
        <v>1.0</v>
      </c>
      <c r="O8" s="69">
        <v>0.0</v>
      </c>
      <c r="P8" s="69">
        <v>1.0</v>
      </c>
      <c r="Q8" s="69"/>
      <c r="R8" s="69">
        <f t="shared" si="3"/>
        <v>18</v>
      </c>
      <c r="S8" s="69">
        <f t="shared" si="4"/>
        <v>0</v>
      </c>
      <c r="T8" s="69">
        <f t="shared" si="5"/>
        <v>18</v>
      </c>
      <c r="U8" s="69">
        <f t="shared" si="6"/>
        <v>18</v>
      </c>
      <c r="V8" s="69"/>
      <c r="W8" s="69" t="s">
        <v>656</v>
      </c>
      <c r="X8" s="69"/>
      <c r="Y8" s="69"/>
      <c r="Z8" s="69"/>
    </row>
    <row r="9">
      <c r="A9" s="69">
        <v>9.0</v>
      </c>
      <c r="B9" s="69">
        <v>9.0</v>
      </c>
      <c r="C9" s="69" t="s">
        <v>662</v>
      </c>
      <c r="D9" s="69">
        <v>0.0</v>
      </c>
      <c r="E9" s="69">
        <v>0.0</v>
      </c>
      <c r="F9" s="69">
        <v>0.105</v>
      </c>
      <c r="G9" s="69">
        <v>0.105</v>
      </c>
      <c r="H9" s="69">
        <v>0.095</v>
      </c>
      <c r="I9" s="69">
        <v>0.095</v>
      </c>
      <c r="J9" s="69">
        <v>0.5</v>
      </c>
      <c r="K9" s="69">
        <f t="shared" si="1"/>
        <v>0.4</v>
      </c>
      <c r="L9" s="69">
        <f t="shared" si="2"/>
        <v>0.9</v>
      </c>
      <c r="M9" s="69"/>
      <c r="N9" s="69">
        <v>2.0</v>
      </c>
      <c r="O9" s="69">
        <v>0.0</v>
      </c>
      <c r="P9" s="69">
        <v>1.0</v>
      </c>
      <c r="Q9" s="69"/>
      <c r="R9" s="69">
        <f t="shared" si="3"/>
        <v>36</v>
      </c>
      <c r="S9" s="69">
        <f t="shared" si="4"/>
        <v>0</v>
      </c>
      <c r="T9" s="69">
        <f t="shared" si="5"/>
        <v>18</v>
      </c>
      <c r="U9" s="69">
        <f t="shared" si="6"/>
        <v>18</v>
      </c>
      <c r="V9" s="69"/>
      <c r="W9" s="69" t="s">
        <v>656</v>
      </c>
      <c r="X9" s="69"/>
      <c r="Y9" s="69"/>
      <c r="Z9" s="69"/>
    </row>
    <row r="10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 t="s">
        <v>663</v>
      </c>
      <c r="X12" s="69" t="s">
        <v>664</v>
      </c>
      <c r="Y12" s="69"/>
      <c r="Z12" s="69"/>
    </row>
    <row r="1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 t="s">
        <v>665</v>
      </c>
      <c r="R13" s="69">
        <f t="shared" ref="R13:T13" si="7">SUM(R3:R9)</f>
        <v>221</v>
      </c>
      <c r="S13" s="69">
        <f t="shared" si="7"/>
        <v>59</v>
      </c>
      <c r="T13" s="69">
        <f t="shared" si="7"/>
        <v>85</v>
      </c>
      <c r="U13" s="69"/>
      <c r="V13" s="69"/>
      <c r="W13" s="69" t="s">
        <v>656</v>
      </c>
      <c r="X13" s="69">
        <f>SUM(U4,U5,U8,U9)</f>
        <v>68</v>
      </c>
      <c r="Y13" s="69"/>
      <c r="Z13" s="69"/>
    </row>
    <row r="14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 t="s">
        <v>654</v>
      </c>
      <c r="X14" s="69">
        <f>SUM(U3,U6)</f>
        <v>62</v>
      </c>
      <c r="Y14" s="69"/>
      <c r="Z14" s="69"/>
    </row>
    <row r="1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 t="s">
        <v>660</v>
      </c>
      <c r="X15" s="69">
        <f>U7</f>
        <v>14</v>
      </c>
      <c r="Y15" s="69"/>
      <c r="Z15" s="69"/>
    </row>
    <row r="16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5.7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68.14"/>
    <col customWidth="1" min="3" max="3" width="15.0"/>
    <col customWidth="1" min="4" max="5" width="8.71"/>
    <col customWidth="1" min="6" max="6" width="8.86"/>
    <col customWidth="1" min="7" max="26" width="8.71"/>
  </cols>
  <sheetData>
    <row r="1" ht="12.75" customHeight="1">
      <c r="A1" s="70" t="s">
        <v>2</v>
      </c>
      <c r="B1" s="71" t="s">
        <v>666</v>
      </c>
      <c r="C1" s="72" t="s">
        <v>667</v>
      </c>
      <c r="D1" s="72" t="s">
        <v>668</v>
      </c>
    </row>
    <row r="2" ht="12.75" customHeight="1">
      <c r="A2" s="48">
        <v>2.0</v>
      </c>
      <c r="B2" s="47" t="s">
        <v>669</v>
      </c>
      <c r="C2" s="73" t="s">
        <v>670</v>
      </c>
      <c r="I2" s="20" t="s">
        <v>671</v>
      </c>
      <c r="J2" s="20">
        <v>469.32</v>
      </c>
    </row>
    <row r="3" ht="12.75" customHeight="1">
      <c r="A3" s="7">
        <v>4.0</v>
      </c>
      <c r="B3" s="47" t="s">
        <v>672</v>
      </c>
      <c r="C3" s="31">
        <v>7.6</v>
      </c>
      <c r="D3" s="31" t="s">
        <v>239</v>
      </c>
      <c r="F3" s="31">
        <f t="shared" ref="F3:F31" si="1">A3*C3</f>
        <v>30.4</v>
      </c>
      <c r="I3" s="20" t="s">
        <v>673</v>
      </c>
      <c r="J3" s="20">
        <v>6.93</v>
      </c>
      <c r="K3" s="20">
        <f t="shared" ref="K3:K39" si="2">J3*A3</f>
        <v>27.72</v>
      </c>
      <c r="L3" s="20">
        <f t="shared" ref="L3:L31" si="3">IF(C3&gt;J3,1,0)</f>
        <v>1</v>
      </c>
    </row>
    <row r="4" ht="12.75" customHeight="1">
      <c r="A4" s="7">
        <v>4.0</v>
      </c>
      <c r="B4" s="47" t="s">
        <v>674</v>
      </c>
      <c r="C4" s="31">
        <v>7.79</v>
      </c>
      <c r="D4" s="31" t="s">
        <v>239</v>
      </c>
      <c r="F4" s="31">
        <f t="shared" si="1"/>
        <v>31.16</v>
      </c>
      <c r="I4" s="20" t="s">
        <v>675</v>
      </c>
      <c r="J4" s="20">
        <v>5.7</v>
      </c>
      <c r="K4" s="20">
        <f t="shared" si="2"/>
        <v>22.8</v>
      </c>
      <c r="L4" s="20">
        <f t="shared" si="3"/>
        <v>1</v>
      </c>
    </row>
    <row r="5" ht="12.75" customHeight="1">
      <c r="A5" s="7">
        <v>2.0</v>
      </c>
      <c r="B5" s="7" t="s">
        <v>676</v>
      </c>
      <c r="C5" s="31">
        <v>10.89</v>
      </c>
      <c r="D5" s="31" t="s">
        <v>239</v>
      </c>
      <c r="F5" s="31">
        <f t="shared" si="1"/>
        <v>21.78</v>
      </c>
      <c r="I5" s="20" t="s">
        <v>677</v>
      </c>
      <c r="J5" s="20">
        <v>7.65</v>
      </c>
      <c r="K5" s="20">
        <f t="shared" si="2"/>
        <v>15.3</v>
      </c>
      <c r="L5" s="20">
        <f t="shared" si="3"/>
        <v>1</v>
      </c>
    </row>
    <row r="6" ht="12.75" customHeight="1">
      <c r="A6" s="7">
        <v>1.0</v>
      </c>
      <c r="B6" s="7" t="s">
        <v>678</v>
      </c>
      <c r="C6" s="31">
        <v>16.82</v>
      </c>
      <c r="D6" s="31" t="s">
        <v>239</v>
      </c>
      <c r="F6" s="31">
        <f t="shared" si="1"/>
        <v>16.82</v>
      </c>
      <c r="I6" s="20" t="s">
        <v>679</v>
      </c>
      <c r="J6" s="20">
        <v>11.68</v>
      </c>
      <c r="K6" s="20">
        <f t="shared" si="2"/>
        <v>11.68</v>
      </c>
      <c r="L6" s="20">
        <f t="shared" si="3"/>
        <v>1</v>
      </c>
    </row>
    <row r="7" ht="12.75" customHeight="1">
      <c r="A7" s="7">
        <v>5.0</v>
      </c>
      <c r="B7" s="7" t="s">
        <v>680</v>
      </c>
      <c r="C7" s="31">
        <v>32.57</v>
      </c>
      <c r="D7" s="31" t="s">
        <v>239</v>
      </c>
      <c r="F7" s="31">
        <f t="shared" si="1"/>
        <v>162.85</v>
      </c>
      <c r="I7" s="20" t="s">
        <v>681</v>
      </c>
      <c r="J7" s="20">
        <v>23.7</v>
      </c>
      <c r="K7" s="20">
        <f t="shared" si="2"/>
        <v>118.5</v>
      </c>
      <c r="L7" s="20">
        <f t="shared" si="3"/>
        <v>1</v>
      </c>
    </row>
    <row r="8" ht="12.75" customHeight="1">
      <c r="A8" s="7">
        <v>2.0</v>
      </c>
      <c r="B8" s="7" t="s">
        <v>682</v>
      </c>
      <c r="C8" s="31">
        <v>30.14</v>
      </c>
      <c r="D8" s="31" t="s">
        <v>239</v>
      </c>
      <c r="F8" s="31">
        <f t="shared" si="1"/>
        <v>60.28</v>
      </c>
      <c r="I8" s="20" t="s">
        <v>683</v>
      </c>
      <c r="J8" s="20">
        <v>21.65</v>
      </c>
      <c r="K8" s="20">
        <f t="shared" si="2"/>
        <v>43.3</v>
      </c>
      <c r="L8" s="20">
        <f t="shared" si="3"/>
        <v>1</v>
      </c>
    </row>
    <row r="9" ht="12.75" customHeight="1">
      <c r="A9" s="7">
        <v>1.0</v>
      </c>
      <c r="B9" s="7" t="s">
        <v>684</v>
      </c>
      <c r="C9" s="31">
        <v>44.68</v>
      </c>
      <c r="D9" s="31" t="s">
        <v>239</v>
      </c>
      <c r="F9" s="31">
        <f t="shared" si="1"/>
        <v>44.68</v>
      </c>
      <c r="I9" s="20" t="s">
        <v>685</v>
      </c>
      <c r="J9" s="20">
        <v>32.47</v>
      </c>
      <c r="K9" s="20">
        <f t="shared" si="2"/>
        <v>32.47</v>
      </c>
      <c r="L9" s="20">
        <f t="shared" si="3"/>
        <v>1</v>
      </c>
    </row>
    <row r="10" ht="12.75" customHeight="1">
      <c r="A10" s="7">
        <v>4.0</v>
      </c>
      <c r="B10" s="7" t="s">
        <v>686</v>
      </c>
      <c r="C10" s="31">
        <v>41.18</v>
      </c>
      <c r="D10" s="31" t="s">
        <v>239</v>
      </c>
      <c r="F10" s="31">
        <f t="shared" si="1"/>
        <v>164.72</v>
      </c>
      <c r="I10" s="20" t="s">
        <v>687</v>
      </c>
      <c r="J10" s="20">
        <v>25.53</v>
      </c>
      <c r="K10" s="20">
        <f t="shared" si="2"/>
        <v>102.12</v>
      </c>
      <c r="L10" s="20">
        <f t="shared" si="3"/>
        <v>1</v>
      </c>
    </row>
    <row r="11" ht="12.75" customHeight="1">
      <c r="A11" s="7">
        <v>1.0</v>
      </c>
      <c r="B11" s="7" t="s">
        <v>688</v>
      </c>
      <c r="C11" s="31">
        <v>66.26</v>
      </c>
      <c r="D11" s="31" t="s">
        <v>239</v>
      </c>
      <c r="F11" s="31">
        <f t="shared" si="1"/>
        <v>66.26</v>
      </c>
      <c r="I11" s="20" t="s">
        <v>689</v>
      </c>
      <c r="J11" s="20">
        <v>44.68</v>
      </c>
      <c r="K11" s="20">
        <f t="shared" si="2"/>
        <v>44.68</v>
      </c>
      <c r="L11" s="20">
        <f t="shared" si="3"/>
        <v>1</v>
      </c>
    </row>
    <row r="12" ht="12.75" customHeight="1">
      <c r="A12" s="7">
        <v>4.0</v>
      </c>
      <c r="B12" s="47" t="s">
        <v>690</v>
      </c>
      <c r="C12" s="31">
        <v>18.28</v>
      </c>
      <c r="D12" s="31" t="s">
        <v>202</v>
      </c>
      <c r="F12" s="31">
        <f t="shared" si="1"/>
        <v>73.12</v>
      </c>
      <c r="I12" s="20" t="s">
        <v>691</v>
      </c>
      <c r="J12" s="20">
        <v>23.38</v>
      </c>
      <c r="K12" s="20">
        <f t="shared" si="2"/>
        <v>93.52</v>
      </c>
      <c r="L12" s="20">
        <f t="shared" si="3"/>
        <v>0</v>
      </c>
    </row>
    <row r="13" ht="12.75" customHeight="1">
      <c r="A13" s="7">
        <v>2.0</v>
      </c>
      <c r="B13" s="7" t="s">
        <v>692</v>
      </c>
      <c r="C13" s="31">
        <v>9.38</v>
      </c>
      <c r="D13" s="31" t="s">
        <v>239</v>
      </c>
      <c r="F13" s="31">
        <f t="shared" si="1"/>
        <v>18.76</v>
      </c>
      <c r="I13" s="20" t="s">
        <v>693</v>
      </c>
      <c r="J13" s="20">
        <v>7.53</v>
      </c>
      <c r="K13" s="20">
        <f t="shared" si="2"/>
        <v>15.06</v>
      </c>
      <c r="L13" s="20">
        <f t="shared" si="3"/>
        <v>1</v>
      </c>
    </row>
    <row r="14" ht="12.75" customHeight="1">
      <c r="A14" s="7">
        <v>1.0</v>
      </c>
      <c r="B14" s="7" t="s">
        <v>694</v>
      </c>
      <c r="C14" s="31">
        <v>17.53</v>
      </c>
      <c r="D14" s="31" t="s">
        <v>239</v>
      </c>
      <c r="F14" s="31">
        <f t="shared" si="1"/>
        <v>17.53</v>
      </c>
      <c r="I14" s="20" t="s">
        <v>695</v>
      </c>
      <c r="J14" s="20">
        <v>12.85</v>
      </c>
      <c r="K14" s="20">
        <f t="shared" si="2"/>
        <v>12.85</v>
      </c>
      <c r="L14" s="20">
        <f t="shared" si="3"/>
        <v>1</v>
      </c>
    </row>
    <row r="15" ht="12.75" customHeight="1">
      <c r="A15" s="7">
        <v>5.0</v>
      </c>
      <c r="B15" s="7" t="s">
        <v>696</v>
      </c>
      <c r="C15" s="31">
        <v>14.97</v>
      </c>
      <c r="D15" s="31" t="s">
        <v>239</v>
      </c>
      <c r="F15" s="31">
        <f t="shared" si="1"/>
        <v>74.85</v>
      </c>
      <c r="I15" s="20" t="s">
        <v>697</v>
      </c>
      <c r="J15" s="20">
        <v>11.8</v>
      </c>
      <c r="K15" s="20">
        <f t="shared" si="2"/>
        <v>59</v>
      </c>
      <c r="L15" s="20">
        <f t="shared" si="3"/>
        <v>1</v>
      </c>
    </row>
    <row r="16" ht="12.75" customHeight="1">
      <c r="A16" s="7">
        <v>1.0</v>
      </c>
      <c r="B16" s="7" t="s">
        <v>698</v>
      </c>
      <c r="C16" s="31">
        <v>28.36</v>
      </c>
      <c r="D16" s="31" t="s">
        <v>239</v>
      </c>
      <c r="F16" s="31">
        <f t="shared" si="1"/>
        <v>28.36</v>
      </c>
      <c r="I16" s="20" t="s">
        <v>699</v>
      </c>
      <c r="J16" s="20">
        <v>18.33</v>
      </c>
      <c r="K16" s="20">
        <f t="shared" si="2"/>
        <v>18.33</v>
      </c>
      <c r="L16" s="20">
        <f t="shared" si="3"/>
        <v>1</v>
      </c>
    </row>
    <row r="17" ht="12.75" customHeight="1">
      <c r="A17" s="7">
        <v>2.0</v>
      </c>
      <c r="B17" s="7" t="s">
        <v>700</v>
      </c>
      <c r="C17" s="31">
        <v>25.92</v>
      </c>
      <c r="D17" s="31" t="s">
        <v>239</v>
      </c>
      <c r="F17" s="31">
        <f t="shared" si="1"/>
        <v>51.84</v>
      </c>
      <c r="I17" s="20" t="s">
        <v>701</v>
      </c>
      <c r="J17" s="20">
        <v>18.33</v>
      </c>
      <c r="K17" s="20">
        <f t="shared" si="2"/>
        <v>36.66</v>
      </c>
      <c r="L17" s="20">
        <f t="shared" si="3"/>
        <v>1</v>
      </c>
    </row>
    <row r="18" ht="12.75" customHeight="1">
      <c r="A18" s="7">
        <v>2.0</v>
      </c>
      <c r="B18" s="7" t="s">
        <v>702</v>
      </c>
      <c r="C18" s="31">
        <v>44.18</v>
      </c>
      <c r="D18" s="31" t="s">
        <v>239</v>
      </c>
      <c r="F18" s="31">
        <f t="shared" si="1"/>
        <v>88.36</v>
      </c>
      <c r="I18" s="20" t="s">
        <v>703</v>
      </c>
      <c r="J18" s="20">
        <v>53.05</v>
      </c>
      <c r="K18" s="20">
        <f t="shared" si="2"/>
        <v>106.1</v>
      </c>
      <c r="L18" s="20">
        <f t="shared" si="3"/>
        <v>0</v>
      </c>
    </row>
    <row r="19" ht="12.75" customHeight="1">
      <c r="A19" s="7">
        <v>2.0</v>
      </c>
      <c r="B19" s="7" t="s">
        <v>704</v>
      </c>
      <c r="C19" s="31">
        <v>51.56</v>
      </c>
      <c r="D19" s="31" t="s">
        <v>239</v>
      </c>
      <c r="F19" s="31">
        <f t="shared" si="1"/>
        <v>103.12</v>
      </c>
      <c r="I19" s="20" t="s">
        <v>705</v>
      </c>
      <c r="J19" s="20">
        <v>33.85</v>
      </c>
      <c r="K19" s="20">
        <f t="shared" si="2"/>
        <v>67.7</v>
      </c>
      <c r="L19" s="20">
        <f t="shared" si="3"/>
        <v>1</v>
      </c>
    </row>
    <row r="20" ht="12.75" customHeight="1">
      <c r="A20" s="7">
        <v>4.0</v>
      </c>
      <c r="B20" s="7" t="s">
        <v>706</v>
      </c>
      <c r="C20" s="31">
        <v>11.29</v>
      </c>
      <c r="D20" s="31" t="s">
        <v>239</v>
      </c>
      <c r="F20" s="31">
        <f t="shared" si="1"/>
        <v>45.16</v>
      </c>
      <c r="I20" s="20" t="s">
        <v>707</v>
      </c>
      <c r="J20" s="20">
        <v>9.15</v>
      </c>
      <c r="K20" s="20">
        <f t="shared" si="2"/>
        <v>36.6</v>
      </c>
      <c r="L20" s="20">
        <f t="shared" si="3"/>
        <v>1</v>
      </c>
    </row>
    <row r="21" ht="12.75" customHeight="1">
      <c r="A21" s="7">
        <v>4.0</v>
      </c>
      <c r="B21" s="7" t="s">
        <v>708</v>
      </c>
      <c r="C21" s="31">
        <v>20.91</v>
      </c>
      <c r="D21" s="31" t="s">
        <v>239</v>
      </c>
      <c r="F21" s="31">
        <f t="shared" si="1"/>
        <v>83.64</v>
      </c>
      <c r="I21" s="20" t="s">
        <v>709</v>
      </c>
      <c r="J21" s="20">
        <v>13.5</v>
      </c>
      <c r="K21" s="20">
        <f t="shared" si="2"/>
        <v>54</v>
      </c>
      <c r="L21" s="20">
        <f t="shared" si="3"/>
        <v>1</v>
      </c>
    </row>
    <row r="22" ht="12.75" customHeight="1">
      <c r="A22" s="7">
        <v>2.0</v>
      </c>
      <c r="B22" s="47" t="s">
        <v>710</v>
      </c>
      <c r="C22" s="31">
        <v>18.98</v>
      </c>
      <c r="D22" s="31" t="s">
        <v>239</v>
      </c>
      <c r="F22" s="31">
        <f t="shared" si="1"/>
        <v>37.96</v>
      </c>
      <c r="I22" s="20" t="s">
        <v>711</v>
      </c>
      <c r="J22" s="20">
        <v>13.5</v>
      </c>
      <c r="K22" s="20">
        <f t="shared" si="2"/>
        <v>27</v>
      </c>
      <c r="L22" s="20">
        <f t="shared" si="3"/>
        <v>1</v>
      </c>
    </row>
    <row r="23" ht="12.75" customHeight="1">
      <c r="A23" s="7">
        <v>7.0</v>
      </c>
      <c r="B23" s="47" t="s">
        <v>712</v>
      </c>
      <c r="C23" s="31">
        <v>31.12</v>
      </c>
      <c r="D23" s="31" t="s">
        <v>239</v>
      </c>
      <c r="F23" s="31">
        <f t="shared" si="1"/>
        <v>217.84</v>
      </c>
      <c r="I23" s="20" t="s">
        <v>713</v>
      </c>
      <c r="J23" s="20">
        <v>23.03</v>
      </c>
      <c r="K23" s="20">
        <f t="shared" si="2"/>
        <v>161.21</v>
      </c>
      <c r="L23" s="20">
        <f t="shared" si="3"/>
        <v>1</v>
      </c>
    </row>
    <row r="24" ht="12.75" customHeight="1">
      <c r="A24" s="7">
        <v>1.0</v>
      </c>
      <c r="B24" s="7" t="s">
        <v>714</v>
      </c>
      <c r="C24" s="31">
        <v>32.62</v>
      </c>
      <c r="D24" s="31" t="s">
        <v>239</v>
      </c>
      <c r="F24" s="31">
        <f t="shared" si="1"/>
        <v>32.62</v>
      </c>
      <c r="I24" s="20" t="s">
        <v>715</v>
      </c>
      <c r="J24" s="20">
        <v>23.03</v>
      </c>
      <c r="K24" s="20">
        <f t="shared" si="2"/>
        <v>23.03</v>
      </c>
      <c r="L24" s="20">
        <f t="shared" si="3"/>
        <v>1</v>
      </c>
    </row>
    <row r="25" ht="12.75" customHeight="1">
      <c r="A25" s="7">
        <v>2.0</v>
      </c>
      <c r="B25" s="47" t="s">
        <v>716</v>
      </c>
      <c r="C25" s="31">
        <v>39.27</v>
      </c>
      <c r="D25" s="31" t="s">
        <v>239</v>
      </c>
      <c r="F25" s="31">
        <f t="shared" si="1"/>
        <v>78.54</v>
      </c>
      <c r="I25" s="20" t="s">
        <v>717</v>
      </c>
      <c r="J25" s="20">
        <v>28.45</v>
      </c>
      <c r="K25" s="20">
        <f t="shared" si="2"/>
        <v>56.9</v>
      </c>
      <c r="L25" s="20">
        <f t="shared" si="3"/>
        <v>1</v>
      </c>
    </row>
    <row r="26" ht="12.75" customHeight="1">
      <c r="A26" s="7">
        <v>4.0</v>
      </c>
      <c r="B26" s="7" t="s">
        <v>718</v>
      </c>
      <c r="C26" s="31">
        <v>127.65</v>
      </c>
      <c r="D26" s="31" t="s">
        <v>239</v>
      </c>
      <c r="F26" s="31">
        <f t="shared" si="1"/>
        <v>510.6</v>
      </c>
      <c r="I26" s="20" t="s">
        <v>719</v>
      </c>
      <c r="J26" s="20">
        <v>106.02</v>
      </c>
      <c r="K26" s="20">
        <f t="shared" si="2"/>
        <v>424.08</v>
      </c>
      <c r="L26" s="20">
        <f t="shared" si="3"/>
        <v>1</v>
      </c>
    </row>
    <row r="27" ht="12.75" customHeight="1">
      <c r="A27" s="7">
        <v>2.0</v>
      </c>
      <c r="B27" s="7" t="s">
        <v>720</v>
      </c>
      <c r="C27" s="31">
        <v>77.75</v>
      </c>
      <c r="D27" s="31" t="s">
        <v>239</v>
      </c>
      <c r="F27" s="31">
        <f t="shared" si="1"/>
        <v>155.5</v>
      </c>
      <c r="I27" s="20" t="s">
        <v>721</v>
      </c>
      <c r="J27" s="20">
        <v>54.55</v>
      </c>
      <c r="K27" s="20">
        <f t="shared" si="2"/>
        <v>109.1</v>
      </c>
      <c r="L27" s="20">
        <f t="shared" si="3"/>
        <v>1</v>
      </c>
    </row>
    <row r="28" ht="12.75" customHeight="1">
      <c r="A28" s="7">
        <v>1.0</v>
      </c>
      <c r="B28" s="7" t="s">
        <v>722</v>
      </c>
      <c r="C28" s="31">
        <v>77.27</v>
      </c>
      <c r="D28" s="31" t="s">
        <v>202</v>
      </c>
      <c r="F28" s="31">
        <f t="shared" si="1"/>
        <v>77.27</v>
      </c>
      <c r="I28" s="20" t="s">
        <v>723</v>
      </c>
      <c r="J28" s="20">
        <v>74.32</v>
      </c>
      <c r="K28" s="20">
        <f t="shared" si="2"/>
        <v>74.32</v>
      </c>
      <c r="L28" s="20">
        <f t="shared" si="3"/>
        <v>1</v>
      </c>
    </row>
    <row r="29" ht="12.75" customHeight="1">
      <c r="A29" s="7">
        <v>1.0</v>
      </c>
      <c r="B29" s="7" t="s">
        <v>724</v>
      </c>
      <c r="C29" s="31">
        <v>66.9</v>
      </c>
      <c r="D29" s="31" t="s">
        <v>130</v>
      </c>
      <c r="F29" s="31">
        <f t="shared" si="1"/>
        <v>66.9</v>
      </c>
      <c r="I29" s="20" t="s">
        <v>725</v>
      </c>
      <c r="J29" s="20">
        <v>94.73</v>
      </c>
      <c r="K29" s="20">
        <f t="shared" si="2"/>
        <v>94.73</v>
      </c>
      <c r="L29" s="20">
        <f t="shared" si="3"/>
        <v>0</v>
      </c>
    </row>
    <row r="30" ht="12.75" customHeight="1">
      <c r="A30" s="7">
        <v>1.0</v>
      </c>
      <c r="B30" s="47" t="s">
        <v>726</v>
      </c>
      <c r="C30" s="31">
        <v>93.84</v>
      </c>
      <c r="D30" s="31" t="s">
        <v>130</v>
      </c>
      <c r="F30" s="31">
        <f t="shared" si="1"/>
        <v>93.84</v>
      </c>
      <c r="I30" s="20" t="s">
        <v>727</v>
      </c>
      <c r="J30" s="20">
        <v>148.88</v>
      </c>
      <c r="K30" s="20">
        <f t="shared" si="2"/>
        <v>148.88</v>
      </c>
      <c r="L30" s="20">
        <f t="shared" si="3"/>
        <v>0</v>
      </c>
    </row>
    <row r="31" ht="12.75" customHeight="1">
      <c r="A31" s="7">
        <v>2.0</v>
      </c>
      <c r="B31" s="7" t="s">
        <v>728</v>
      </c>
      <c r="C31" s="31">
        <v>77.22</v>
      </c>
      <c r="D31" s="31" t="s">
        <v>130</v>
      </c>
      <c r="F31" s="31">
        <f t="shared" si="1"/>
        <v>154.44</v>
      </c>
      <c r="I31" s="20" t="s">
        <v>729</v>
      </c>
      <c r="J31" s="20">
        <v>69.65</v>
      </c>
      <c r="K31" s="20">
        <f t="shared" si="2"/>
        <v>139.3</v>
      </c>
      <c r="L31" s="20">
        <f t="shared" si="3"/>
        <v>1</v>
      </c>
    </row>
    <row r="32" ht="12.75" customHeight="1">
      <c r="A32" s="7">
        <v>1.0</v>
      </c>
      <c r="B32" s="7" t="s">
        <v>730</v>
      </c>
      <c r="C32" s="31">
        <v>100.82</v>
      </c>
      <c r="D32" s="31" t="s">
        <v>130</v>
      </c>
      <c r="K32" s="20">
        <f t="shared" si="2"/>
        <v>0</v>
      </c>
    </row>
    <row r="33" ht="12.75" customHeight="1">
      <c r="A33" s="7">
        <v>4.0</v>
      </c>
      <c r="B33" s="7" t="s">
        <v>731</v>
      </c>
      <c r="C33" s="31">
        <v>134.81</v>
      </c>
      <c r="D33" s="31" t="s">
        <v>130</v>
      </c>
      <c r="K33" s="20">
        <f t="shared" si="2"/>
        <v>0</v>
      </c>
    </row>
    <row r="34" ht="12.75" customHeight="1">
      <c r="A34" s="7">
        <v>2.0</v>
      </c>
      <c r="B34" s="7" t="s">
        <v>732</v>
      </c>
      <c r="C34" s="31">
        <v>63.77</v>
      </c>
      <c r="D34" s="31" t="s">
        <v>202</v>
      </c>
      <c r="F34" s="31">
        <f t="shared" ref="F34:F37" si="4">A34*C34</f>
        <v>127.54</v>
      </c>
      <c r="I34" s="20" t="s">
        <v>733</v>
      </c>
      <c r="J34" s="20">
        <v>60.67</v>
      </c>
      <c r="K34" s="20">
        <f t="shared" si="2"/>
        <v>121.34</v>
      </c>
      <c r="L34" s="20">
        <f t="shared" ref="L34:L37" si="5">IF(C34&gt;J34,1,0)</f>
        <v>1</v>
      </c>
    </row>
    <row r="35" ht="12.75" customHeight="1">
      <c r="A35" s="7">
        <v>4.0</v>
      </c>
      <c r="B35" s="47" t="s">
        <v>734</v>
      </c>
      <c r="C35" s="31">
        <v>26.63</v>
      </c>
      <c r="D35" s="31" t="s">
        <v>239</v>
      </c>
      <c r="F35" s="31">
        <f t="shared" si="4"/>
        <v>106.52</v>
      </c>
      <c r="I35" s="20" t="s">
        <v>735</v>
      </c>
      <c r="J35" s="20">
        <v>14.9</v>
      </c>
      <c r="K35" s="20">
        <f t="shared" si="2"/>
        <v>59.6</v>
      </c>
      <c r="L35" s="20">
        <f t="shared" si="5"/>
        <v>1</v>
      </c>
    </row>
    <row r="36" ht="12.75" customHeight="1">
      <c r="A36" s="7">
        <v>2.0</v>
      </c>
      <c r="B36" s="47" t="s">
        <v>736</v>
      </c>
      <c r="C36" s="31">
        <v>33.04</v>
      </c>
      <c r="D36" s="31" t="s">
        <v>239</v>
      </c>
      <c r="F36" s="31">
        <f t="shared" si="4"/>
        <v>66.08</v>
      </c>
      <c r="I36" s="20" t="s">
        <v>737</v>
      </c>
      <c r="J36" s="20">
        <v>17.28</v>
      </c>
      <c r="K36" s="20">
        <f t="shared" si="2"/>
        <v>34.56</v>
      </c>
      <c r="L36" s="20">
        <f t="shared" si="5"/>
        <v>1</v>
      </c>
    </row>
    <row r="37" ht="12.75" customHeight="1">
      <c r="A37" s="7">
        <v>2.0</v>
      </c>
      <c r="B37" s="47" t="s">
        <v>272</v>
      </c>
      <c r="C37" s="31">
        <v>39.92</v>
      </c>
      <c r="D37" s="31" t="s">
        <v>239</v>
      </c>
      <c r="F37" s="31">
        <f t="shared" si="4"/>
        <v>79.84</v>
      </c>
      <c r="I37" s="20" t="s">
        <v>738</v>
      </c>
      <c r="J37" s="20">
        <v>24.3</v>
      </c>
      <c r="K37" s="20">
        <f t="shared" si="2"/>
        <v>48.6</v>
      </c>
      <c r="L37" s="20">
        <f t="shared" si="5"/>
        <v>1</v>
      </c>
    </row>
    <row r="38" ht="12.75" customHeight="1">
      <c r="A38" s="7">
        <v>1.0</v>
      </c>
      <c r="B38" s="7" t="s">
        <v>739</v>
      </c>
      <c r="C38" s="31">
        <v>70.59</v>
      </c>
      <c r="D38" s="31" t="s">
        <v>239</v>
      </c>
      <c r="K38" s="20">
        <f t="shared" si="2"/>
        <v>0</v>
      </c>
    </row>
    <row r="39" ht="12.75" customHeight="1">
      <c r="A39" s="7">
        <v>3.0</v>
      </c>
      <c r="B39" s="7" t="s">
        <v>740</v>
      </c>
      <c r="C39" s="31">
        <v>66.62</v>
      </c>
      <c r="D39" s="31" t="s">
        <v>239</v>
      </c>
      <c r="K39" s="20">
        <f t="shared" si="2"/>
        <v>0</v>
      </c>
    </row>
    <row r="40" ht="12.75" customHeight="1"/>
    <row r="41" ht="12.75" customHeight="1">
      <c r="F41" s="31">
        <f>SUM(F3:F39)</f>
        <v>2989.18</v>
      </c>
      <c r="K41" s="31">
        <f>SUM(K3:K39)</f>
        <v>2441.04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3.14"/>
    <col customWidth="1" min="3" max="3" width="15.0"/>
    <col customWidth="1" min="4" max="4" width="13.29"/>
    <col customWidth="1" min="5" max="11" width="8.71"/>
    <col customWidth="1" min="12" max="12" width="4.29"/>
    <col customWidth="1" min="13" max="26" width="8.71"/>
  </cols>
  <sheetData>
    <row r="1" ht="12.75" customHeight="1">
      <c r="A1" s="70" t="s">
        <v>2</v>
      </c>
      <c r="B1" s="71" t="s">
        <v>666</v>
      </c>
      <c r="C1" s="72" t="s">
        <v>667</v>
      </c>
      <c r="D1" s="72" t="s">
        <v>668</v>
      </c>
      <c r="M1" s="20" t="s">
        <v>741</v>
      </c>
      <c r="N1" s="20" t="s">
        <v>742</v>
      </c>
    </row>
    <row r="2" ht="12.75" customHeight="1">
      <c r="A2" s="48">
        <v>2.0</v>
      </c>
      <c r="B2" s="47" t="s">
        <v>669</v>
      </c>
      <c r="C2" s="73" t="s">
        <v>670</v>
      </c>
      <c r="I2" s="20" t="s">
        <v>671</v>
      </c>
      <c r="J2" s="20">
        <v>469.32</v>
      </c>
      <c r="M2" s="20" t="s">
        <v>743</v>
      </c>
      <c r="N2" s="20" t="s">
        <v>744</v>
      </c>
    </row>
    <row r="3" ht="12.75" customHeight="1">
      <c r="A3" s="7">
        <v>4.0</v>
      </c>
      <c r="B3" s="47" t="s">
        <v>745</v>
      </c>
      <c r="C3" s="31">
        <v>7.6</v>
      </c>
      <c r="D3" s="31" t="s">
        <v>239</v>
      </c>
      <c r="F3" s="31">
        <f t="shared" ref="F3:F31" si="1">A3*C3</f>
        <v>30.4</v>
      </c>
      <c r="I3" s="20" t="s">
        <v>673</v>
      </c>
      <c r="J3" s="20">
        <v>6.93</v>
      </c>
      <c r="K3" s="20">
        <f t="shared" ref="K3:K39" si="2">J3*A3</f>
        <v>27.72</v>
      </c>
      <c r="L3" s="20">
        <f t="shared" ref="L3:L31" si="3">IF(C3&gt;J3,1,0)</f>
        <v>1</v>
      </c>
      <c r="M3" s="20" t="s">
        <v>743</v>
      </c>
      <c r="N3" s="20" t="s">
        <v>744</v>
      </c>
    </row>
    <row r="4" ht="12.75" customHeight="1">
      <c r="A4" s="7">
        <v>4.0</v>
      </c>
      <c r="B4" s="47" t="s">
        <v>746</v>
      </c>
      <c r="C4" s="31">
        <v>7.79</v>
      </c>
      <c r="D4" s="31" t="s">
        <v>239</v>
      </c>
      <c r="F4" s="31">
        <f t="shared" si="1"/>
        <v>31.16</v>
      </c>
      <c r="I4" s="20" t="s">
        <v>675</v>
      </c>
      <c r="J4" s="20">
        <v>5.7</v>
      </c>
      <c r="K4" s="20">
        <f t="shared" si="2"/>
        <v>22.8</v>
      </c>
      <c r="L4" s="20">
        <f t="shared" si="3"/>
        <v>1</v>
      </c>
      <c r="M4" s="20" t="s">
        <v>743</v>
      </c>
      <c r="N4" s="20" t="s">
        <v>744</v>
      </c>
    </row>
    <row r="5" ht="12.75" customHeight="1">
      <c r="A5" s="7">
        <v>2.0</v>
      </c>
      <c r="B5" s="7" t="s">
        <v>747</v>
      </c>
      <c r="C5" s="31">
        <v>10.89</v>
      </c>
      <c r="D5" s="31" t="s">
        <v>239</v>
      </c>
      <c r="F5" s="31">
        <f t="shared" si="1"/>
        <v>21.78</v>
      </c>
      <c r="I5" s="20" t="s">
        <v>677</v>
      </c>
      <c r="J5" s="20">
        <v>7.65</v>
      </c>
      <c r="K5" s="20">
        <f t="shared" si="2"/>
        <v>15.3</v>
      </c>
      <c r="L5" s="20">
        <f t="shared" si="3"/>
        <v>1</v>
      </c>
      <c r="M5" s="20" t="s">
        <v>743</v>
      </c>
      <c r="N5" s="20" t="s">
        <v>744</v>
      </c>
    </row>
    <row r="6" ht="12.75" customHeight="1">
      <c r="A6" s="7">
        <v>1.0</v>
      </c>
      <c r="B6" s="7" t="s">
        <v>748</v>
      </c>
      <c r="C6" s="31">
        <v>16.82</v>
      </c>
      <c r="D6" s="31" t="s">
        <v>239</v>
      </c>
      <c r="F6" s="31">
        <f t="shared" si="1"/>
        <v>16.82</v>
      </c>
      <c r="I6" s="20" t="s">
        <v>679</v>
      </c>
      <c r="J6" s="20">
        <v>11.68</v>
      </c>
      <c r="K6" s="20">
        <f t="shared" si="2"/>
        <v>11.68</v>
      </c>
      <c r="L6" s="20">
        <f t="shared" si="3"/>
        <v>1</v>
      </c>
      <c r="M6" s="20" t="s">
        <v>743</v>
      </c>
      <c r="N6" s="20" t="s">
        <v>744</v>
      </c>
    </row>
    <row r="7" ht="12.75" customHeight="1">
      <c r="A7" s="7">
        <v>5.0</v>
      </c>
      <c r="B7" s="7" t="s">
        <v>749</v>
      </c>
      <c r="C7" s="31">
        <v>32.57</v>
      </c>
      <c r="D7" s="31" t="s">
        <v>239</v>
      </c>
      <c r="F7" s="31">
        <f t="shared" si="1"/>
        <v>162.85</v>
      </c>
      <c r="I7" s="20" t="s">
        <v>681</v>
      </c>
      <c r="J7" s="20">
        <v>23.7</v>
      </c>
      <c r="K7" s="20">
        <f t="shared" si="2"/>
        <v>118.5</v>
      </c>
      <c r="L7" s="20">
        <f t="shared" si="3"/>
        <v>1</v>
      </c>
      <c r="M7" s="20" t="s">
        <v>743</v>
      </c>
      <c r="N7" s="20" t="s">
        <v>744</v>
      </c>
    </row>
    <row r="8" ht="12.75" customHeight="1">
      <c r="A8" s="7">
        <v>2.0</v>
      </c>
      <c r="B8" s="7" t="s">
        <v>750</v>
      </c>
      <c r="C8" s="31">
        <v>30.14</v>
      </c>
      <c r="D8" s="31" t="s">
        <v>239</v>
      </c>
      <c r="F8" s="31">
        <f t="shared" si="1"/>
        <v>60.28</v>
      </c>
      <c r="I8" s="20" t="s">
        <v>683</v>
      </c>
      <c r="J8" s="20">
        <v>21.65</v>
      </c>
      <c r="K8" s="20">
        <f t="shared" si="2"/>
        <v>43.3</v>
      </c>
      <c r="L8" s="20">
        <f t="shared" si="3"/>
        <v>1</v>
      </c>
      <c r="M8" s="20" t="s">
        <v>743</v>
      </c>
      <c r="N8" s="20" t="s">
        <v>744</v>
      </c>
    </row>
    <row r="9" ht="12.75" customHeight="1">
      <c r="A9" s="7">
        <v>1.0</v>
      </c>
      <c r="B9" s="7" t="s">
        <v>751</v>
      </c>
      <c r="C9" s="31">
        <v>44.68</v>
      </c>
      <c r="D9" s="31" t="s">
        <v>239</v>
      </c>
      <c r="F9" s="31">
        <f t="shared" si="1"/>
        <v>44.68</v>
      </c>
      <c r="I9" s="20" t="s">
        <v>685</v>
      </c>
      <c r="J9" s="20">
        <v>32.47</v>
      </c>
      <c r="K9" s="20">
        <f t="shared" si="2"/>
        <v>32.47</v>
      </c>
      <c r="L9" s="20">
        <f t="shared" si="3"/>
        <v>1</v>
      </c>
      <c r="M9" s="20" t="s">
        <v>743</v>
      </c>
      <c r="N9" s="20" t="s">
        <v>744</v>
      </c>
    </row>
    <row r="10" ht="12.75" customHeight="1">
      <c r="A10" s="7">
        <v>4.0</v>
      </c>
      <c r="B10" s="7" t="s">
        <v>752</v>
      </c>
      <c r="C10" s="31">
        <v>41.18</v>
      </c>
      <c r="D10" s="31" t="s">
        <v>239</v>
      </c>
      <c r="F10" s="31">
        <f t="shared" si="1"/>
        <v>164.72</v>
      </c>
      <c r="I10" s="20" t="s">
        <v>687</v>
      </c>
      <c r="J10" s="20">
        <v>25.53</v>
      </c>
      <c r="K10" s="20">
        <f t="shared" si="2"/>
        <v>102.12</v>
      </c>
      <c r="L10" s="20">
        <f t="shared" si="3"/>
        <v>1</v>
      </c>
      <c r="M10" s="20" t="s">
        <v>743</v>
      </c>
      <c r="N10" s="20" t="s">
        <v>744</v>
      </c>
    </row>
    <row r="11" ht="12.75" customHeight="1">
      <c r="A11" s="7">
        <v>1.0</v>
      </c>
      <c r="B11" s="7" t="s">
        <v>753</v>
      </c>
      <c r="C11" s="31">
        <v>66.26</v>
      </c>
      <c r="D11" s="31" t="s">
        <v>239</v>
      </c>
      <c r="F11" s="31">
        <f t="shared" si="1"/>
        <v>66.26</v>
      </c>
      <c r="I11" s="20" t="s">
        <v>689</v>
      </c>
      <c r="J11" s="20">
        <v>44.68</v>
      </c>
      <c r="K11" s="20">
        <f t="shared" si="2"/>
        <v>44.68</v>
      </c>
      <c r="L11" s="20">
        <f t="shared" si="3"/>
        <v>1</v>
      </c>
      <c r="M11" s="20" t="s">
        <v>743</v>
      </c>
      <c r="N11" s="20" t="s">
        <v>744</v>
      </c>
    </row>
    <row r="12" ht="12.75" customHeight="1">
      <c r="A12" s="7">
        <v>4.0</v>
      </c>
      <c r="B12" s="47" t="s">
        <v>754</v>
      </c>
      <c r="C12" s="31">
        <v>18.28</v>
      </c>
      <c r="D12" s="31" t="s">
        <v>202</v>
      </c>
      <c r="F12" s="31">
        <f t="shared" si="1"/>
        <v>73.12</v>
      </c>
      <c r="I12" s="20" t="s">
        <v>691</v>
      </c>
      <c r="J12" s="20">
        <v>23.38</v>
      </c>
      <c r="K12" s="20">
        <f t="shared" si="2"/>
        <v>93.52</v>
      </c>
      <c r="L12" s="20">
        <f t="shared" si="3"/>
        <v>0</v>
      </c>
      <c r="M12" s="20" t="s">
        <v>743</v>
      </c>
      <c r="N12" s="20" t="s">
        <v>744</v>
      </c>
    </row>
    <row r="13" ht="12.75" customHeight="1">
      <c r="A13" s="7">
        <v>2.0</v>
      </c>
      <c r="B13" s="7" t="s">
        <v>755</v>
      </c>
      <c r="C13" s="31">
        <v>9.38</v>
      </c>
      <c r="D13" s="31" t="s">
        <v>239</v>
      </c>
      <c r="F13" s="31">
        <f t="shared" si="1"/>
        <v>18.76</v>
      </c>
      <c r="I13" s="20" t="s">
        <v>693</v>
      </c>
      <c r="J13" s="20">
        <v>7.53</v>
      </c>
      <c r="K13" s="20">
        <f t="shared" si="2"/>
        <v>15.06</v>
      </c>
      <c r="L13" s="20">
        <f t="shared" si="3"/>
        <v>1</v>
      </c>
      <c r="M13" s="20" t="s">
        <v>743</v>
      </c>
      <c r="N13" s="20" t="s">
        <v>744</v>
      </c>
    </row>
    <row r="14" ht="12.75" customHeight="1">
      <c r="A14" s="7">
        <v>1.0</v>
      </c>
      <c r="B14" s="7" t="s">
        <v>756</v>
      </c>
      <c r="C14" s="31">
        <v>17.53</v>
      </c>
      <c r="D14" s="31" t="s">
        <v>239</v>
      </c>
      <c r="F14" s="31">
        <f t="shared" si="1"/>
        <v>17.53</v>
      </c>
      <c r="I14" s="20" t="s">
        <v>695</v>
      </c>
      <c r="J14" s="20">
        <v>12.85</v>
      </c>
      <c r="K14" s="20">
        <f t="shared" si="2"/>
        <v>12.85</v>
      </c>
      <c r="L14" s="20">
        <f t="shared" si="3"/>
        <v>1</v>
      </c>
      <c r="M14" s="20" t="s">
        <v>743</v>
      </c>
      <c r="N14" s="20" t="s">
        <v>744</v>
      </c>
    </row>
    <row r="15" ht="12.75" customHeight="1">
      <c r="A15" s="7">
        <v>5.0</v>
      </c>
      <c r="B15" s="7" t="s">
        <v>757</v>
      </c>
      <c r="C15" s="31">
        <v>14.97</v>
      </c>
      <c r="D15" s="31" t="s">
        <v>239</v>
      </c>
      <c r="F15" s="31">
        <f t="shared" si="1"/>
        <v>74.85</v>
      </c>
      <c r="I15" s="20" t="s">
        <v>697</v>
      </c>
      <c r="J15" s="20">
        <v>11.8</v>
      </c>
      <c r="K15" s="20">
        <f t="shared" si="2"/>
        <v>59</v>
      </c>
      <c r="L15" s="20">
        <f t="shared" si="3"/>
        <v>1</v>
      </c>
      <c r="M15" s="20" t="s">
        <v>743</v>
      </c>
      <c r="N15" s="20" t="s">
        <v>744</v>
      </c>
    </row>
    <row r="16" ht="12.75" customHeight="1">
      <c r="A16" s="7">
        <v>1.0</v>
      </c>
      <c r="B16" s="7" t="s">
        <v>758</v>
      </c>
      <c r="C16" s="31">
        <v>28.36</v>
      </c>
      <c r="D16" s="31" t="s">
        <v>239</v>
      </c>
      <c r="F16" s="31">
        <f t="shared" si="1"/>
        <v>28.36</v>
      </c>
      <c r="I16" s="20" t="s">
        <v>699</v>
      </c>
      <c r="J16" s="20">
        <v>18.33</v>
      </c>
      <c r="K16" s="20">
        <f t="shared" si="2"/>
        <v>18.33</v>
      </c>
      <c r="L16" s="20">
        <f t="shared" si="3"/>
        <v>1</v>
      </c>
      <c r="M16" s="20" t="s">
        <v>743</v>
      </c>
      <c r="N16" s="20" t="s">
        <v>744</v>
      </c>
    </row>
    <row r="17" ht="12.75" customHeight="1">
      <c r="A17" s="7">
        <v>2.0</v>
      </c>
      <c r="B17" s="7" t="s">
        <v>759</v>
      </c>
      <c r="C17" s="31">
        <v>25.92</v>
      </c>
      <c r="D17" s="31" t="s">
        <v>239</v>
      </c>
      <c r="F17" s="31">
        <f t="shared" si="1"/>
        <v>51.84</v>
      </c>
      <c r="I17" s="20" t="s">
        <v>701</v>
      </c>
      <c r="J17" s="20">
        <v>18.33</v>
      </c>
      <c r="K17" s="20">
        <f t="shared" si="2"/>
        <v>36.66</v>
      </c>
      <c r="L17" s="20">
        <f t="shared" si="3"/>
        <v>1</v>
      </c>
      <c r="M17" s="20" t="s">
        <v>743</v>
      </c>
      <c r="N17" s="20" t="s">
        <v>744</v>
      </c>
    </row>
    <row r="18" ht="12.75" customHeight="1">
      <c r="A18" s="7">
        <v>2.0</v>
      </c>
      <c r="B18" s="7" t="s">
        <v>702</v>
      </c>
      <c r="C18" s="31">
        <v>44.18</v>
      </c>
      <c r="D18" s="31" t="s">
        <v>239</v>
      </c>
      <c r="F18" s="31">
        <f t="shared" si="1"/>
        <v>88.36</v>
      </c>
      <c r="I18" s="20" t="s">
        <v>703</v>
      </c>
      <c r="J18" s="20">
        <v>53.05</v>
      </c>
      <c r="K18" s="20">
        <f t="shared" si="2"/>
        <v>106.1</v>
      </c>
      <c r="L18" s="20">
        <f t="shared" si="3"/>
        <v>0</v>
      </c>
      <c r="M18" s="20" t="s">
        <v>760</v>
      </c>
      <c r="N18" s="20" t="s">
        <v>744</v>
      </c>
    </row>
    <row r="19" ht="12.75" customHeight="1">
      <c r="A19" s="7">
        <v>2.0</v>
      </c>
      <c r="B19" s="7" t="s">
        <v>761</v>
      </c>
      <c r="C19" s="31">
        <v>51.56</v>
      </c>
      <c r="D19" s="31" t="s">
        <v>239</v>
      </c>
      <c r="F19" s="31">
        <f t="shared" si="1"/>
        <v>103.12</v>
      </c>
      <c r="I19" s="20" t="s">
        <v>705</v>
      </c>
      <c r="J19" s="20">
        <v>33.85</v>
      </c>
      <c r="K19" s="20">
        <f t="shared" si="2"/>
        <v>67.7</v>
      </c>
      <c r="L19" s="20">
        <f t="shared" si="3"/>
        <v>1</v>
      </c>
      <c r="M19" s="20" t="s">
        <v>743</v>
      </c>
      <c r="N19" s="20" t="s">
        <v>744</v>
      </c>
    </row>
    <row r="20" ht="12.75" customHeight="1">
      <c r="A20" s="7">
        <v>4.0</v>
      </c>
      <c r="B20" s="7" t="s">
        <v>762</v>
      </c>
      <c r="C20" s="31">
        <v>11.29</v>
      </c>
      <c r="D20" s="31" t="s">
        <v>239</v>
      </c>
      <c r="F20" s="31">
        <f t="shared" si="1"/>
        <v>45.16</v>
      </c>
      <c r="I20" s="20" t="s">
        <v>707</v>
      </c>
      <c r="J20" s="20">
        <v>9.15</v>
      </c>
      <c r="K20" s="20">
        <f t="shared" si="2"/>
        <v>36.6</v>
      </c>
      <c r="L20" s="20">
        <f t="shared" si="3"/>
        <v>1</v>
      </c>
      <c r="M20" s="20" t="s">
        <v>743</v>
      </c>
      <c r="N20" s="20" t="s">
        <v>744</v>
      </c>
    </row>
    <row r="21" ht="12.75" customHeight="1">
      <c r="A21" s="7">
        <v>4.0</v>
      </c>
      <c r="B21" s="7" t="s">
        <v>763</v>
      </c>
      <c r="C21" s="31">
        <v>20.91</v>
      </c>
      <c r="D21" s="31" t="s">
        <v>239</v>
      </c>
      <c r="F21" s="31">
        <f t="shared" si="1"/>
        <v>83.64</v>
      </c>
      <c r="I21" s="20" t="s">
        <v>709</v>
      </c>
      <c r="J21" s="20">
        <v>13.5</v>
      </c>
      <c r="K21" s="20">
        <f t="shared" si="2"/>
        <v>54</v>
      </c>
      <c r="L21" s="20">
        <f t="shared" si="3"/>
        <v>1</v>
      </c>
      <c r="M21" s="20" t="s">
        <v>743</v>
      </c>
      <c r="N21" s="20" t="s">
        <v>744</v>
      </c>
    </row>
    <row r="22" ht="12.75" customHeight="1">
      <c r="A22" s="7">
        <v>2.0</v>
      </c>
      <c r="B22" s="47" t="s">
        <v>764</v>
      </c>
      <c r="C22" s="31">
        <v>18.98</v>
      </c>
      <c r="D22" s="31" t="s">
        <v>239</v>
      </c>
      <c r="F22" s="31">
        <f t="shared" si="1"/>
        <v>37.96</v>
      </c>
      <c r="I22" s="20" t="s">
        <v>711</v>
      </c>
      <c r="J22" s="20">
        <v>13.5</v>
      </c>
      <c r="K22" s="20">
        <f t="shared" si="2"/>
        <v>27</v>
      </c>
      <c r="L22" s="20">
        <f t="shared" si="3"/>
        <v>1</v>
      </c>
      <c r="M22" s="20" t="s">
        <v>743</v>
      </c>
      <c r="N22" s="20" t="s">
        <v>744</v>
      </c>
    </row>
    <row r="23" ht="12.75" customHeight="1">
      <c r="A23" s="7">
        <v>7.0</v>
      </c>
      <c r="B23" s="47" t="s">
        <v>765</v>
      </c>
      <c r="C23" s="31">
        <v>31.12</v>
      </c>
      <c r="D23" s="31" t="s">
        <v>239</v>
      </c>
      <c r="F23" s="31">
        <f t="shared" si="1"/>
        <v>217.84</v>
      </c>
      <c r="I23" s="20" t="s">
        <v>713</v>
      </c>
      <c r="J23" s="20">
        <v>23.03</v>
      </c>
      <c r="K23" s="20">
        <f t="shared" si="2"/>
        <v>161.21</v>
      </c>
      <c r="L23" s="20">
        <f t="shared" si="3"/>
        <v>1</v>
      </c>
      <c r="M23" s="20" t="s">
        <v>743</v>
      </c>
      <c r="N23" s="20" t="s">
        <v>744</v>
      </c>
    </row>
    <row r="24" ht="12.75" customHeight="1">
      <c r="A24" s="7">
        <v>1.0</v>
      </c>
      <c r="B24" s="7" t="s">
        <v>766</v>
      </c>
      <c r="C24" s="31">
        <v>32.62</v>
      </c>
      <c r="D24" s="31" t="s">
        <v>239</v>
      </c>
      <c r="F24" s="31">
        <f t="shared" si="1"/>
        <v>32.62</v>
      </c>
      <c r="I24" s="20" t="s">
        <v>715</v>
      </c>
      <c r="J24" s="20">
        <v>23.03</v>
      </c>
      <c r="K24" s="20">
        <f t="shared" si="2"/>
        <v>23.03</v>
      </c>
      <c r="L24" s="20">
        <f t="shared" si="3"/>
        <v>1</v>
      </c>
      <c r="M24" s="20" t="s">
        <v>743</v>
      </c>
      <c r="N24" s="20" t="s">
        <v>744</v>
      </c>
    </row>
    <row r="25" ht="12.75" customHeight="1">
      <c r="A25" s="7">
        <v>2.0</v>
      </c>
      <c r="B25" s="47" t="s">
        <v>767</v>
      </c>
      <c r="C25" s="31">
        <v>39.27</v>
      </c>
      <c r="D25" s="31" t="s">
        <v>239</v>
      </c>
      <c r="F25" s="31">
        <f t="shared" si="1"/>
        <v>78.54</v>
      </c>
      <c r="I25" s="20" t="s">
        <v>717</v>
      </c>
      <c r="J25" s="20">
        <v>28.45</v>
      </c>
      <c r="K25" s="20">
        <f t="shared" si="2"/>
        <v>56.9</v>
      </c>
      <c r="L25" s="20">
        <f t="shared" si="3"/>
        <v>1</v>
      </c>
      <c r="M25" s="20" t="s">
        <v>743</v>
      </c>
      <c r="N25" s="20" t="s">
        <v>744</v>
      </c>
    </row>
    <row r="26" ht="12.75" customHeight="1">
      <c r="A26" s="7">
        <v>4.0</v>
      </c>
      <c r="B26" s="7" t="s">
        <v>768</v>
      </c>
      <c r="C26" s="31">
        <v>127.65</v>
      </c>
      <c r="D26" s="31" t="s">
        <v>239</v>
      </c>
      <c r="F26" s="31">
        <f t="shared" si="1"/>
        <v>510.6</v>
      </c>
      <c r="I26" s="20" t="s">
        <v>719</v>
      </c>
      <c r="J26" s="20">
        <v>106.02</v>
      </c>
      <c r="K26" s="20">
        <f t="shared" si="2"/>
        <v>424.08</v>
      </c>
      <c r="L26" s="20">
        <f t="shared" si="3"/>
        <v>1</v>
      </c>
      <c r="M26" s="20" t="s">
        <v>743</v>
      </c>
      <c r="N26" s="20" t="s">
        <v>744</v>
      </c>
    </row>
    <row r="27" ht="12.75" customHeight="1">
      <c r="A27" s="7">
        <v>2.0</v>
      </c>
      <c r="B27" s="7" t="s">
        <v>769</v>
      </c>
      <c r="C27" s="31">
        <v>77.75</v>
      </c>
      <c r="D27" s="31" t="s">
        <v>239</v>
      </c>
      <c r="F27" s="31">
        <f t="shared" si="1"/>
        <v>155.5</v>
      </c>
      <c r="I27" s="20" t="s">
        <v>721</v>
      </c>
      <c r="J27" s="20">
        <v>54.55</v>
      </c>
      <c r="K27" s="20">
        <f t="shared" si="2"/>
        <v>109.1</v>
      </c>
      <c r="L27" s="20">
        <f t="shared" si="3"/>
        <v>1</v>
      </c>
      <c r="M27" s="20" t="s">
        <v>743</v>
      </c>
      <c r="N27" s="20" t="s">
        <v>744</v>
      </c>
    </row>
    <row r="28" ht="12.75" customHeight="1">
      <c r="A28" s="7">
        <v>1.0</v>
      </c>
      <c r="B28" s="7" t="s">
        <v>770</v>
      </c>
      <c r="C28" s="31">
        <v>77.27</v>
      </c>
      <c r="D28" s="31" t="s">
        <v>202</v>
      </c>
      <c r="F28" s="31">
        <f t="shared" si="1"/>
        <v>77.27</v>
      </c>
      <c r="I28" s="20" t="s">
        <v>723</v>
      </c>
      <c r="J28" s="20">
        <v>74.32</v>
      </c>
      <c r="K28" s="20">
        <f t="shared" si="2"/>
        <v>74.32</v>
      </c>
      <c r="L28" s="20">
        <f t="shared" si="3"/>
        <v>1</v>
      </c>
      <c r="M28" s="20" t="s">
        <v>743</v>
      </c>
      <c r="N28" s="20" t="s">
        <v>744</v>
      </c>
    </row>
    <row r="29" ht="12.75" customHeight="1">
      <c r="A29" s="7">
        <v>1.0</v>
      </c>
      <c r="B29" s="7" t="s">
        <v>771</v>
      </c>
      <c r="C29" s="31">
        <v>66.9</v>
      </c>
      <c r="D29" s="31" t="s">
        <v>130</v>
      </c>
      <c r="F29" s="31">
        <f t="shared" si="1"/>
        <v>66.9</v>
      </c>
      <c r="I29" s="20" t="s">
        <v>725</v>
      </c>
      <c r="J29" s="20">
        <v>94.73</v>
      </c>
      <c r="K29" s="20">
        <f t="shared" si="2"/>
        <v>94.73</v>
      </c>
      <c r="L29" s="20">
        <f t="shared" si="3"/>
        <v>0</v>
      </c>
      <c r="M29" s="20" t="s">
        <v>772</v>
      </c>
      <c r="N29" s="20" t="s">
        <v>744</v>
      </c>
    </row>
    <row r="30" ht="12.75" customHeight="1">
      <c r="A30" s="7">
        <v>1.0</v>
      </c>
      <c r="B30" s="47" t="s">
        <v>773</v>
      </c>
      <c r="C30" s="31">
        <v>93.84</v>
      </c>
      <c r="D30" s="31" t="s">
        <v>130</v>
      </c>
      <c r="F30" s="31">
        <f t="shared" si="1"/>
        <v>93.84</v>
      </c>
      <c r="I30" s="20" t="s">
        <v>727</v>
      </c>
      <c r="J30" s="20">
        <v>148.88</v>
      </c>
      <c r="K30" s="20">
        <f t="shared" si="2"/>
        <v>148.88</v>
      </c>
      <c r="L30" s="20">
        <f t="shared" si="3"/>
        <v>0</v>
      </c>
      <c r="M30" s="20" t="s">
        <v>772</v>
      </c>
      <c r="N30" s="20" t="s">
        <v>744</v>
      </c>
    </row>
    <row r="31" ht="12.75" customHeight="1">
      <c r="A31" s="7">
        <v>2.0</v>
      </c>
      <c r="B31" s="7" t="s">
        <v>774</v>
      </c>
      <c r="C31" s="31">
        <v>77.22</v>
      </c>
      <c r="D31" s="31" t="s">
        <v>130</v>
      </c>
      <c r="F31" s="31">
        <f t="shared" si="1"/>
        <v>154.44</v>
      </c>
      <c r="I31" s="20" t="s">
        <v>729</v>
      </c>
      <c r="J31" s="20">
        <v>69.65</v>
      </c>
      <c r="K31" s="20">
        <f t="shared" si="2"/>
        <v>139.3</v>
      </c>
      <c r="L31" s="20">
        <f t="shared" si="3"/>
        <v>1</v>
      </c>
      <c r="M31" s="20" t="s">
        <v>743</v>
      </c>
      <c r="N31" s="20" t="s">
        <v>744</v>
      </c>
    </row>
    <row r="32" ht="12.75" customHeight="1">
      <c r="A32" s="7">
        <v>1.0</v>
      </c>
      <c r="B32" s="7" t="s">
        <v>775</v>
      </c>
      <c r="C32" s="31">
        <v>100.82</v>
      </c>
      <c r="D32" s="31" t="s">
        <v>130</v>
      </c>
      <c r="K32" s="20">
        <f t="shared" si="2"/>
        <v>0</v>
      </c>
      <c r="M32" s="20" t="s">
        <v>772</v>
      </c>
      <c r="N32" s="20" t="s">
        <v>744</v>
      </c>
    </row>
    <row r="33" ht="12.75" customHeight="1">
      <c r="A33" s="7">
        <v>4.0</v>
      </c>
      <c r="B33" s="7" t="s">
        <v>776</v>
      </c>
      <c r="C33" s="31">
        <v>134.81</v>
      </c>
      <c r="D33" s="31" t="s">
        <v>130</v>
      </c>
      <c r="K33" s="20">
        <f t="shared" si="2"/>
        <v>0</v>
      </c>
      <c r="M33" s="20" t="s">
        <v>772</v>
      </c>
      <c r="N33" s="20" t="s">
        <v>744</v>
      </c>
    </row>
    <row r="34" ht="12.75" customHeight="1">
      <c r="A34" s="7">
        <v>2.0</v>
      </c>
      <c r="B34" s="7" t="s">
        <v>777</v>
      </c>
      <c r="C34" s="31">
        <v>63.77</v>
      </c>
      <c r="D34" s="31" t="s">
        <v>202</v>
      </c>
      <c r="F34" s="31">
        <f t="shared" ref="F34:F37" si="4">A34*C34</f>
        <v>127.54</v>
      </c>
      <c r="I34" s="20" t="s">
        <v>733</v>
      </c>
      <c r="J34" s="20">
        <v>60.67</v>
      </c>
      <c r="K34" s="20">
        <f t="shared" si="2"/>
        <v>121.34</v>
      </c>
      <c r="L34" s="20">
        <f t="shared" ref="L34:L37" si="5">IF(C34&gt;J34,1,0)</f>
        <v>1</v>
      </c>
      <c r="M34" s="20" t="s">
        <v>743</v>
      </c>
      <c r="N34" s="20" t="s">
        <v>744</v>
      </c>
    </row>
    <row r="35" ht="12.75" customHeight="1">
      <c r="A35" s="7">
        <v>4.0</v>
      </c>
      <c r="B35" s="47" t="s">
        <v>778</v>
      </c>
      <c r="C35" s="31">
        <v>26.63</v>
      </c>
      <c r="D35" s="31" t="s">
        <v>239</v>
      </c>
      <c r="F35" s="31">
        <f t="shared" si="4"/>
        <v>106.52</v>
      </c>
      <c r="I35" s="20" t="s">
        <v>735</v>
      </c>
      <c r="J35" s="20">
        <v>14.9</v>
      </c>
      <c r="K35" s="20">
        <f t="shared" si="2"/>
        <v>59.6</v>
      </c>
      <c r="L35" s="20">
        <f t="shared" si="5"/>
        <v>1</v>
      </c>
      <c r="M35" s="20" t="s">
        <v>743</v>
      </c>
      <c r="N35" s="20" t="s">
        <v>744</v>
      </c>
    </row>
    <row r="36" ht="12.75" customHeight="1">
      <c r="A36" s="7">
        <v>2.0</v>
      </c>
      <c r="B36" s="47" t="s">
        <v>779</v>
      </c>
      <c r="C36" s="31">
        <v>33.04</v>
      </c>
      <c r="D36" s="31" t="s">
        <v>239</v>
      </c>
      <c r="F36" s="31">
        <f t="shared" si="4"/>
        <v>66.08</v>
      </c>
      <c r="I36" s="20" t="s">
        <v>737</v>
      </c>
      <c r="J36" s="20">
        <v>17.28</v>
      </c>
      <c r="K36" s="20">
        <f t="shared" si="2"/>
        <v>34.56</v>
      </c>
      <c r="L36" s="20">
        <f t="shared" si="5"/>
        <v>1</v>
      </c>
      <c r="M36" s="20" t="s">
        <v>743</v>
      </c>
      <c r="N36" s="20" t="s">
        <v>744</v>
      </c>
    </row>
    <row r="37" ht="12.75" customHeight="1">
      <c r="A37" s="7">
        <v>2.0</v>
      </c>
      <c r="B37" s="47" t="s">
        <v>780</v>
      </c>
      <c r="C37" s="31">
        <v>39.92</v>
      </c>
      <c r="D37" s="31" t="s">
        <v>239</v>
      </c>
      <c r="F37" s="31">
        <f t="shared" si="4"/>
        <v>79.84</v>
      </c>
      <c r="I37" s="20" t="s">
        <v>738</v>
      </c>
      <c r="J37" s="20">
        <v>24.3</v>
      </c>
      <c r="K37" s="20">
        <f t="shared" si="2"/>
        <v>48.6</v>
      </c>
      <c r="L37" s="20">
        <f t="shared" si="5"/>
        <v>1</v>
      </c>
      <c r="M37" s="20" t="s">
        <v>743</v>
      </c>
      <c r="N37" s="20" t="s">
        <v>744</v>
      </c>
    </row>
    <row r="38" ht="12.75" customHeight="1">
      <c r="A38" s="7">
        <v>1.0</v>
      </c>
      <c r="B38" s="7" t="s">
        <v>739</v>
      </c>
      <c r="C38" s="31">
        <v>70.59</v>
      </c>
      <c r="D38" s="31" t="s">
        <v>239</v>
      </c>
      <c r="K38" s="20">
        <f t="shared" si="2"/>
        <v>0</v>
      </c>
      <c r="M38" s="20" t="s">
        <v>760</v>
      </c>
      <c r="N38" s="20" t="s">
        <v>744</v>
      </c>
    </row>
    <row r="39" ht="12.75" customHeight="1">
      <c r="A39" s="7">
        <v>3.0</v>
      </c>
      <c r="B39" s="7" t="s">
        <v>740</v>
      </c>
      <c r="C39" s="31">
        <v>66.62</v>
      </c>
      <c r="D39" s="31" t="s">
        <v>239</v>
      </c>
      <c r="K39" s="20">
        <f t="shared" si="2"/>
        <v>0</v>
      </c>
      <c r="M39" s="20" t="s">
        <v>760</v>
      </c>
      <c r="N39" s="20" t="s">
        <v>744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5.29"/>
    <col customWidth="1" min="2" max="2" width="19.29"/>
    <col customWidth="1" min="3" max="3" width="10.14"/>
    <col customWidth="1" min="4" max="4" width="9.86"/>
    <col customWidth="1" min="5" max="5" width="13.86"/>
    <col customWidth="1" min="6" max="6" width="17.29"/>
    <col customWidth="1" min="7" max="7" width="23.29"/>
    <col customWidth="1" min="8" max="8" width="13.29"/>
    <col customWidth="1" min="9" max="9" width="30.86"/>
    <col customWidth="1" min="10" max="11" width="11.29"/>
    <col customWidth="1" min="12" max="14" width="13.29"/>
    <col customWidth="1" min="15" max="26" width="14.29"/>
  </cols>
  <sheetData>
    <row r="1" ht="12.75" customHeight="1">
      <c r="A1" s="71" t="s">
        <v>0</v>
      </c>
      <c r="B1" s="72" t="s">
        <v>1</v>
      </c>
      <c r="C1" s="70" t="s">
        <v>2</v>
      </c>
      <c r="D1" s="74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</row>
    <row r="2" ht="12.75" customHeight="1">
      <c r="A2" s="76" t="s">
        <v>351</v>
      </c>
      <c r="B2" s="10">
        <v>943.0</v>
      </c>
      <c r="C2" s="77">
        <v>1.0</v>
      </c>
      <c r="D2" s="78">
        <f t="shared" ref="D2:D6" si="1">C2*B2</f>
        <v>943</v>
      </c>
      <c r="E2" s="79">
        <v>45142.0</v>
      </c>
      <c r="F2" s="80" t="s">
        <v>347</v>
      </c>
      <c r="G2" s="77" t="s">
        <v>352</v>
      </c>
      <c r="H2" s="80" t="s">
        <v>347</v>
      </c>
      <c r="I2" s="77" t="s">
        <v>352</v>
      </c>
      <c r="J2" s="7" t="s">
        <v>47</v>
      </c>
    </row>
    <row r="3" ht="12.75" customHeight="1">
      <c r="A3" s="76" t="s">
        <v>353</v>
      </c>
      <c r="B3" s="10">
        <v>718.0</v>
      </c>
      <c r="C3" s="77">
        <v>1.0</v>
      </c>
      <c r="D3" s="78">
        <f t="shared" si="1"/>
        <v>718</v>
      </c>
      <c r="E3" s="79">
        <v>45142.0</v>
      </c>
      <c r="F3" s="80" t="s">
        <v>347</v>
      </c>
      <c r="G3" s="77" t="s">
        <v>354</v>
      </c>
      <c r="H3" s="80" t="s">
        <v>347</v>
      </c>
      <c r="I3" s="77" t="s">
        <v>354</v>
      </c>
      <c r="J3" s="7" t="s">
        <v>47</v>
      </c>
    </row>
    <row r="4" ht="12.75" customHeight="1">
      <c r="A4" s="76" t="s">
        <v>349</v>
      </c>
      <c r="B4" s="10">
        <v>1053.0</v>
      </c>
      <c r="C4" s="77">
        <v>1.0</v>
      </c>
      <c r="D4" s="78">
        <f t="shared" si="1"/>
        <v>1053</v>
      </c>
      <c r="E4" s="79">
        <v>45142.0</v>
      </c>
      <c r="F4" s="80" t="s">
        <v>347</v>
      </c>
      <c r="G4" s="77" t="s">
        <v>350</v>
      </c>
      <c r="H4" s="80" t="s">
        <v>347</v>
      </c>
      <c r="I4" s="77" t="s">
        <v>350</v>
      </c>
      <c r="J4" s="7" t="s">
        <v>47</v>
      </c>
    </row>
    <row r="5" ht="12.75" customHeight="1">
      <c r="A5" s="76" t="s">
        <v>346</v>
      </c>
      <c r="B5" s="10">
        <v>1215.0</v>
      </c>
      <c r="C5" s="77">
        <v>1.0</v>
      </c>
      <c r="D5" s="78">
        <f t="shared" si="1"/>
        <v>1215</v>
      </c>
      <c r="E5" s="79">
        <v>45142.0</v>
      </c>
      <c r="F5" s="80" t="s">
        <v>347</v>
      </c>
      <c r="G5" s="77" t="s">
        <v>348</v>
      </c>
      <c r="H5" s="80" t="s">
        <v>347</v>
      </c>
      <c r="I5" s="77" t="s">
        <v>348</v>
      </c>
      <c r="J5" s="7" t="s">
        <v>47</v>
      </c>
    </row>
    <row r="6" ht="12.75" customHeight="1">
      <c r="A6" s="15" t="s">
        <v>781</v>
      </c>
      <c r="B6" s="10">
        <v>22.0</v>
      </c>
      <c r="C6" s="16">
        <v>1.0</v>
      </c>
      <c r="D6" s="78">
        <f t="shared" si="1"/>
        <v>22</v>
      </c>
      <c r="E6" s="7"/>
      <c r="F6" s="7" t="s">
        <v>51</v>
      </c>
      <c r="G6" s="16" t="s">
        <v>782</v>
      </c>
      <c r="H6" s="16" t="s">
        <v>114</v>
      </c>
      <c r="I6" s="16" t="s">
        <v>783</v>
      </c>
      <c r="J6" s="7"/>
    </row>
    <row r="7" ht="12.75" customHeight="1">
      <c r="A7" s="15" t="s">
        <v>267</v>
      </c>
      <c r="B7" s="10">
        <v>234.99</v>
      </c>
      <c r="C7" s="16">
        <v>6.0</v>
      </c>
      <c r="D7" s="17">
        <f t="shared" ref="D7:D8" si="2">B7*C7</f>
        <v>1409.94</v>
      </c>
      <c r="E7" s="22">
        <v>45191.0</v>
      </c>
      <c r="F7" s="16" t="s">
        <v>51</v>
      </c>
      <c r="G7" s="16"/>
      <c r="H7" s="16" t="s">
        <v>268</v>
      </c>
      <c r="I7" s="16" t="s">
        <v>269</v>
      </c>
      <c r="J7" s="7"/>
    </row>
    <row r="8" ht="12.75" customHeight="1">
      <c r="A8" s="15" t="s">
        <v>441</v>
      </c>
      <c r="B8" s="10">
        <v>120.0</v>
      </c>
      <c r="C8" s="16">
        <v>1.0</v>
      </c>
      <c r="D8" s="17">
        <f t="shared" si="2"/>
        <v>120</v>
      </c>
      <c r="F8" s="16" t="s">
        <v>51</v>
      </c>
      <c r="H8" s="16" t="s">
        <v>442</v>
      </c>
      <c r="J8" s="7" t="s">
        <v>444</v>
      </c>
    </row>
    <row r="9" ht="12.75" customHeight="1">
      <c r="A9" s="15" t="s">
        <v>121</v>
      </c>
      <c r="B9" s="10">
        <v>177.89</v>
      </c>
      <c r="C9" s="16">
        <v>1.0</v>
      </c>
      <c r="D9" s="78">
        <f t="shared" ref="D9:D20" si="3">C9*B9</f>
        <v>177.89</v>
      </c>
      <c r="E9" s="7"/>
      <c r="F9" s="16" t="s">
        <v>51</v>
      </c>
      <c r="G9" s="16"/>
      <c r="H9" s="16" t="s">
        <v>122</v>
      </c>
      <c r="I9" s="16" t="s">
        <v>123</v>
      </c>
      <c r="J9" s="16"/>
    </row>
    <row r="10" ht="12.75" customHeight="1">
      <c r="A10" s="15" t="s">
        <v>429</v>
      </c>
      <c r="B10" s="10">
        <v>1152.24</v>
      </c>
      <c r="C10" s="16">
        <v>1.0</v>
      </c>
      <c r="D10" s="78">
        <f t="shared" si="3"/>
        <v>1152.24</v>
      </c>
      <c r="E10" s="22">
        <v>45302.0</v>
      </c>
      <c r="F10" s="16" t="s">
        <v>162</v>
      </c>
      <c r="G10" s="16">
        <v>216143.0</v>
      </c>
      <c r="H10" s="7" t="s">
        <v>430</v>
      </c>
      <c r="I10" s="7"/>
      <c r="J10" s="81"/>
    </row>
    <row r="11" ht="12.75" customHeight="1">
      <c r="A11" s="15" t="s">
        <v>457</v>
      </c>
      <c r="B11" s="10">
        <v>9706.93</v>
      </c>
      <c r="C11" s="16">
        <v>1.0</v>
      </c>
      <c r="D11" s="78">
        <f t="shared" si="3"/>
        <v>9706.93</v>
      </c>
      <c r="E11" s="22">
        <v>45302.0</v>
      </c>
      <c r="F11" s="16" t="s">
        <v>162</v>
      </c>
      <c r="G11" s="7" t="s">
        <v>458</v>
      </c>
      <c r="H11" s="16" t="s">
        <v>162</v>
      </c>
      <c r="J11" s="7" t="s">
        <v>459</v>
      </c>
    </row>
    <row r="12" ht="12.75" customHeight="1">
      <c r="A12" s="76" t="s">
        <v>536</v>
      </c>
      <c r="B12" s="10">
        <v>359.0</v>
      </c>
      <c r="C12" s="77">
        <v>1.0</v>
      </c>
      <c r="D12" s="78">
        <f t="shared" si="3"/>
        <v>359</v>
      </c>
      <c r="E12" s="79">
        <v>45142.0</v>
      </c>
      <c r="F12" s="80" t="s">
        <v>532</v>
      </c>
      <c r="G12" s="77" t="s">
        <v>533</v>
      </c>
      <c r="H12" s="77" t="s">
        <v>534</v>
      </c>
      <c r="I12" s="80" t="s">
        <v>535</v>
      </c>
      <c r="J12" s="7" t="s">
        <v>47</v>
      </c>
    </row>
    <row r="13" ht="12.75" customHeight="1">
      <c r="A13" s="76" t="s">
        <v>531</v>
      </c>
      <c r="B13" s="10">
        <v>359.0</v>
      </c>
      <c r="C13" s="77">
        <v>1.0</v>
      </c>
      <c r="D13" s="78">
        <f t="shared" si="3"/>
        <v>359</v>
      </c>
      <c r="E13" s="79">
        <v>45142.0</v>
      </c>
      <c r="F13" s="80" t="s">
        <v>532</v>
      </c>
      <c r="G13" s="77" t="s">
        <v>533</v>
      </c>
      <c r="H13" s="77" t="s">
        <v>534</v>
      </c>
      <c r="I13" s="80" t="s">
        <v>535</v>
      </c>
      <c r="J13" s="7" t="s">
        <v>47</v>
      </c>
    </row>
    <row r="14" ht="12.75" customHeight="1">
      <c r="A14" s="82" t="s">
        <v>219</v>
      </c>
      <c r="B14" s="10">
        <v>1484.51</v>
      </c>
      <c r="C14" s="83">
        <v>1.0</v>
      </c>
      <c r="D14" s="78">
        <f t="shared" si="3"/>
        <v>1484.51</v>
      </c>
      <c r="E14" s="79">
        <v>45142.0</v>
      </c>
      <c r="F14" s="77" t="s">
        <v>220</v>
      </c>
      <c r="G14" s="77" t="s">
        <v>221</v>
      </c>
      <c r="H14" s="77" t="s">
        <v>220</v>
      </c>
      <c r="I14" s="77" t="s">
        <v>222</v>
      </c>
      <c r="J14" s="7" t="s">
        <v>47</v>
      </c>
    </row>
    <row r="15" ht="12.75" customHeight="1">
      <c r="A15" s="82" t="s">
        <v>219</v>
      </c>
      <c r="B15" s="10">
        <v>1484.51</v>
      </c>
      <c r="C15" s="83">
        <v>1.0</v>
      </c>
      <c r="D15" s="78">
        <f t="shared" si="3"/>
        <v>1484.51</v>
      </c>
      <c r="E15" s="79">
        <v>45142.0</v>
      </c>
      <c r="F15" s="77" t="s">
        <v>220</v>
      </c>
      <c r="G15" s="77" t="s">
        <v>221</v>
      </c>
      <c r="H15" s="77" t="s">
        <v>220</v>
      </c>
      <c r="I15" s="77" t="s">
        <v>242</v>
      </c>
      <c r="J15" s="7" t="s">
        <v>47</v>
      </c>
    </row>
    <row r="16" ht="12.75" customHeight="1">
      <c r="A16" s="82" t="s">
        <v>223</v>
      </c>
      <c r="B16" s="10">
        <v>1484.51</v>
      </c>
      <c r="C16" s="83">
        <v>1.0</v>
      </c>
      <c r="D16" s="78">
        <f t="shared" si="3"/>
        <v>1484.51</v>
      </c>
      <c r="E16" s="79">
        <v>45142.0</v>
      </c>
      <c r="F16" s="77" t="s">
        <v>220</v>
      </c>
      <c r="G16" s="77" t="s">
        <v>221</v>
      </c>
      <c r="H16" s="77" t="s">
        <v>220</v>
      </c>
      <c r="I16" s="77" t="s">
        <v>224</v>
      </c>
      <c r="J16" s="7" t="s">
        <v>47</v>
      </c>
    </row>
    <row r="17" ht="12.75" customHeight="1">
      <c r="A17" s="15" t="s">
        <v>784</v>
      </c>
      <c r="B17" s="10">
        <v>3.36</v>
      </c>
      <c r="C17" s="16">
        <v>10.0</v>
      </c>
      <c r="D17" s="78">
        <f t="shared" si="3"/>
        <v>33.6</v>
      </c>
      <c r="E17" s="7"/>
      <c r="F17" s="16" t="s">
        <v>202</v>
      </c>
      <c r="G17" s="16" t="s">
        <v>785</v>
      </c>
      <c r="H17" s="16"/>
      <c r="I17" s="16"/>
      <c r="J17" s="16"/>
    </row>
    <row r="18" ht="12.75" customHeight="1">
      <c r="A18" s="15" t="s">
        <v>786</v>
      </c>
      <c r="B18" s="31">
        <v>177.8</v>
      </c>
      <c r="C18" s="77">
        <v>2.0</v>
      </c>
      <c r="D18" s="78">
        <f t="shared" si="3"/>
        <v>355.6</v>
      </c>
      <c r="E18" s="79"/>
      <c r="F18" s="16" t="s">
        <v>202</v>
      </c>
      <c r="I18" s="77"/>
      <c r="J18" s="7" t="s">
        <v>787</v>
      </c>
    </row>
    <row r="19" ht="12.75" customHeight="1">
      <c r="A19" s="15" t="s">
        <v>786</v>
      </c>
      <c r="B19" s="31">
        <v>177.8</v>
      </c>
      <c r="C19" s="77">
        <v>2.0</v>
      </c>
      <c r="D19" s="78">
        <f t="shared" si="3"/>
        <v>355.6</v>
      </c>
      <c r="E19" s="79"/>
      <c r="F19" s="16" t="s">
        <v>202</v>
      </c>
      <c r="I19" s="77"/>
      <c r="J19" s="7" t="s">
        <v>787</v>
      </c>
    </row>
    <row r="20" ht="12.75" customHeight="1">
      <c r="A20" s="15" t="s">
        <v>784</v>
      </c>
      <c r="B20" s="31">
        <v>4.08</v>
      </c>
      <c r="C20" s="77">
        <v>6.0</v>
      </c>
      <c r="D20" s="78">
        <f t="shared" si="3"/>
        <v>24.48</v>
      </c>
      <c r="E20" s="79"/>
      <c r="F20" s="16" t="s">
        <v>202</v>
      </c>
      <c r="I20" s="77"/>
      <c r="J20" s="7"/>
    </row>
    <row r="21" ht="12.75" customHeight="1">
      <c r="A21" s="15" t="s">
        <v>788</v>
      </c>
      <c r="B21" s="31">
        <v>411.12</v>
      </c>
      <c r="C21" s="16">
        <v>2.0</v>
      </c>
      <c r="D21" s="17">
        <f t="shared" ref="D21:D24" si="4">B21*C21</f>
        <v>822.24</v>
      </c>
      <c r="F21" s="16" t="s">
        <v>789</v>
      </c>
      <c r="J21" s="16" t="s">
        <v>790</v>
      </c>
    </row>
    <row r="22" ht="12.75" customHeight="1">
      <c r="A22" s="15" t="s">
        <v>791</v>
      </c>
      <c r="B22" s="10">
        <v>101.84</v>
      </c>
      <c r="C22" s="16">
        <v>2.0</v>
      </c>
      <c r="D22" s="17">
        <f t="shared" si="4"/>
        <v>203.68</v>
      </c>
      <c r="E22" s="22"/>
      <c r="F22" s="16" t="s">
        <v>789</v>
      </c>
      <c r="G22" s="16"/>
      <c r="H22" s="16"/>
      <c r="I22" s="16"/>
      <c r="J22" s="7" t="s">
        <v>792</v>
      </c>
    </row>
    <row r="23" ht="12.75" customHeight="1">
      <c r="A23" s="15" t="s">
        <v>793</v>
      </c>
      <c r="B23" s="10">
        <v>96.08</v>
      </c>
      <c r="C23" s="16">
        <v>2.0</v>
      </c>
      <c r="D23" s="17">
        <f t="shared" si="4"/>
        <v>192.16</v>
      </c>
      <c r="E23" s="22"/>
      <c r="F23" s="16" t="s">
        <v>789</v>
      </c>
      <c r="G23" s="16"/>
      <c r="H23" s="16"/>
      <c r="I23" s="16"/>
      <c r="J23" s="7" t="s">
        <v>792</v>
      </c>
    </row>
    <row r="24" ht="12.75" customHeight="1">
      <c r="A24" s="15" t="s">
        <v>794</v>
      </c>
      <c r="B24" s="10">
        <v>103.3</v>
      </c>
      <c r="C24" s="16">
        <v>4.0</v>
      </c>
      <c r="D24" s="17">
        <f t="shared" si="4"/>
        <v>413.2</v>
      </c>
      <c r="E24" s="22"/>
      <c r="F24" s="16" t="s">
        <v>789</v>
      </c>
      <c r="G24" s="16"/>
      <c r="H24" s="16"/>
      <c r="I24" s="16"/>
      <c r="J24" s="7" t="s">
        <v>795</v>
      </c>
    </row>
    <row r="25" ht="12.75" customHeight="1">
      <c r="A25" s="15" t="s">
        <v>327</v>
      </c>
      <c r="B25" s="10">
        <v>99.0</v>
      </c>
      <c r="C25" s="16">
        <v>7.0</v>
      </c>
      <c r="D25" s="78">
        <f t="shared" ref="D25:D29" si="5">C25*B25</f>
        <v>693</v>
      </c>
      <c r="E25" s="22">
        <v>45224.0</v>
      </c>
      <c r="F25" s="7" t="s">
        <v>328</v>
      </c>
      <c r="G25" s="16"/>
      <c r="H25" s="16" t="s">
        <v>329</v>
      </c>
      <c r="I25" s="16" t="s">
        <v>330</v>
      </c>
      <c r="J25" s="16"/>
    </row>
    <row r="26" ht="12.75" customHeight="1">
      <c r="A26" s="15" t="s">
        <v>484</v>
      </c>
      <c r="B26" s="10">
        <v>304.0</v>
      </c>
      <c r="C26" s="16">
        <v>4.0</v>
      </c>
      <c r="D26" s="78">
        <f t="shared" si="5"/>
        <v>1216</v>
      </c>
      <c r="E26" s="22">
        <v>45224.0</v>
      </c>
      <c r="F26" s="16" t="s">
        <v>328</v>
      </c>
      <c r="H26" s="16" t="s">
        <v>332</v>
      </c>
      <c r="I26" s="16" t="s">
        <v>485</v>
      </c>
      <c r="J26" s="7"/>
    </row>
    <row r="27" ht="12.75" customHeight="1">
      <c r="A27" s="15" t="s">
        <v>331</v>
      </c>
      <c r="B27" s="10">
        <v>75.0</v>
      </c>
      <c r="C27" s="16">
        <v>2.0</v>
      </c>
      <c r="D27" s="78">
        <f t="shared" si="5"/>
        <v>150</v>
      </c>
      <c r="E27" s="22">
        <v>45224.0</v>
      </c>
      <c r="F27" s="7" t="s">
        <v>328</v>
      </c>
      <c r="G27" s="7"/>
      <c r="H27" s="16" t="s">
        <v>332</v>
      </c>
      <c r="I27" s="16" t="s">
        <v>333</v>
      </c>
      <c r="J27" s="51"/>
    </row>
    <row r="28" ht="12.75" customHeight="1">
      <c r="A28" s="15" t="s">
        <v>504</v>
      </c>
      <c r="B28" s="10">
        <v>289.0</v>
      </c>
      <c r="C28" s="16">
        <v>2.0</v>
      </c>
      <c r="D28" s="78">
        <f t="shared" si="5"/>
        <v>578</v>
      </c>
      <c r="E28" s="22">
        <v>45224.0</v>
      </c>
      <c r="F28" s="16" t="s">
        <v>328</v>
      </c>
      <c r="H28" s="16" t="s">
        <v>332</v>
      </c>
      <c r="I28" s="16" t="s">
        <v>505</v>
      </c>
      <c r="J28" s="7"/>
    </row>
    <row r="29" ht="12.75" customHeight="1">
      <c r="A29" s="15" t="s">
        <v>500</v>
      </c>
      <c r="B29" s="10">
        <v>1281.0</v>
      </c>
      <c r="C29" s="16">
        <v>2.0</v>
      </c>
      <c r="D29" s="78">
        <f t="shared" si="5"/>
        <v>2562</v>
      </c>
      <c r="E29" s="22">
        <v>45224.0</v>
      </c>
      <c r="F29" s="16" t="s">
        <v>328</v>
      </c>
      <c r="H29" s="16" t="s">
        <v>501</v>
      </c>
      <c r="I29" s="16" t="s">
        <v>502</v>
      </c>
      <c r="J29" s="16" t="s">
        <v>503</v>
      </c>
    </row>
    <row r="30" ht="12.75" customHeight="1">
      <c r="A30" s="15" t="s">
        <v>436</v>
      </c>
      <c r="B30" s="10">
        <v>2.35</v>
      </c>
      <c r="C30" s="16">
        <v>8.0</v>
      </c>
      <c r="D30" s="17">
        <f t="shared" ref="D30:D34" si="6">B30*C30</f>
        <v>18.8</v>
      </c>
      <c r="F30" s="16" t="s">
        <v>152</v>
      </c>
      <c r="G30" s="16">
        <v>23916.0</v>
      </c>
      <c r="J30" s="7" t="s">
        <v>437</v>
      </c>
    </row>
    <row r="31" ht="12.75" customHeight="1">
      <c r="A31" s="15" t="s">
        <v>462</v>
      </c>
      <c r="B31" s="10">
        <v>4.2</v>
      </c>
      <c r="C31" s="16">
        <v>8.0</v>
      </c>
      <c r="D31" s="17">
        <f t="shared" si="6"/>
        <v>33.6</v>
      </c>
      <c r="F31" s="16" t="s">
        <v>152</v>
      </c>
      <c r="G31" s="16">
        <v>23918.0</v>
      </c>
      <c r="J31" s="7"/>
    </row>
    <row r="32" ht="12.75" customHeight="1">
      <c r="A32" s="15" t="s">
        <v>438</v>
      </c>
      <c r="B32" s="10">
        <v>0.32</v>
      </c>
      <c r="C32" s="16">
        <v>8.0</v>
      </c>
      <c r="D32" s="17">
        <f t="shared" si="6"/>
        <v>2.56</v>
      </c>
      <c r="F32" s="16" t="s">
        <v>152</v>
      </c>
      <c r="G32" s="16">
        <v>33819.0</v>
      </c>
      <c r="J32" s="7"/>
    </row>
    <row r="33" ht="12.75" customHeight="1">
      <c r="A33" s="15" t="s">
        <v>438</v>
      </c>
      <c r="B33" s="10">
        <v>0.32</v>
      </c>
      <c r="C33" s="16">
        <v>2.0</v>
      </c>
      <c r="D33" s="17">
        <f t="shared" si="6"/>
        <v>0.64</v>
      </c>
      <c r="F33" s="16" t="s">
        <v>152</v>
      </c>
      <c r="G33" s="16">
        <v>33819.0</v>
      </c>
      <c r="J33" s="7"/>
    </row>
    <row r="34" ht="12.75" customHeight="1">
      <c r="A34" s="16" t="s">
        <v>796</v>
      </c>
      <c r="B34" s="31">
        <v>3.61</v>
      </c>
      <c r="C34" s="7">
        <v>4.0</v>
      </c>
      <c r="D34" s="17">
        <f t="shared" si="6"/>
        <v>14.44</v>
      </c>
      <c r="F34" s="16" t="s">
        <v>152</v>
      </c>
      <c r="J34" s="7"/>
    </row>
    <row r="35" ht="12.75" customHeight="1">
      <c r="A35" s="76" t="s">
        <v>243</v>
      </c>
      <c r="B35" s="10">
        <v>582.5</v>
      </c>
      <c r="C35" s="77">
        <v>1.0</v>
      </c>
      <c r="D35" s="78">
        <f t="shared" ref="D35:D40" si="7">C35*B35</f>
        <v>582.5</v>
      </c>
      <c r="E35" s="79">
        <v>45142.0</v>
      </c>
      <c r="F35" s="80" t="s">
        <v>226</v>
      </c>
      <c r="G35" s="77" t="s">
        <v>244</v>
      </c>
      <c r="H35" s="77" t="s">
        <v>245</v>
      </c>
      <c r="I35" s="77" t="s">
        <v>246</v>
      </c>
      <c r="J35" s="7" t="s">
        <v>47</v>
      </c>
    </row>
    <row r="36" ht="12.75" customHeight="1">
      <c r="A36" s="76" t="s">
        <v>225</v>
      </c>
      <c r="B36" s="10">
        <v>715.0</v>
      </c>
      <c r="C36" s="77">
        <v>1.0</v>
      </c>
      <c r="D36" s="78">
        <f t="shared" si="7"/>
        <v>715</v>
      </c>
      <c r="E36" s="79">
        <v>45142.0</v>
      </c>
      <c r="F36" s="80" t="s">
        <v>226</v>
      </c>
      <c r="G36" s="77" t="s">
        <v>227</v>
      </c>
      <c r="H36" s="77" t="s">
        <v>228</v>
      </c>
      <c r="I36" s="77" t="s">
        <v>229</v>
      </c>
      <c r="J36" s="7" t="s">
        <v>47</v>
      </c>
    </row>
    <row r="37" ht="12.75" customHeight="1">
      <c r="A37" s="76" t="s">
        <v>247</v>
      </c>
      <c r="B37" s="10">
        <v>2187.5</v>
      </c>
      <c r="C37" s="77">
        <v>1.0</v>
      </c>
      <c r="D37" s="78">
        <f t="shared" si="7"/>
        <v>2187.5</v>
      </c>
      <c r="E37" s="79">
        <v>45142.0</v>
      </c>
      <c r="F37" s="80" t="s">
        <v>226</v>
      </c>
      <c r="G37" s="77" t="s">
        <v>248</v>
      </c>
      <c r="H37" s="77" t="s">
        <v>232</v>
      </c>
      <c r="I37" s="77" t="s">
        <v>249</v>
      </c>
      <c r="J37" s="7" t="s">
        <v>47</v>
      </c>
    </row>
    <row r="38" ht="12.75" customHeight="1">
      <c r="A38" s="76" t="s">
        <v>230</v>
      </c>
      <c r="B38" s="10">
        <v>523.0</v>
      </c>
      <c r="C38" s="77">
        <v>1.0</v>
      </c>
      <c r="D38" s="78">
        <f t="shared" si="7"/>
        <v>523</v>
      </c>
      <c r="E38" s="79">
        <v>45142.0</v>
      </c>
      <c r="F38" s="80" t="s">
        <v>226</v>
      </c>
      <c r="G38" s="77" t="s">
        <v>231</v>
      </c>
      <c r="H38" s="77" t="s">
        <v>232</v>
      </c>
      <c r="I38" s="77" t="s">
        <v>231</v>
      </c>
      <c r="J38" s="7" t="s">
        <v>47</v>
      </c>
    </row>
    <row r="39" ht="12.75" customHeight="1">
      <c r="A39" s="76" t="s">
        <v>306</v>
      </c>
      <c r="B39" s="10">
        <v>455.5</v>
      </c>
      <c r="C39" s="77">
        <v>1.0</v>
      </c>
      <c r="D39" s="78">
        <f t="shared" si="7"/>
        <v>455.5</v>
      </c>
      <c r="E39" s="79">
        <v>45142.0</v>
      </c>
      <c r="F39" s="80" t="s">
        <v>226</v>
      </c>
      <c r="G39" s="77" t="s">
        <v>307</v>
      </c>
      <c r="H39" s="77" t="s">
        <v>308</v>
      </c>
      <c r="I39" s="80" t="s">
        <v>307</v>
      </c>
      <c r="J39" s="16" t="s">
        <v>309</v>
      </c>
    </row>
    <row r="40" ht="12.75" customHeight="1">
      <c r="A40" s="76" t="s">
        <v>540</v>
      </c>
      <c r="B40" s="10">
        <v>1627.5</v>
      </c>
      <c r="C40" s="77">
        <v>1.0</v>
      </c>
      <c r="D40" s="78">
        <f t="shared" si="7"/>
        <v>1627.5</v>
      </c>
      <c r="E40" s="79">
        <v>45142.0</v>
      </c>
      <c r="F40" s="80" t="s">
        <v>541</v>
      </c>
      <c r="G40" s="77" t="s">
        <v>542</v>
      </c>
      <c r="H40" s="80" t="s">
        <v>541</v>
      </c>
      <c r="I40" s="77" t="s">
        <v>542</v>
      </c>
      <c r="J40" s="7" t="s">
        <v>47</v>
      </c>
    </row>
    <row r="41" ht="12.75" customHeight="1">
      <c r="A41" s="15" t="s">
        <v>797</v>
      </c>
      <c r="B41" s="10">
        <v>14.82</v>
      </c>
      <c r="C41" s="16">
        <v>2.0</v>
      </c>
      <c r="D41" s="17">
        <f t="shared" ref="D41:D51" si="8">B41*C41</f>
        <v>29.64</v>
      </c>
      <c r="E41" s="7"/>
      <c r="F41" s="80" t="s">
        <v>26</v>
      </c>
      <c r="G41" s="16" t="s">
        <v>798</v>
      </c>
      <c r="H41" s="7"/>
      <c r="I41" s="7"/>
      <c r="J41" s="7"/>
    </row>
    <row r="42" ht="12.75" customHeight="1">
      <c r="A42" s="15" t="s">
        <v>797</v>
      </c>
      <c r="B42" s="10">
        <v>14.82</v>
      </c>
      <c r="C42" s="16"/>
      <c r="D42" s="17">
        <f t="shared" si="8"/>
        <v>0</v>
      </c>
      <c r="E42" s="7"/>
      <c r="F42" s="80" t="s">
        <v>26</v>
      </c>
      <c r="G42" s="16" t="s">
        <v>798</v>
      </c>
      <c r="H42" s="7"/>
      <c r="I42" s="7"/>
      <c r="J42" s="7"/>
    </row>
    <row r="43" ht="12.75" customHeight="1">
      <c r="A43" s="15" t="s">
        <v>799</v>
      </c>
      <c r="B43" s="10">
        <v>4.69</v>
      </c>
      <c r="C43" s="16">
        <v>3.0</v>
      </c>
      <c r="D43" s="17">
        <f t="shared" si="8"/>
        <v>14.07</v>
      </c>
      <c r="E43" s="7"/>
      <c r="F43" s="80" t="s">
        <v>26</v>
      </c>
      <c r="G43" s="16" t="s">
        <v>800</v>
      </c>
      <c r="H43" s="7"/>
      <c r="I43" s="7"/>
      <c r="J43" s="7"/>
    </row>
    <row r="44" ht="12.75" customHeight="1">
      <c r="A44" s="15" t="s">
        <v>799</v>
      </c>
      <c r="B44" s="10">
        <v>4.69</v>
      </c>
      <c r="C44" s="16"/>
      <c r="D44" s="17">
        <f t="shared" si="8"/>
        <v>0</v>
      </c>
      <c r="E44" s="7"/>
      <c r="F44" s="80" t="s">
        <v>26</v>
      </c>
      <c r="G44" s="16" t="s">
        <v>800</v>
      </c>
      <c r="H44" s="7"/>
      <c r="I44" s="7"/>
      <c r="J44" s="7"/>
    </row>
    <row r="45" ht="12.75" customHeight="1">
      <c r="A45" s="15" t="s">
        <v>408</v>
      </c>
      <c r="B45" s="10">
        <v>16.11</v>
      </c>
      <c r="C45" s="16">
        <v>1.0</v>
      </c>
      <c r="D45" s="17">
        <f t="shared" si="8"/>
        <v>16.11</v>
      </c>
      <c r="E45" s="7"/>
      <c r="F45" s="80" t="s">
        <v>26</v>
      </c>
      <c r="G45" s="16" t="s">
        <v>409</v>
      </c>
      <c r="H45" s="7"/>
      <c r="I45" s="7"/>
      <c r="J45" s="7" t="s">
        <v>410</v>
      </c>
    </row>
    <row r="46" ht="12.75" customHeight="1">
      <c r="A46" s="15" t="s">
        <v>408</v>
      </c>
      <c r="B46" s="10">
        <v>16.11</v>
      </c>
      <c r="C46" s="16">
        <v>1.0</v>
      </c>
      <c r="D46" s="17">
        <f t="shared" si="8"/>
        <v>16.11</v>
      </c>
      <c r="E46" s="7"/>
      <c r="F46" s="80" t="s">
        <v>26</v>
      </c>
      <c r="G46" s="16" t="s">
        <v>409</v>
      </c>
      <c r="H46" s="7"/>
      <c r="I46" s="7"/>
      <c r="J46" s="7" t="s">
        <v>410</v>
      </c>
    </row>
    <row r="47" ht="12.75" customHeight="1">
      <c r="A47" s="15" t="s">
        <v>422</v>
      </c>
      <c r="B47" s="10">
        <v>43.06</v>
      </c>
      <c r="C47" s="16">
        <v>1.0</v>
      </c>
      <c r="D47" s="17">
        <f t="shared" si="8"/>
        <v>43.06</v>
      </c>
      <c r="E47" s="7"/>
      <c r="F47" s="80" t="s">
        <v>26</v>
      </c>
      <c r="G47" s="16" t="s">
        <v>423</v>
      </c>
      <c r="H47" s="7"/>
      <c r="I47" s="7"/>
      <c r="J47" s="7"/>
    </row>
    <row r="48" ht="12.75" customHeight="1">
      <c r="A48" s="15" t="s">
        <v>422</v>
      </c>
      <c r="B48" s="10">
        <v>43.06</v>
      </c>
      <c r="C48" s="16"/>
      <c r="D48" s="17">
        <f t="shared" si="8"/>
        <v>0</v>
      </c>
      <c r="E48" s="7"/>
      <c r="F48" s="80" t="s">
        <v>26</v>
      </c>
      <c r="G48" s="16" t="s">
        <v>423</v>
      </c>
      <c r="H48" s="7"/>
      <c r="I48" s="7"/>
      <c r="J48" s="7"/>
    </row>
    <row r="49" ht="12.75" customHeight="1">
      <c r="A49" s="15" t="s">
        <v>270</v>
      </c>
      <c r="B49" s="10">
        <v>25.61</v>
      </c>
      <c r="C49" s="16">
        <v>1.0</v>
      </c>
      <c r="D49" s="17">
        <f t="shared" si="8"/>
        <v>25.61</v>
      </c>
      <c r="E49" s="7"/>
      <c r="F49" s="16" t="s">
        <v>26</v>
      </c>
      <c r="G49" s="16" t="s">
        <v>271</v>
      </c>
      <c r="H49" s="7"/>
      <c r="I49" s="7"/>
      <c r="J49" s="7"/>
    </row>
    <row r="50" ht="12.75" customHeight="1">
      <c r="A50" s="15" t="s">
        <v>801</v>
      </c>
      <c r="B50" s="10">
        <v>7.092</v>
      </c>
      <c r="C50" s="16">
        <v>35.0</v>
      </c>
      <c r="D50" s="17">
        <f t="shared" si="8"/>
        <v>248.22</v>
      </c>
      <c r="E50" s="7"/>
      <c r="F50" s="80" t="s">
        <v>26</v>
      </c>
      <c r="G50" s="16" t="s">
        <v>415</v>
      </c>
      <c r="H50" s="16"/>
      <c r="J50" s="7" t="s">
        <v>394</v>
      </c>
    </row>
    <row r="51" ht="12.75" customHeight="1">
      <c r="A51" s="15" t="s">
        <v>801</v>
      </c>
      <c r="B51" s="10">
        <v>7.092</v>
      </c>
      <c r="C51" s="16"/>
      <c r="D51" s="17">
        <f t="shared" si="8"/>
        <v>0</v>
      </c>
      <c r="E51" s="7"/>
      <c r="F51" s="80" t="s">
        <v>26</v>
      </c>
      <c r="G51" s="16" t="s">
        <v>415</v>
      </c>
      <c r="H51" s="16"/>
      <c r="J51" s="7" t="s">
        <v>394</v>
      </c>
    </row>
    <row r="52" ht="12.75" customHeight="1">
      <c r="A52" s="15" t="s">
        <v>802</v>
      </c>
      <c r="B52" s="10">
        <v>16.7</v>
      </c>
      <c r="C52" s="16">
        <v>1.0</v>
      </c>
      <c r="D52" s="78">
        <f t="shared" ref="D52:D54" si="9">C52*B52</f>
        <v>16.7</v>
      </c>
      <c r="E52" s="7"/>
      <c r="F52" s="16" t="s">
        <v>26</v>
      </c>
      <c r="G52" s="7"/>
      <c r="H52" s="16" t="s">
        <v>81</v>
      </c>
      <c r="I52" s="7" t="s">
        <v>803</v>
      </c>
      <c r="J52" s="7"/>
    </row>
    <row r="53" ht="12.75" customHeight="1">
      <c r="A53" s="76" t="s">
        <v>302</v>
      </c>
      <c r="B53" s="10">
        <v>2031.5</v>
      </c>
      <c r="C53" s="77">
        <v>1.0</v>
      </c>
      <c r="D53" s="78">
        <f t="shared" si="9"/>
        <v>2031.5</v>
      </c>
      <c r="E53" s="79">
        <v>45142.0</v>
      </c>
      <c r="F53" s="80" t="s">
        <v>303</v>
      </c>
      <c r="G53" s="77" t="s">
        <v>304</v>
      </c>
      <c r="H53" s="77" t="s">
        <v>305</v>
      </c>
      <c r="I53" s="77" t="s">
        <v>304</v>
      </c>
      <c r="J53" s="7" t="s">
        <v>47</v>
      </c>
    </row>
    <row r="54" ht="12.75" customHeight="1">
      <c r="A54" s="76" t="s">
        <v>73</v>
      </c>
      <c r="B54" s="10">
        <v>586.5</v>
      </c>
      <c r="C54" s="77">
        <v>1.0</v>
      </c>
      <c r="D54" s="78">
        <f t="shared" si="9"/>
        <v>586.5</v>
      </c>
      <c r="E54" s="79">
        <v>45142.0</v>
      </c>
      <c r="F54" s="80" t="s">
        <v>74</v>
      </c>
      <c r="G54" s="77"/>
      <c r="H54" s="77" t="s">
        <v>75</v>
      </c>
      <c r="I54" s="80" t="s">
        <v>76</v>
      </c>
      <c r="J54" s="7" t="s">
        <v>47</v>
      </c>
    </row>
    <row r="55" ht="12.75" customHeight="1">
      <c r="A55" s="15" t="s">
        <v>804</v>
      </c>
      <c r="B55" s="10">
        <v>11.89</v>
      </c>
      <c r="C55" s="16">
        <v>2.0</v>
      </c>
      <c r="D55" s="17">
        <f t="shared" ref="D55:D64" si="10">B55*C55</f>
        <v>23.78</v>
      </c>
      <c r="E55" s="22"/>
      <c r="F55" s="16" t="s">
        <v>163</v>
      </c>
      <c r="G55" s="16" t="s">
        <v>805</v>
      </c>
      <c r="H55" s="16"/>
      <c r="I55" s="16"/>
      <c r="J55" s="7"/>
    </row>
    <row r="56" ht="12.75" customHeight="1">
      <c r="A56" s="15" t="s">
        <v>806</v>
      </c>
      <c r="B56" s="10">
        <v>7.6</v>
      </c>
      <c r="C56" s="16">
        <v>4.0</v>
      </c>
      <c r="D56" s="17">
        <f t="shared" si="10"/>
        <v>30.4</v>
      </c>
      <c r="E56" s="22"/>
      <c r="F56" s="16" t="s">
        <v>163</v>
      </c>
      <c r="G56" s="16" t="s">
        <v>807</v>
      </c>
      <c r="H56" s="16"/>
      <c r="I56" s="16"/>
      <c r="J56" s="7"/>
    </row>
    <row r="57" ht="12.75" customHeight="1">
      <c r="A57" s="15" t="s">
        <v>808</v>
      </c>
      <c r="B57" s="10">
        <v>7.79</v>
      </c>
      <c r="C57" s="16">
        <v>4.0</v>
      </c>
      <c r="D57" s="17">
        <f t="shared" si="10"/>
        <v>31.16</v>
      </c>
      <c r="E57" s="22"/>
      <c r="F57" s="16" t="s">
        <v>163</v>
      </c>
      <c r="G57" s="16" t="s">
        <v>809</v>
      </c>
      <c r="H57" s="16"/>
      <c r="I57" s="16"/>
      <c r="J57" s="7"/>
    </row>
    <row r="58" ht="12.75" customHeight="1">
      <c r="A58" s="15" t="s">
        <v>810</v>
      </c>
      <c r="B58" s="10">
        <v>41.18</v>
      </c>
      <c r="C58" s="16">
        <v>7.0</v>
      </c>
      <c r="D58" s="17">
        <f t="shared" si="10"/>
        <v>288.26</v>
      </c>
      <c r="E58" s="7"/>
      <c r="F58" s="16" t="s">
        <v>239</v>
      </c>
      <c r="G58" s="16" t="s">
        <v>811</v>
      </c>
      <c r="H58" s="16"/>
      <c r="J58" s="7"/>
    </row>
    <row r="59" ht="12.75" customHeight="1">
      <c r="A59" s="15" t="s">
        <v>812</v>
      </c>
      <c r="B59" s="10">
        <v>20.91</v>
      </c>
      <c r="C59" s="16">
        <v>2.0</v>
      </c>
      <c r="D59" s="17">
        <f t="shared" si="10"/>
        <v>41.82</v>
      </c>
      <c r="E59" s="22"/>
      <c r="F59" s="16" t="s">
        <v>163</v>
      </c>
      <c r="G59" s="16" t="s">
        <v>813</v>
      </c>
      <c r="H59" s="16"/>
      <c r="I59" s="16"/>
      <c r="J59" s="7"/>
    </row>
    <row r="60" ht="12.75" customHeight="1">
      <c r="A60" s="15" t="s">
        <v>814</v>
      </c>
      <c r="B60" s="10">
        <v>31.12</v>
      </c>
      <c r="C60" s="16">
        <v>3.0</v>
      </c>
      <c r="D60" s="17">
        <f t="shared" si="10"/>
        <v>93.36</v>
      </c>
      <c r="E60" s="7"/>
      <c r="F60" s="16" t="s">
        <v>239</v>
      </c>
      <c r="G60" s="16" t="s">
        <v>377</v>
      </c>
      <c r="H60" s="16"/>
      <c r="I60" s="16" t="s">
        <v>377</v>
      </c>
      <c r="J60" s="7"/>
    </row>
    <row r="61" ht="12.75" customHeight="1">
      <c r="A61" s="15" t="s">
        <v>815</v>
      </c>
      <c r="B61" s="31">
        <v>103.48</v>
      </c>
      <c r="C61" s="16">
        <v>2.0</v>
      </c>
      <c r="D61" s="17">
        <f t="shared" si="10"/>
        <v>206.96</v>
      </c>
      <c r="F61" s="16" t="s">
        <v>239</v>
      </c>
      <c r="G61" s="16" t="s">
        <v>816</v>
      </c>
      <c r="J61" s="51" t="s">
        <v>817</v>
      </c>
    </row>
    <row r="62" ht="12.75" customHeight="1">
      <c r="A62" s="15" t="s">
        <v>818</v>
      </c>
      <c r="B62" s="10">
        <v>26.63</v>
      </c>
      <c r="C62" s="16">
        <v>4.0</v>
      </c>
      <c r="D62" s="17">
        <f t="shared" si="10"/>
        <v>106.52</v>
      </c>
      <c r="E62" s="22"/>
      <c r="F62" s="16" t="s">
        <v>163</v>
      </c>
      <c r="G62" s="16" t="s">
        <v>819</v>
      </c>
      <c r="H62" s="16"/>
      <c r="I62" s="16"/>
      <c r="J62" s="7"/>
    </row>
    <row r="63" ht="12.75" customHeight="1">
      <c r="A63" s="15" t="s">
        <v>820</v>
      </c>
      <c r="B63" s="10">
        <v>33.04</v>
      </c>
      <c r="C63" s="16">
        <v>2.0</v>
      </c>
      <c r="D63" s="17">
        <f t="shared" si="10"/>
        <v>66.08</v>
      </c>
      <c r="E63" s="22"/>
      <c r="F63" s="16" t="s">
        <v>163</v>
      </c>
      <c r="G63" s="16" t="s">
        <v>821</v>
      </c>
      <c r="H63" s="16"/>
      <c r="I63" s="16"/>
      <c r="J63" s="7"/>
    </row>
    <row r="64" ht="12.75" customHeight="1">
      <c r="A64" s="15" t="s">
        <v>822</v>
      </c>
      <c r="B64" s="10">
        <v>39.92</v>
      </c>
      <c r="C64" s="16">
        <v>2.0</v>
      </c>
      <c r="D64" s="17">
        <f t="shared" si="10"/>
        <v>79.84</v>
      </c>
      <c r="E64" s="22"/>
      <c r="F64" s="16" t="s">
        <v>163</v>
      </c>
      <c r="G64" s="16" t="s">
        <v>823</v>
      </c>
      <c r="H64" s="16"/>
      <c r="I64" s="16"/>
      <c r="J64" s="7"/>
    </row>
    <row r="65" ht="12.75" customHeight="1">
      <c r="A65" s="16" t="s">
        <v>824</v>
      </c>
      <c r="B65" s="31">
        <v>70.59</v>
      </c>
      <c r="C65" s="77">
        <v>1.0</v>
      </c>
      <c r="D65" s="78">
        <f t="shared" ref="D65:D67" si="11">C65*B65</f>
        <v>70.59</v>
      </c>
      <c r="E65" s="79"/>
      <c r="F65" s="16" t="s">
        <v>163</v>
      </c>
      <c r="G65" s="16" t="s">
        <v>825</v>
      </c>
      <c r="H65" s="77"/>
      <c r="I65" s="77"/>
      <c r="J65" s="7"/>
    </row>
    <row r="66" ht="12.75" customHeight="1">
      <c r="A66" s="16" t="s">
        <v>824</v>
      </c>
      <c r="B66" s="31">
        <v>70.59</v>
      </c>
      <c r="C66" s="77">
        <v>0.0</v>
      </c>
      <c r="D66" s="78">
        <f t="shared" si="11"/>
        <v>0</v>
      </c>
      <c r="E66" s="79"/>
      <c r="F66" s="16" t="s">
        <v>163</v>
      </c>
      <c r="G66" s="16" t="s">
        <v>825</v>
      </c>
      <c r="H66" s="77"/>
      <c r="I66" s="77"/>
      <c r="J66" s="7"/>
    </row>
    <row r="67" ht="12.75" customHeight="1">
      <c r="A67" s="16" t="s">
        <v>826</v>
      </c>
      <c r="B67" s="31">
        <v>79.81</v>
      </c>
      <c r="C67" s="77">
        <v>1.0</v>
      </c>
      <c r="D67" s="78">
        <f t="shared" si="11"/>
        <v>79.81</v>
      </c>
      <c r="E67" s="79"/>
      <c r="F67" s="16" t="s">
        <v>163</v>
      </c>
      <c r="G67" s="16" t="s">
        <v>827</v>
      </c>
      <c r="H67" s="77"/>
      <c r="I67" s="77"/>
      <c r="J67" s="7"/>
    </row>
    <row r="68" ht="12.75" customHeight="1">
      <c r="A68" s="15" t="s">
        <v>264</v>
      </c>
      <c r="B68" s="10">
        <v>525.0</v>
      </c>
      <c r="C68" s="16">
        <v>6.0</v>
      </c>
      <c r="D68" s="17">
        <f>B68*C68</f>
        <v>3150</v>
      </c>
      <c r="E68" s="22">
        <v>45203.0</v>
      </c>
      <c r="F68" s="16" t="s">
        <v>265</v>
      </c>
      <c r="G68" s="16" t="s">
        <v>266</v>
      </c>
      <c r="H68" s="16" t="s">
        <v>265</v>
      </c>
      <c r="I68" s="16" t="s">
        <v>266</v>
      </c>
      <c r="J68" s="7"/>
    </row>
    <row r="69" ht="12.75" customHeight="1">
      <c r="A69" s="76" t="s">
        <v>526</v>
      </c>
      <c r="B69" s="10">
        <v>172.5</v>
      </c>
      <c r="C69" s="77">
        <v>2.0</v>
      </c>
      <c r="D69" s="78">
        <f t="shared" ref="D69:D73" si="12">C69*B69</f>
        <v>345</v>
      </c>
      <c r="E69" s="79">
        <v>45142.0</v>
      </c>
      <c r="F69" s="77" t="s">
        <v>527</v>
      </c>
      <c r="G69" s="77" t="s">
        <v>528</v>
      </c>
      <c r="H69" s="77" t="s">
        <v>527</v>
      </c>
      <c r="I69" s="77" t="s">
        <v>528</v>
      </c>
      <c r="J69" s="7" t="s">
        <v>47</v>
      </c>
    </row>
    <row r="70" ht="12.75" customHeight="1">
      <c r="A70" s="76" t="s">
        <v>529</v>
      </c>
      <c r="B70" s="10">
        <v>64.5</v>
      </c>
      <c r="C70" s="77">
        <v>7.0</v>
      </c>
      <c r="D70" s="78">
        <f t="shared" si="12"/>
        <v>451.5</v>
      </c>
      <c r="E70" s="79">
        <v>45142.0</v>
      </c>
      <c r="F70" s="80" t="s">
        <v>17</v>
      </c>
      <c r="G70" s="77" t="s">
        <v>530</v>
      </c>
      <c r="H70" s="84"/>
      <c r="I70" s="80"/>
      <c r="J70" s="7" t="s">
        <v>47</v>
      </c>
    </row>
    <row r="71" ht="12.75" customHeight="1">
      <c r="A71" s="76" t="s">
        <v>77</v>
      </c>
      <c r="B71" s="10">
        <v>319.5</v>
      </c>
      <c r="C71" s="77">
        <v>1.0</v>
      </c>
      <c r="D71" s="78">
        <f t="shared" si="12"/>
        <v>319.5</v>
      </c>
      <c r="E71" s="79">
        <v>45142.0</v>
      </c>
      <c r="F71" s="80" t="s">
        <v>78</v>
      </c>
      <c r="G71" s="77" t="s">
        <v>79</v>
      </c>
      <c r="H71" s="84"/>
      <c r="I71" s="80"/>
      <c r="J71" s="7" t="s">
        <v>47</v>
      </c>
    </row>
    <row r="72" ht="12.75" customHeight="1">
      <c r="A72" s="76" t="s">
        <v>91</v>
      </c>
      <c r="B72" s="10">
        <v>204.5</v>
      </c>
      <c r="C72" s="77">
        <v>1.0</v>
      </c>
      <c r="D72" s="78">
        <f t="shared" si="12"/>
        <v>204.5</v>
      </c>
      <c r="E72" s="79">
        <v>45142.0</v>
      </c>
      <c r="F72" s="80" t="s">
        <v>78</v>
      </c>
      <c r="G72" s="77" t="s">
        <v>92</v>
      </c>
      <c r="H72" s="84"/>
      <c r="I72" s="80"/>
      <c r="J72" s="7" t="s">
        <v>47</v>
      </c>
    </row>
    <row r="73" ht="12.75" customHeight="1">
      <c r="A73" s="76" t="s">
        <v>340</v>
      </c>
      <c r="B73" s="10">
        <v>356.0</v>
      </c>
      <c r="C73" s="77">
        <v>2.0</v>
      </c>
      <c r="D73" s="78">
        <f t="shared" si="12"/>
        <v>712</v>
      </c>
      <c r="E73" s="79">
        <v>45142.0</v>
      </c>
      <c r="F73" s="80" t="s">
        <v>17</v>
      </c>
      <c r="G73" s="77" t="s">
        <v>341</v>
      </c>
      <c r="H73" s="84" t="s">
        <v>342</v>
      </c>
      <c r="I73" s="80" t="s">
        <v>343</v>
      </c>
      <c r="J73" s="7" t="s">
        <v>344</v>
      </c>
    </row>
    <row r="74" ht="12.75" customHeight="1">
      <c r="A74" s="15" t="s">
        <v>469</v>
      </c>
      <c r="B74" s="16">
        <v>23.07</v>
      </c>
      <c r="C74" s="16">
        <v>1.0</v>
      </c>
      <c r="D74" s="17">
        <f t="shared" ref="D74:D84" si="13">B74*C74</f>
        <v>23.07</v>
      </c>
      <c r="F74" s="16" t="s">
        <v>17</v>
      </c>
      <c r="G74" s="16" t="s">
        <v>470</v>
      </c>
    </row>
    <row r="75" ht="12.75" customHeight="1">
      <c r="A75" s="15" t="s">
        <v>210</v>
      </c>
      <c r="B75" s="10">
        <v>3.5</v>
      </c>
      <c r="C75" s="16">
        <v>12.0</v>
      </c>
      <c r="D75" s="17">
        <f t="shared" si="13"/>
        <v>42</v>
      </c>
      <c r="E75" s="7"/>
      <c r="F75" s="7" t="s">
        <v>130</v>
      </c>
      <c r="G75" s="16" t="s">
        <v>211</v>
      </c>
      <c r="H75" s="7"/>
      <c r="I75" s="7"/>
      <c r="J75" s="7"/>
    </row>
    <row r="76" ht="12.75" customHeight="1">
      <c r="A76" s="15" t="s">
        <v>406</v>
      </c>
      <c r="B76" s="10">
        <v>22.86</v>
      </c>
      <c r="C76" s="16">
        <v>1.0</v>
      </c>
      <c r="D76" s="17">
        <f t="shared" si="13"/>
        <v>22.86</v>
      </c>
      <c r="E76" s="7"/>
      <c r="F76" s="16" t="s">
        <v>130</v>
      </c>
      <c r="G76" s="16" t="s">
        <v>407</v>
      </c>
      <c r="H76" s="7"/>
      <c r="I76" s="7"/>
      <c r="J76" s="7"/>
    </row>
    <row r="77" ht="12.75" customHeight="1">
      <c r="A77" s="15" t="s">
        <v>406</v>
      </c>
      <c r="B77" s="10">
        <v>22.86</v>
      </c>
      <c r="C77" s="16">
        <v>1.0</v>
      </c>
      <c r="D77" s="17">
        <f t="shared" si="13"/>
        <v>22.86</v>
      </c>
      <c r="E77" s="7"/>
      <c r="F77" s="16" t="s">
        <v>130</v>
      </c>
      <c r="G77" s="16" t="s">
        <v>407</v>
      </c>
      <c r="H77" s="7"/>
      <c r="I77" s="7"/>
      <c r="J77" s="7"/>
    </row>
    <row r="78" ht="12.75" customHeight="1">
      <c r="A78" s="15" t="s">
        <v>400</v>
      </c>
      <c r="B78" s="10">
        <v>3.35</v>
      </c>
      <c r="C78" s="16">
        <v>5.0</v>
      </c>
      <c r="D78" s="17">
        <f t="shared" si="13"/>
        <v>16.75</v>
      </c>
      <c r="E78" s="7"/>
      <c r="F78" s="80" t="s">
        <v>130</v>
      </c>
      <c r="G78" s="16" t="s">
        <v>401</v>
      </c>
      <c r="H78" s="7"/>
      <c r="I78" s="7"/>
      <c r="J78" s="7"/>
    </row>
    <row r="79" ht="12.75" customHeight="1">
      <c r="A79" s="15" t="s">
        <v>400</v>
      </c>
      <c r="B79" s="10">
        <v>3.35</v>
      </c>
      <c r="C79" s="16"/>
      <c r="D79" s="17">
        <f t="shared" si="13"/>
        <v>0</v>
      </c>
      <c r="E79" s="7"/>
      <c r="F79" s="80" t="s">
        <v>130</v>
      </c>
      <c r="G79" s="16" t="s">
        <v>401</v>
      </c>
      <c r="H79" s="7"/>
      <c r="I79" s="7"/>
      <c r="J79" s="7"/>
    </row>
    <row r="80" ht="12.75" customHeight="1">
      <c r="A80" s="15" t="s">
        <v>398</v>
      </c>
      <c r="B80" s="10">
        <v>5.26</v>
      </c>
      <c r="C80" s="16">
        <v>8.0</v>
      </c>
      <c r="D80" s="17">
        <f t="shared" si="13"/>
        <v>42.08</v>
      </c>
      <c r="E80" s="7"/>
      <c r="F80" s="80" t="s">
        <v>130</v>
      </c>
      <c r="G80" s="16" t="s">
        <v>399</v>
      </c>
      <c r="H80" s="7"/>
      <c r="I80" s="7"/>
      <c r="J80" s="7"/>
    </row>
    <row r="81" ht="12.75" customHeight="1">
      <c r="A81" s="15" t="s">
        <v>398</v>
      </c>
      <c r="B81" s="10">
        <v>5.26</v>
      </c>
      <c r="C81" s="16"/>
      <c r="D81" s="17">
        <f t="shared" si="13"/>
        <v>0</v>
      </c>
      <c r="E81" s="7"/>
      <c r="F81" s="80" t="s">
        <v>130</v>
      </c>
      <c r="G81" s="16" t="s">
        <v>399</v>
      </c>
      <c r="H81" s="7"/>
      <c r="I81" s="7"/>
      <c r="J81" s="7"/>
    </row>
    <row r="82" ht="12.75" customHeight="1">
      <c r="A82" s="15" t="s">
        <v>396</v>
      </c>
      <c r="B82" s="10">
        <v>4.28</v>
      </c>
      <c r="C82" s="16">
        <v>8.0</v>
      </c>
      <c r="D82" s="17">
        <f t="shared" si="13"/>
        <v>34.24</v>
      </c>
      <c r="E82" s="7"/>
      <c r="F82" s="80" t="s">
        <v>130</v>
      </c>
      <c r="G82" s="16" t="s">
        <v>397</v>
      </c>
      <c r="H82" s="16"/>
      <c r="J82" s="7"/>
    </row>
    <row r="83" ht="12.75" customHeight="1">
      <c r="A83" s="15" t="s">
        <v>396</v>
      </c>
      <c r="B83" s="10">
        <v>4.28</v>
      </c>
      <c r="C83" s="16"/>
      <c r="D83" s="17">
        <f t="shared" si="13"/>
        <v>0</v>
      </c>
      <c r="E83" s="7"/>
      <c r="F83" s="80" t="s">
        <v>130</v>
      </c>
      <c r="G83" s="16" t="s">
        <v>397</v>
      </c>
      <c r="H83" s="16"/>
      <c r="J83" s="7"/>
    </row>
    <row r="84" ht="15.0" customHeight="1">
      <c r="A84" s="15" t="s">
        <v>828</v>
      </c>
      <c r="B84" s="10">
        <v>116.99</v>
      </c>
      <c r="C84" s="16">
        <v>3.0</v>
      </c>
      <c r="D84" s="17">
        <f t="shared" si="13"/>
        <v>350.97</v>
      </c>
      <c r="E84" s="7"/>
      <c r="F84" s="16" t="s">
        <v>130</v>
      </c>
      <c r="G84" s="16" t="s">
        <v>371</v>
      </c>
      <c r="H84" s="16"/>
      <c r="I84" s="16" t="s">
        <v>372</v>
      </c>
    </row>
    <row r="85" ht="12.75" customHeight="1">
      <c r="A85" s="15" t="s">
        <v>829</v>
      </c>
      <c r="B85" s="10"/>
      <c r="C85" s="16"/>
      <c r="D85" s="17"/>
      <c r="E85" s="7"/>
      <c r="F85" s="80" t="s">
        <v>130</v>
      </c>
      <c r="G85" s="16" t="s">
        <v>135</v>
      </c>
      <c r="H85" s="7"/>
      <c r="I85" s="7"/>
      <c r="J85" s="7"/>
    </row>
    <row r="86" ht="12.75" customHeight="1">
      <c r="A86" s="76" t="s">
        <v>537</v>
      </c>
      <c r="B86" s="10">
        <v>565.0</v>
      </c>
      <c r="C86" s="77">
        <v>1.0</v>
      </c>
      <c r="D86" s="78">
        <f>C86*B86</f>
        <v>565</v>
      </c>
      <c r="E86" s="79">
        <v>45142.0</v>
      </c>
      <c r="F86" s="80" t="s">
        <v>538</v>
      </c>
      <c r="G86" s="77" t="s">
        <v>539</v>
      </c>
      <c r="H86" s="80" t="s">
        <v>538</v>
      </c>
      <c r="I86" s="77" t="s">
        <v>539</v>
      </c>
      <c r="J86" s="7" t="s">
        <v>47</v>
      </c>
    </row>
    <row r="87" ht="12.75" customHeight="1">
      <c r="A87" s="15" t="s">
        <v>358</v>
      </c>
      <c r="B87" s="10">
        <v>1885.0</v>
      </c>
      <c r="C87" s="16">
        <v>1.0</v>
      </c>
      <c r="D87" s="17">
        <f t="shared" ref="D87:D90" si="14">B87*C87</f>
        <v>1885</v>
      </c>
      <c r="E87" s="22">
        <v>45215.0</v>
      </c>
      <c r="F87" s="16" t="s">
        <v>356</v>
      </c>
      <c r="G87" s="16" t="s">
        <v>359</v>
      </c>
      <c r="H87" s="16" t="s">
        <v>356</v>
      </c>
      <c r="I87" s="16" t="s">
        <v>359</v>
      </c>
      <c r="J87" s="7"/>
    </row>
    <row r="88" ht="12.75" customHeight="1">
      <c r="A88" s="15" t="s">
        <v>355</v>
      </c>
      <c r="B88" s="10">
        <v>2385.0</v>
      </c>
      <c r="C88" s="16">
        <v>2.0</v>
      </c>
      <c r="D88" s="17">
        <f t="shared" si="14"/>
        <v>4770</v>
      </c>
      <c r="E88" s="22">
        <v>45215.0</v>
      </c>
      <c r="F88" s="16" t="s">
        <v>356</v>
      </c>
      <c r="G88" s="16" t="s">
        <v>357</v>
      </c>
      <c r="H88" s="16" t="s">
        <v>356</v>
      </c>
      <c r="I88" s="16" t="s">
        <v>357</v>
      </c>
      <c r="J88" s="7"/>
    </row>
    <row r="89" ht="12.75" customHeight="1">
      <c r="A89" s="15" t="s">
        <v>360</v>
      </c>
      <c r="B89" s="10">
        <v>78.0</v>
      </c>
      <c r="C89" s="16">
        <v>3.0</v>
      </c>
      <c r="D89" s="17">
        <f t="shared" si="14"/>
        <v>234</v>
      </c>
      <c r="E89" s="22" t="s">
        <v>830</v>
      </c>
      <c r="F89" s="16" t="s">
        <v>356</v>
      </c>
      <c r="G89" s="16" t="s">
        <v>361</v>
      </c>
      <c r="H89" s="16" t="s">
        <v>356</v>
      </c>
      <c r="I89" s="16" t="s">
        <v>361</v>
      </c>
      <c r="J89" s="16" t="s">
        <v>362</v>
      </c>
    </row>
    <row r="90" ht="12.75" customHeight="1">
      <c r="A90" s="15" t="s">
        <v>363</v>
      </c>
      <c r="B90" s="10">
        <v>50.0</v>
      </c>
      <c r="C90" s="16">
        <v>7.0</v>
      </c>
      <c r="D90" s="17">
        <f t="shared" si="14"/>
        <v>350</v>
      </c>
      <c r="E90" s="22" t="s">
        <v>830</v>
      </c>
      <c r="F90" s="16" t="s">
        <v>356</v>
      </c>
      <c r="G90" s="16" t="s">
        <v>364</v>
      </c>
      <c r="H90" s="16" t="s">
        <v>356</v>
      </c>
      <c r="I90" s="16" t="s">
        <v>364</v>
      </c>
      <c r="J90" s="7"/>
    </row>
    <row r="91" ht="12.75" customHeight="1">
      <c r="A91" s="85" t="s">
        <v>44</v>
      </c>
      <c r="B91" s="10">
        <v>250.0</v>
      </c>
      <c r="C91" s="77">
        <v>1.0</v>
      </c>
      <c r="D91" s="78">
        <f>C91*B91</f>
        <v>250</v>
      </c>
      <c r="E91" s="79">
        <v>45142.0</v>
      </c>
      <c r="F91" s="80" t="s">
        <v>45</v>
      </c>
      <c r="G91" s="77" t="s">
        <v>46</v>
      </c>
      <c r="H91" s="77" t="s">
        <v>46</v>
      </c>
      <c r="I91" s="7"/>
      <c r="J91" s="7" t="s">
        <v>47</v>
      </c>
    </row>
    <row r="92" ht="12.75" customHeight="1">
      <c r="A92" s="15" t="s">
        <v>831</v>
      </c>
      <c r="B92" s="10">
        <v>11.52</v>
      </c>
      <c r="C92" s="16">
        <v>1.0</v>
      </c>
      <c r="D92" s="17"/>
      <c r="E92" s="7"/>
      <c r="F92" s="7"/>
      <c r="G92" s="16" t="s">
        <v>133</v>
      </c>
      <c r="H92" s="7"/>
      <c r="I92" s="7"/>
      <c r="J92" s="7"/>
    </row>
    <row r="93" ht="12.75" customHeight="1">
      <c r="A93" s="15" t="s">
        <v>295</v>
      </c>
      <c r="B93" s="10">
        <v>17.13</v>
      </c>
      <c r="C93" s="16">
        <v>1.0</v>
      </c>
      <c r="D93" s="17">
        <f t="shared" ref="D93:D107" si="15">B93*C93</f>
        <v>17.13</v>
      </c>
      <c r="E93" s="7"/>
      <c r="F93" s="7"/>
      <c r="G93" s="15" t="s">
        <v>295</v>
      </c>
      <c r="H93" s="7"/>
      <c r="I93" s="7"/>
      <c r="J93" s="7"/>
    </row>
    <row r="94" ht="12.75" customHeight="1">
      <c r="A94" s="15" t="s">
        <v>297</v>
      </c>
      <c r="B94" s="10">
        <v>3.35</v>
      </c>
      <c r="C94" s="16">
        <v>2.0</v>
      </c>
      <c r="D94" s="17">
        <f t="shared" si="15"/>
        <v>6.7</v>
      </c>
      <c r="E94" s="7"/>
      <c r="F94" s="7"/>
      <c r="G94" s="15" t="s">
        <v>297</v>
      </c>
      <c r="H94" s="7"/>
      <c r="I94" s="7"/>
      <c r="J94" s="7"/>
      <c r="N94" s="16" t="s">
        <v>365</v>
      </c>
    </row>
    <row r="95" ht="12.75" customHeight="1">
      <c r="A95" s="15" t="s">
        <v>279</v>
      </c>
      <c r="B95" s="10">
        <v>1.26</v>
      </c>
      <c r="C95" s="16">
        <v>6.0</v>
      </c>
      <c r="D95" s="17">
        <f t="shared" si="15"/>
        <v>7.56</v>
      </c>
      <c r="E95" s="7"/>
      <c r="F95" s="7"/>
      <c r="G95" s="15" t="s">
        <v>279</v>
      </c>
      <c r="H95" s="7"/>
      <c r="I95" s="7"/>
      <c r="J95" s="7"/>
    </row>
    <row r="96" ht="12.75" customHeight="1">
      <c r="A96" s="15" t="s">
        <v>299</v>
      </c>
      <c r="B96" s="10">
        <v>0.95</v>
      </c>
      <c r="C96" s="16">
        <v>2.0</v>
      </c>
      <c r="D96" s="17">
        <f t="shared" si="15"/>
        <v>1.9</v>
      </c>
      <c r="E96" s="7"/>
      <c r="F96" s="7"/>
      <c r="G96" s="15" t="s">
        <v>299</v>
      </c>
      <c r="H96" s="7"/>
      <c r="I96" s="7"/>
      <c r="J96" s="7"/>
    </row>
    <row r="97" ht="12.75" customHeight="1">
      <c r="A97" s="15" t="s">
        <v>108</v>
      </c>
      <c r="B97" s="10">
        <v>1.26</v>
      </c>
      <c r="C97" s="16">
        <v>4.0</v>
      </c>
      <c r="D97" s="17">
        <f t="shared" si="15"/>
        <v>5.04</v>
      </c>
      <c r="E97" s="7"/>
      <c r="F97" s="7"/>
      <c r="G97" s="15" t="s">
        <v>108</v>
      </c>
      <c r="H97" s="7"/>
      <c r="I97" s="7"/>
      <c r="J97" s="7"/>
    </row>
    <row r="98" ht="12.75" customHeight="1">
      <c r="A98" s="15" t="s">
        <v>296</v>
      </c>
      <c r="B98" s="10">
        <v>1.43</v>
      </c>
      <c r="C98" s="16">
        <v>2.0</v>
      </c>
      <c r="D98" s="17">
        <f t="shared" si="15"/>
        <v>2.86</v>
      </c>
      <c r="E98" s="7"/>
      <c r="F98" s="7"/>
      <c r="G98" s="15" t="s">
        <v>296</v>
      </c>
      <c r="H98" s="7"/>
      <c r="I98" s="7"/>
      <c r="J98" s="7"/>
    </row>
    <row r="99" ht="12.75" customHeight="1">
      <c r="A99" s="15" t="s">
        <v>300</v>
      </c>
      <c r="B99" s="10">
        <v>2.64</v>
      </c>
      <c r="C99" s="16">
        <v>1.0</v>
      </c>
      <c r="D99" s="17">
        <f t="shared" si="15"/>
        <v>2.64</v>
      </c>
      <c r="E99" s="7"/>
      <c r="F99" s="7"/>
      <c r="G99" s="15" t="s">
        <v>300</v>
      </c>
      <c r="H99" s="7"/>
      <c r="I99" s="7"/>
      <c r="J99" s="7"/>
    </row>
    <row r="100" ht="12.75" customHeight="1">
      <c r="A100" s="15" t="s">
        <v>59</v>
      </c>
      <c r="B100" s="10">
        <v>2.66</v>
      </c>
      <c r="C100" s="16">
        <v>2.0</v>
      </c>
      <c r="D100" s="17">
        <f t="shared" si="15"/>
        <v>5.32</v>
      </c>
      <c r="E100" s="7"/>
      <c r="F100" s="7"/>
      <c r="G100" s="15" t="s">
        <v>59</v>
      </c>
      <c r="H100" s="11">
        <f>SUM(D99:D109,B67:B68,)</f>
        <v>662.53</v>
      </c>
      <c r="I100" s="7"/>
      <c r="J100" s="7"/>
    </row>
    <row r="101" ht="12.75" customHeight="1">
      <c r="A101" s="15" t="s">
        <v>103</v>
      </c>
      <c r="B101" s="10">
        <v>2.39</v>
      </c>
      <c r="C101" s="16">
        <v>1.0</v>
      </c>
      <c r="D101" s="17">
        <f t="shared" si="15"/>
        <v>2.39</v>
      </c>
      <c r="E101" s="7"/>
      <c r="F101" s="7"/>
      <c r="G101" s="15" t="s">
        <v>103</v>
      </c>
      <c r="H101" s="7"/>
      <c r="I101" s="7"/>
      <c r="J101" s="7"/>
    </row>
    <row r="102" ht="12.75" customHeight="1">
      <c r="A102" s="15" t="s">
        <v>278</v>
      </c>
      <c r="B102" s="10">
        <v>2.74</v>
      </c>
      <c r="C102" s="16">
        <v>6.0</v>
      </c>
      <c r="D102" s="17">
        <f t="shared" si="15"/>
        <v>16.44</v>
      </c>
      <c r="E102" s="7"/>
      <c r="F102" s="7"/>
      <c r="G102" s="15" t="s">
        <v>278</v>
      </c>
      <c r="H102" s="7"/>
      <c r="I102" s="7"/>
      <c r="J102" s="7"/>
    </row>
    <row r="103" ht="12.75" customHeight="1">
      <c r="A103" s="15" t="s">
        <v>294</v>
      </c>
      <c r="B103" s="10">
        <v>30.93</v>
      </c>
      <c r="C103" s="16">
        <v>1.0</v>
      </c>
      <c r="D103" s="17">
        <f t="shared" si="15"/>
        <v>30.93</v>
      </c>
      <c r="E103" s="22"/>
      <c r="F103" s="16"/>
      <c r="G103" s="15" t="s">
        <v>294</v>
      </c>
      <c r="H103" s="16"/>
      <c r="I103" s="16"/>
      <c r="J103" s="7"/>
    </row>
    <row r="104" ht="12.75" customHeight="1">
      <c r="A104" s="15" t="s">
        <v>366</v>
      </c>
      <c r="B104" s="10">
        <v>0.0</v>
      </c>
      <c r="C104" s="16">
        <v>2.0</v>
      </c>
      <c r="D104" s="17">
        <f t="shared" si="15"/>
        <v>0</v>
      </c>
      <c r="E104" s="79">
        <v>45142.0</v>
      </c>
      <c r="F104" s="80"/>
      <c r="G104" s="16" t="s">
        <v>367</v>
      </c>
      <c r="H104" s="16" t="s">
        <v>356</v>
      </c>
      <c r="I104" s="16" t="s">
        <v>367</v>
      </c>
      <c r="J104" s="7" t="s">
        <v>47</v>
      </c>
    </row>
    <row r="105" ht="12.75" customHeight="1">
      <c r="A105" s="15" t="s">
        <v>360</v>
      </c>
      <c r="B105" s="10">
        <v>0.0</v>
      </c>
      <c r="C105" s="16">
        <v>2.0</v>
      </c>
      <c r="D105" s="17">
        <f t="shared" si="15"/>
        <v>0</v>
      </c>
      <c r="E105" s="79">
        <v>45142.0</v>
      </c>
      <c r="F105" s="80"/>
      <c r="G105" s="16" t="s">
        <v>361</v>
      </c>
      <c r="H105" s="16" t="s">
        <v>356</v>
      </c>
      <c r="I105" s="16" t="s">
        <v>361</v>
      </c>
      <c r="J105" s="7" t="s">
        <v>47</v>
      </c>
    </row>
    <row r="106" ht="12.75" customHeight="1">
      <c r="A106" s="15" t="s">
        <v>363</v>
      </c>
      <c r="B106" s="10">
        <v>0.0</v>
      </c>
      <c r="C106" s="16">
        <v>2.0</v>
      </c>
      <c r="D106" s="17">
        <f t="shared" si="15"/>
        <v>0</v>
      </c>
      <c r="E106" s="79">
        <v>45142.0</v>
      </c>
      <c r="F106" s="80"/>
      <c r="G106" s="16" t="s">
        <v>364</v>
      </c>
      <c r="H106" s="16" t="s">
        <v>356</v>
      </c>
      <c r="I106" s="16" t="s">
        <v>364</v>
      </c>
      <c r="J106" s="7" t="s">
        <v>47</v>
      </c>
    </row>
    <row r="107" ht="12.75" customHeight="1">
      <c r="A107" s="15" t="s">
        <v>368</v>
      </c>
      <c r="B107" s="10">
        <v>0.0</v>
      </c>
      <c r="C107" s="16">
        <v>2.0</v>
      </c>
      <c r="D107" s="17">
        <f t="shared" si="15"/>
        <v>0</v>
      </c>
      <c r="E107" s="79">
        <v>45142.0</v>
      </c>
      <c r="F107" s="80"/>
      <c r="G107" s="16" t="s">
        <v>369</v>
      </c>
      <c r="H107" s="16" t="s">
        <v>356</v>
      </c>
      <c r="I107" s="16" t="s">
        <v>369</v>
      </c>
      <c r="J107" s="7" t="s">
        <v>47</v>
      </c>
    </row>
    <row r="108" ht="12.75" customHeight="1">
      <c r="A108" s="16" t="s">
        <v>832</v>
      </c>
      <c r="B108" s="31">
        <v>66.26</v>
      </c>
      <c r="C108" s="77">
        <v>0.0</v>
      </c>
      <c r="D108" s="78">
        <f t="shared" ref="D108:D110" si="16">C108*B108</f>
        <v>0</v>
      </c>
      <c r="E108" s="79"/>
      <c r="F108" s="16"/>
      <c r="G108" s="16" t="s">
        <v>833</v>
      </c>
      <c r="H108" s="77"/>
      <c r="I108" s="77"/>
      <c r="J108" s="7"/>
    </row>
    <row r="109" ht="12.75" customHeight="1">
      <c r="A109" s="16" t="s">
        <v>834</v>
      </c>
      <c r="B109" s="31">
        <v>66.62</v>
      </c>
      <c r="C109" s="77">
        <v>0.0</v>
      </c>
      <c r="D109" s="78">
        <f t="shared" si="16"/>
        <v>0</v>
      </c>
      <c r="E109" s="79"/>
      <c r="F109" s="16"/>
      <c r="G109" s="16" t="s">
        <v>835</v>
      </c>
      <c r="H109" s="77"/>
      <c r="I109" s="77"/>
      <c r="J109" s="7"/>
    </row>
    <row r="110" ht="12.75" customHeight="1">
      <c r="A110" s="16" t="s">
        <v>836</v>
      </c>
      <c r="B110" s="31">
        <v>172.71</v>
      </c>
      <c r="C110" s="77">
        <v>2.0</v>
      </c>
      <c r="D110" s="78">
        <f t="shared" si="16"/>
        <v>345.42</v>
      </c>
      <c r="E110" s="79"/>
      <c r="F110" s="16"/>
      <c r="G110" s="16" t="s">
        <v>837</v>
      </c>
      <c r="I110" s="77"/>
      <c r="J110" s="7"/>
    </row>
    <row r="111" ht="12.75" customHeight="1">
      <c r="A111" s="15" t="s">
        <v>432</v>
      </c>
      <c r="B111" s="10">
        <v>371.12</v>
      </c>
      <c r="C111" s="16">
        <v>1.0</v>
      </c>
      <c r="D111" s="17">
        <f t="shared" ref="D111:D116" si="17">B111*C111</f>
        <v>371.12</v>
      </c>
      <c r="E111" s="7"/>
      <c r="F111" s="7"/>
      <c r="G111" s="7"/>
      <c r="H111" s="7"/>
      <c r="I111" s="7"/>
      <c r="J111" s="7" t="s">
        <v>433</v>
      </c>
    </row>
    <row r="112" ht="12.75" customHeight="1">
      <c r="A112" s="15" t="s">
        <v>471</v>
      </c>
      <c r="B112" s="16">
        <v>0.0</v>
      </c>
      <c r="C112" s="16">
        <v>1.0</v>
      </c>
      <c r="D112" s="17">
        <f t="shared" si="17"/>
        <v>0</v>
      </c>
      <c r="J112" s="16" t="s">
        <v>472</v>
      </c>
    </row>
    <row r="113" ht="12.75" customHeight="1">
      <c r="A113" s="15" t="s">
        <v>838</v>
      </c>
      <c r="B113" s="10">
        <v>35.2</v>
      </c>
      <c r="C113" s="16">
        <v>2.0</v>
      </c>
      <c r="D113" s="17">
        <f t="shared" si="17"/>
        <v>70.4</v>
      </c>
      <c r="J113" s="7"/>
    </row>
    <row r="114" ht="12.75" customHeight="1">
      <c r="A114" s="15" t="s">
        <v>839</v>
      </c>
      <c r="B114" s="10">
        <v>26.9</v>
      </c>
      <c r="C114" s="16">
        <v>4.0</v>
      </c>
      <c r="D114" s="17">
        <f t="shared" si="17"/>
        <v>107.6</v>
      </c>
      <c r="E114" s="22"/>
      <c r="F114" s="16"/>
      <c r="H114" s="16"/>
      <c r="I114" s="16"/>
      <c r="J114" s="7"/>
    </row>
    <row r="115" ht="12.75" customHeight="1">
      <c r="A115" s="15" t="s">
        <v>840</v>
      </c>
      <c r="B115" s="10">
        <v>0.0</v>
      </c>
      <c r="C115" s="16">
        <v>4.0</v>
      </c>
      <c r="D115" s="17">
        <f t="shared" si="17"/>
        <v>0</v>
      </c>
      <c r="E115" s="79">
        <v>45142.0</v>
      </c>
      <c r="F115" s="80"/>
      <c r="H115" s="16"/>
      <c r="J115" s="7" t="s">
        <v>47</v>
      </c>
    </row>
    <row r="116" ht="12.75" customHeight="1">
      <c r="A116" s="15" t="s">
        <v>515</v>
      </c>
      <c r="B116" s="10">
        <v>31.56</v>
      </c>
      <c r="C116" s="16">
        <v>1.0</v>
      </c>
      <c r="D116" s="17">
        <f t="shared" si="17"/>
        <v>31.56</v>
      </c>
      <c r="E116" s="7"/>
      <c r="F116" s="7"/>
      <c r="G116" s="7"/>
      <c r="H116" s="7"/>
      <c r="I116" s="7"/>
      <c r="J116" s="7" t="s">
        <v>516</v>
      </c>
    </row>
    <row r="117" ht="12.75" customHeight="1">
      <c r="A117" s="15" t="s">
        <v>445</v>
      </c>
      <c r="B117" s="10"/>
      <c r="C117" s="16"/>
      <c r="D117" s="17"/>
      <c r="J117" s="7"/>
    </row>
    <row r="118" ht="12.75" customHeight="1">
      <c r="A118" s="15" t="s">
        <v>520</v>
      </c>
      <c r="B118" s="31"/>
      <c r="C118" s="16">
        <v>4.0</v>
      </c>
      <c r="D118" s="17"/>
      <c r="J118" s="7"/>
    </row>
    <row r="119" ht="12.75" customHeight="1">
      <c r="A119" s="46" t="s">
        <v>345</v>
      </c>
      <c r="B119" s="74">
        <f>SUM(D120:D137)</f>
        <v>1107.42</v>
      </c>
    </row>
    <row r="120" ht="12.75" customHeight="1">
      <c r="A120" s="16" t="s">
        <v>61</v>
      </c>
      <c r="B120" s="31">
        <v>3.02</v>
      </c>
      <c r="C120" s="77">
        <v>1.0</v>
      </c>
      <c r="D120" s="78"/>
      <c r="E120" s="79"/>
      <c r="F120" s="16"/>
      <c r="H120" s="77"/>
      <c r="I120" s="77"/>
      <c r="J120" s="7"/>
    </row>
    <row r="121" ht="12.75" customHeight="1">
      <c r="A121" s="16" t="s">
        <v>84</v>
      </c>
      <c r="B121" s="31">
        <v>1.54</v>
      </c>
      <c r="C121" s="77">
        <v>1.0</v>
      </c>
      <c r="D121" s="78">
        <f>C121*B121</f>
        <v>1.54</v>
      </c>
      <c r="E121" s="79"/>
      <c r="F121" s="16"/>
      <c r="H121" s="77"/>
      <c r="I121" s="77"/>
      <c r="J121" s="7"/>
    </row>
    <row r="122" ht="12.75" customHeight="1">
      <c r="A122" s="46" t="s">
        <v>301</v>
      </c>
      <c r="B122" s="74">
        <f>SUM(D123:D126)</f>
        <v>400</v>
      </c>
      <c r="C122" s="16"/>
      <c r="E122" s="7"/>
      <c r="F122" s="7"/>
      <c r="G122" s="7"/>
      <c r="H122" s="7"/>
      <c r="I122" s="7"/>
      <c r="J122" s="7"/>
    </row>
    <row r="123" ht="12.75" customHeight="1">
      <c r="A123" s="15" t="s">
        <v>623</v>
      </c>
      <c r="B123" s="10">
        <v>400.0</v>
      </c>
      <c r="C123" s="16">
        <v>1.0</v>
      </c>
      <c r="D123" s="17">
        <f>B123*C123</f>
        <v>400</v>
      </c>
      <c r="E123" s="22">
        <v>45302.0</v>
      </c>
      <c r="F123" s="7"/>
      <c r="G123" s="7"/>
      <c r="H123" s="7"/>
      <c r="I123" s="7"/>
      <c r="J123" s="7"/>
    </row>
    <row r="124" ht="12.75" customHeight="1">
      <c r="A124" s="46" t="s">
        <v>483</v>
      </c>
      <c r="B124" s="74">
        <f>SUM(D125:D127)</f>
        <v>0</v>
      </c>
    </row>
    <row r="125" ht="12.75" customHeight="1">
      <c r="A125" s="86" t="s">
        <v>72</v>
      </c>
      <c r="B125" s="74"/>
      <c r="C125" s="70"/>
      <c r="E125" s="75"/>
      <c r="F125" s="75"/>
      <c r="G125" s="75"/>
      <c r="H125" s="75"/>
      <c r="I125" s="75"/>
      <c r="J125" s="75"/>
    </row>
    <row r="126" ht="12.75" customHeight="1">
      <c r="A126" s="46" t="s">
        <v>218</v>
      </c>
      <c r="B126" s="74">
        <f>SUM(D127:D139)</f>
        <v>705.88</v>
      </c>
      <c r="C126" s="16"/>
      <c r="E126" s="7"/>
      <c r="F126" s="16"/>
      <c r="G126" s="16"/>
      <c r="H126" s="16"/>
      <c r="I126" s="16"/>
      <c r="J126" s="16"/>
    </row>
    <row r="127" ht="12.75" customHeight="1">
      <c r="A127" s="87" t="s">
        <v>90</v>
      </c>
      <c r="B127" s="10"/>
      <c r="C127" s="77"/>
      <c r="D127" s="78"/>
      <c r="E127" s="79"/>
      <c r="F127" s="80"/>
      <c r="G127" s="77"/>
      <c r="H127" s="84"/>
      <c r="I127" s="80"/>
      <c r="J127" s="7"/>
    </row>
    <row r="128" ht="12.75" customHeight="1">
      <c r="A128" s="15" t="s">
        <v>841</v>
      </c>
      <c r="B128" s="10"/>
      <c r="C128" s="16"/>
      <c r="D128" s="78"/>
      <c r="J128" s="7"/>
    </row>
    <row r="129" ht="12.75" customHeight="1">
      <c r="A129" s="87" t="s">
        <v>543</v>
      </c>
      <c r="B129" s="10"/>
      <c r="C129" s="77"/>
      <c r="D129" s="78"/>
      <c r="E129" s="79"/>
      <c r="F129" s="80"/>
      <c r="G129" s="77"/>
      <c r="H129" s="80"/>
      <c r="I129" s="77"/>
      <c r="J129" s="7"/>
    </row>
    <row r="130" ht="12.75" customHeight="1">
      <c r="A130" s="71" t="s">
        <v>10</v>
      </c>
      <c r="B130" s="74">
        <f>SUM(D135:D144)</f>
        <v>469.9</v>
      </c>
      <c r="C130" s="70"/>
      <c r="E130" s="75"/>
      <c r="F130" s="75"/>
      <c r="G130" s="75"/>
      <c r="H130" s="75"/>
      <c r="I130" s="75"/>
      <c r="J130" s="75"/>
    </row>
    <row r="131" ht="12.75" customHeight="1">
      <c r="A131" s="76" t="s">
        <v>250</v>
      </c>
      <c r="B131" s="31">
        <v>0.0</v>
      </c>
      <c r="C131" s="77">
        <v>1.0</v>
      </c>
      <c r="D131" s="78">
        <f>C131*B131</f>
        <v>0</v>
      </c>
      <c r="E131" s="79"/>
      <c r="F131" s="80"/>
      <c r="G131" s="77"/>
      <c r="H131" s="77"/>
      <c r="I131" s="77"/>
      <c r="J131" s="7" t="s">
        <v>251</v>
      </c>
    </row>
    <row r="132" ht="12.75" customHeight="1">
      <c r="A132" s="46" t="s">
        <v>391</v>
      </c>
      <c r="B132" s="74">
        <f>SUM(D133:D145)</f>
        <v>1175.78</v>
      </c>
      <c r="C132" s="16"/>
      <c r="E132" s="7"/>
      <c r="F132" s="80"/>
      <c r="H132" s="16"/>
      <c r="J132" s="7"/>
    </row>
    <row r="133" ht="12.75" customHeight="1">
      <c r="A133" s="15" t="s">
        <v>842</v>
      </c>
      <c r="B133" s="10">
        <v>100.84</v>
      </c>
      <c r="C133" s="16">
        <v>7.0</v>
      </c>
      <c r="D133" s="17">
        <f>B133*C133</f>
        <v>705.88</v>
      </c>
      <c r="E133" s="7"/>
      <c r="F133" s="80"/>
      <c r="H133" s="16"/>
      <c r="J133" s="16" t="s">
        <v>843</v>
      </c>
    </row>
    <row r="134" ht="12.75" customHeight="1">
      <c r="A134" s="15" t="s">
        <v>544</v>
      </c>
      <c r="B134" s="10">
        <v>0.0</v>
      </c>
      <c r="C134" s="16">
        <v>2.0</v>
      </c>
      <c r="D134" s="17"/>
      <c r="E134" s="79">
        <v>45142.0</v>
      </c>
      <c r="F134" s="7"/>
      <c r="G134" s="7"/>
      <c r="H134" s="7"/>
      <c r="I134" s="7"/>
      <c r="J134" s="7" t="s">
        <v>47</v>
      </c>
    </row>
    <row r="135" ht="12.75" customHeight="1">
      <c r="A135" s="87" t="s">
        <v>237</v>
      </c>
      <c r="B135" s="10"/>
      <c r="C135" s="77"/>
      <c r="D135" s="78"/>
      <c r="E135" s="79"/>
      <c r="F135" s="80"/>
      <c r="G135" s="77"/>
      <c r="H135" s="77"/>
      <c r="I135" s="77"/>
      <c r="J135" s="7"/>
    </row>
    <row r="136" ht="12.75" customHeight="1">
      <c r="A136" s="46" t="s">
        <v>844</v>
      </c>
      <c r="B136" s="74">
        <f>SUM(D137:D149)</f>
        <v>1321.9</v>
      </c>
      <c r="C136" s="16"/>
      <c r="E136" s="7"/>
      <c r="F136" s="80"/>
      <c r="H136" s="16"/>
      <c r="J136" s="7"/>
    </row>
    <row r="137" ht="12.75" customHeight="1">
      <c r="A137" s="87" t="s">
        <v>120</v>
      </c>
      <c r="B137" s="10"/>
      <c r="C137" s="77"/>
      <c r="D137" s="78"/>
      <c r="E137" s="79"/>
      <c r="F137" s="80"/>
      <c r="G137" s="77"/>
      <c r="H137" s="84"/>
      <c r="I137" s="80"/>
      <c r="J137" s="7"/>
    </row>
    <row r="138" ht="12.75" customHeight="1">
      <c r="A138" s="46" t="s">
        <v>241</v>
      </c>
      <c r="B138" s="74">
        <f>SUM(D139:D148)</f>
        <v>1255.9</v>
      </c>
      <c r="C138" s="16"/>
      <c r="E138" s="7"/>
      <c r="F138" s="16"/>
      <c r="G138" s="16"/>
      <c r="H138" s="16"/>
      <c r="I138" s="16"/>
      <c r="J138" s="16"/>
    </row>
    <row r="139" ht="12.75" customHeight="1">
      <c r="A139" s="46" t="s">
        <v>514</v>
      </c>
      <c r="B139" s="74">
        <f>SUM(D141:D144)</f>
        <v>469.9</v>
      </c>
      <c r="C139" s="7"/>
      <c r="J139" s="7"/>
    </row>
    <row r="140" ht="12.75" customHeight="1">
      <c r="A140" s="34" t="s">
        <v>240</v>
      </c>
      <c r="B140" s="31"/>
      <c r="C140" s="77"/>
      <c r="D140" s="78"/>
      <c r="E140" s="79"/>
      <c r="F140" s="16"/>
      <c r="I140" s="77"/>
      <c r="J140" s="7"/>
    </row>
    <row r="141" ht="15.0" customHeight="1">
      <c r="A141" s="15" t="s">
        <v>517</v>
      </c>
      <c r="B141" s="31">
        <v>42.45</v>
      </c>
      <c r="C141" s="7">
        <v>2.0</v>
      </c>
      <c r="D141" s="17">
        <f>B141*C141</f>
        <v>84.9</v>
      </c>
      <c r="H141" s="16" t="s">
        <v>519</v>
      </c>
      <c r="J141" s="7"/>
    </row>
    <row r="142" ht="12.75" customHeight="1">
      <c r="A142" s="46" t="s">
        <v>258</v>
      </c>
      <c r="B142" s="74">
        <f>SUM(D143:D144)</f>
        <v>385</v>
      </c>
      <c r="C142" s="16"/>
      <c r="E142" s="7"/>
      <c r="F142" s="16"/>
      <c r="G142" s="16"/>
      <c r="H142" s="16"/>
      <c r="I142" s="16"/>
      <c r="J142" s="16"/>
    </row>
    <row r="143" ht="12.75" customHeight="1">
      <c r="A143" s="15" t="s">
        <v>622</v>
      </c>
      <c r="B143" s="10">
        <v>385.0</v>
      </c>
      <c r="C143" s="16">
        <v>1.0</v>
      </c>
      <c r="D143" s="17">
        <f>B143*C143</f>
        <v>385</v>
      </c>
      <c r="E143" s="22">
        <v>45215.0</v>
      </c>
      <c r="F143" s="7"/>
      <c r="G143" s="7"/>
      <c r="H143" s="7"/>
      <c r="I143" s="7"/>
      <c r="J143" s="7"/>
    </row>
    <row r="144" ht="12.75" customHeight="1">
      <c r="A144" s="46" t="s">
        <v>263</v>
      </c>
      <c r="B144" s="74">
        <f>SUM(D145:D171)</f>
        <v>1205</v>
      </c>
      <c r="C144" s="16"/>
      <c r="E144" s="22"/>
      <c r="F144" s="16"/>
      <c r="G144" s="16"/>
      <c r="H144" s="16"/>
      <c r="I144" s="16"/>
      <c r="J144" s="7"/>
    </row>
    <row r="145" ht="12.75" customHeight="1">
      <c r="A145" s="46" t="s">
        <v>326</v>
      </c>
      <c r="B145" s="74">
        <f>SUM(D146:D150)</f>
        <v>865</v>
      </c>
      <c r="C145" s="16"/>
      <c r="E145" s="7"/>
      <c r="F145" s="7"/>
      <c r="G145" s="7"/>
      <c r="H145" s="7"/>
      <c r="I145" s="7"/>
      <c r="J145" s="7"/>
    </row>
    <row r="146" ht="12.75" customHeight="1">
      <c r="A146" s="46" t="s">
        <v>525</v>
      </c>
      <c r="B146" s="74">
        <f>SUM(D147:D156)</f>
        <v>1005</v>
      </c>
      <c r="C146" s="16"/>
      <c r="E146" s="7"/>
      <c r="F146" s="7"/>
      <c r="G146" s="7"/>
      <c r="H146" s="7"/>
      <c r="I146" s="7"/>
      <c r="J146" s="7"/>
    </row>
    <row r="147" ht="12.75" customHeight="1">
      <c r="A147" s="15" t="s">
        <v>259</v>
      </c>
      <c r="B147" s="10">
        <v>786.0</v>
      </c>
      <c r="C147" s="16">
        <v>1.0</v>
      </c>
      <c r="D147" s="78">
        <f>C147*B147</f>
        <v>786</v>
      </c>
      <c r="E147" s="22">
        <v>45174.0</v>
      </c>
      <c r="F147" s="7"/>
      <c r="G147" s="7"/>
      <c r="H147" s="16" t="s">
        <v>261</v>
      </c>
      <c r="I147" s="16">
        <v>6.8514437937E10</v>
      </c>
      <c r="J147" s="16" t="s">
        <v>262</v>
      </c>
    </row>
    <row r="148" ht="12.75" customHeight="1">
      <c r="A148" s="46" t="s">
        <v>621</v>
      </c>
      <c r="B148" s="74">
        <f>SUM(D149:D151)</f>
        <v>79</v>
      </c>
      <c r="C148" s="16"/>
      <c r="E148" s="7"/>
      <c r="F148" s="7"/>
      <c r="G148" s="7"/>
      <c r="H148" s="7"/>
      <c r="I148" s="7"/>
      <c r="J148" s="7"/>
    </row>
    <row r="149" ht="12.75" customHeight="1">
      <c r="A149" s="15" t="s">
        <v>845</v>
      </c>
      <c r="B149" s="10">
        <v>22.0</v>
      </c>
      <c r="C149" s="16">
        <v>3.0</v>
      </c>
      <c r="D149" s="17">
        <f t="shared" ref="D149:D154" si="18">B149*C149</f>
        <v>66</v>
      </c>
      <c r="E149" s="7"/>
      <c r="F149" s="80"/>
      <c r="H149" s="7"/>
      <c r="I149" s="7"/>
      <c r="J149" s="7"/>
    </row>
    <row r="150" ht="15.75" customHeight="1">
      <c r="A150" s="15" t="s">
        <v>845</v>
      </c>
      <c r="B150" s="10">
        <v>13.0</v>
      </c>
      <c r="C150" s="16">
        <v>1.0</v>
      </c>
      <c r="D150" s="17">
        <f t="shared" si="18"/>
        <v>13</v>
      </c>
      <c r="E150" s="7"/>
      <c r="F150" s="80"/>
      <c r="H150" s="7"/>
      <c r="I150" s="7"/>
      <c r="J150" s="7"/>
    </row>
    <row r="151" ht="12.75" customHeight="1">
      <c r="A151" s="15" t="s">
        <v>845</v>
      </c>
      <c r="B151" s="10">
        <v>22.0</v>
      </c>
      <c r="C151" s="16"/>
      <c r="D151" s="17">
        <f t="shared" si="18"/>
        <v>0</v>
      </c>
      <c r="E151" s="7"/>
      <c r="F151" s="80"/>
      <c r="H151" s="7"/>
      <c r="I151" s="7"/>
      <c r="J151" s="7"/>
    </row>
    <row r="152" ht="12.75" customHeight="1">
      <c r="A152" s="15" t="s">
        <v>845</v>
      </c>
      <c r="B152" s="10">
        <v>13.0</v>
      </c>
      <c r="C152" s="16"/>
      <c r="D152" s="17">
        <f t="shared" si="18"/>
        <v>0</v>
      </c>
      <c r="E152" s="7"/>
      <c r="F152" s="80"/>
      <c r="H152" s="7"/>
      <c r="I152" s="7"/>
      <c r="J152" s="7"/>
    </row>
    <row r="153" ht="12.75" customHeight="1">
      <c r="A153" s="15" t="s">
        <v>846</v>
      </c>
      <c r="B153" s="10">
        <v>140.0</v>
      </c>
      <c r="C153" s="16">
        <v>1.0</v>
      </c>
      <c r="D153" s="17">
        <f t="shared" si="18"/>
        <v>140</v>
      </c>
      <c r="E153" s="7"/>
      <c r="F153" s="80"/>
      <c r="H153" s="7"/>
      <c r="I153" s="7"/>
      <c r="J153" s="7"/>
    </row>
    <row r="154" ht="12.75" customHeight="1">
      <c r="A154" s="15" t="s">
        <v>846</v>
      </c>
      <c r="B154" s="10">
        <v>140.0</v>
      </c>
      <c r="C154" s="16"/>
      <c r="D154" s="17">
        <f t="shared" si="18"/>
        <v>0</v>
      </c>
      <c r="E154" s="7"/>
      <c r="F154" s="80"/>
      <c r="H154" s="7"/>
      <c r="I154" s="7"/>
      <c r="J154" s="7"/>
    </row>
    <row r="155" ht="12.75" customHeight="1">
      <c r="A155" s="86" t="s">
        <v>43</v>
      </c>
      <c r="B155" s="74"/>
      <c r="C155" s="70"/>
      <c r="E155" s="75"/>
      <c r="F155" s="75"/>
      <c r="G155" s="75"/>
      <c r="H155" s="75"/>
      <c r="I155" s="75"/>
      <c r="J155" s="75"/>
    </row>
    <row r="156" ht="12.75" customHeight="1">
      <c r="A156" s="46" t="s">
        <v>499</v>
      </c>
      <c r="B156" s="74">
        <f>SUM(D157:D159)</f>
        <v>200</v>
      </c>
      <c r="C156" s="16"/>
      <c r="J156" s="7"/>
    </row>
    <row r="157" ht="12.75" customHeight="1">
      <c r="A157" s="15" t="s">
        <v>601</v>
      </c>
      <c r="B157" s="10">
        <v>200.0</v>
      </c>
      <c r="C157" s="16">
        <v>1.0</v>
      </c>
      <c r="D157" s="17">
        <f>B157*C157</f>
        <v>200</v>
      </c>
      <c r="J157" s="7"/>
    </row>
    <row r="158" ht="12.75" customHeight="1">
      <c r="A158" s="46" t="s">
        <v>428</v>
      </c>
      <c r="B158" s="74">
        <f>SUM(D159:D167)</f>
        <v>0</v>
      </c>
      <c r="C158" s="16"/>
      <c r="E158" s="7"/>
      <c r="F158" s="80"/>
      <c r="G158" s="7"/>
      <c r="H158" s="7"/>
      <c r="I158" s="7"/>
      <c r="J158" s="7" t="s">
        <v>431</v>
      </c>
    </row>
    <row r="159" ht="12.75" customHeight="1">
      <c r="A159" s="46" t="s">
        <v>456</v>
      </c>
      <c r="B159" s="74">
        <f>SUM(D160:D167)</f>
        <v>0</v>
      </c>
    </row>
    <row r="160" ht="12.75" customHeight="1">
      <c r="A160" s="85"/>
      <c r="B160" s="10"/>
      <c r="C160" s="77"/>
      <c r="D160" s="78"/>
      <c r="E160" s="79"/>
      <c r="F160" s="80"/>
      <c r="G160" s="77"/>
      <c r="H160" s="77"/>
      <c r="I160" s="7"/>
      <c r="J160" s="7"/>
    </row>
    <row r="161" ht="12.75" customHeight="1">
      <c r="A161" s="76"/>
      <c r="B161" s="10"/>
      <c r="C161" s="77"/>
      <c r="D161" s="78"/>
      <c r="E161" s="79"/>
      <c r="F161" s="80"/>
      <c r="G161" s="77"/>
      <c r="H161" s="84"/>
      <c r="I161" s="80"/>
      <c r="J161" s="7"/>
    </row>
    <row r="162" ht="12.75" customHeight="1">
      <c r="A162" s="76"/>
      <c r="B162" s="10"/>
      <c r="C162" s="77"/>
      <c r="D162" s="78"/>
      <c r="E162" s="79"/>
      <c r="F162" s="80"/>
      <c r="G162" s="77"/>
      <c r="H162" s="84"/>
      <c r="I162" s="80"/>
      <c r="J162" s="7"/>
    </row>
    <row r="163" ht="12.75" customHeight="1">
      <c r="A163" s="15"/>
      <c r="B163" s="10"/>
      <c r="C163" s="16"/>
      <c r="D163" s="78"/>
      <c r="E163" s="7"/>
      <c r="F163" s="16"/>
      <c r="G163" s="16"/>
      <c r="H163" s="16"/>
      <c r="I163" s="16"/>
      <c r="J163" s="16"/>
    </row>
    <row r="164" ht="12.75" customHeight="1">
      <c r="A164" s="46"/>
      <c r="B164" s="10"/>
      <c r="C164" s="16"/>
      <c r="D164" s="78"/>
      <c r="E164" s="7"/>
      <c r="F164" s="16"/>
      <c r="G164" s="16"/>
      <c r="H164" s="16"/>
      <c r="I164" s="16"/>
      <c r="J164" s="16"/>
    </row>
    <row r="165" ht="12.75" customHeight="1">
      <c r="A165" s="46"/>
      <c r="C165" s="16"/>
      <c r="D165" s="78"/>
      <c r="E165" s="7"/>
      <c r="F165" s="16"/>
      <c r="G165" s="16"/>
      <c r="H165" s="16"/>
      <c r="I165" s="16"/>
      <c r="J165" s="16"/>
    </row>
    <row r="166" ht="12.75" customHeight="1">
      <c r="A166" s="46"/>
      <c r="B166" s="10"/>
      <c r="C166" s="16"/>
      <c r="D166" s="78"/>
      <c r="E166" s="7"/>
      <c r="F166" s="16"/>
      <c r="G166" s="16"/>
      <c r="H166" s="16"/>
      <c r="I166" s="16"/>
      <c r="J166" s="16"/>
    </row>
    <row r="167" ht="12.75" customHeight="1">
      <c r="A167" s="15"/>
      <c r="B167" s="10"/>
      <c r="C167" s="16"/>
      <c r="D167" s="17"/>
      <c r="E167" s="7"/>
      <c r="F167" s="7"/>
      <c r="G167" s="7"/>
      <c r="H167" s="7"/>
      <c r="I167" s="7"/>
      <c r="J167" s="7"/>
    </row>
    <row r="168" ht="12.75" customHeight="1">
      <c r="A168" s="15"/>
      <c r="B168" s="10"/>
      <c r="C168" s="16"/>
      <c r="D168" s="17"/>
      <c r="E168" s="7"/>
      <c r="F168" s="7"/>
      <c r="G168" s="7"/>
      <c r="H168" s="7"/>
      <c r="I168" s="7"/>
      <c r="J168" s="7"/>
    </row>
    <row r="169" ht="12.75" customHeight="1">
      <c r="A169" s="15"/>
      <c r="B169" s="10"/>
      <c r="C169" s="16"/>
      <c r="D169" s="17"/>
      <c r="E169" s="7"/>
      <c r="F169" s="7"/>
      <c r="G169" s="7"/>
      <c r="H169" s="7"/>
      <c r="I169" s="7"/>
      <c r="J169" s="7"/>
    </row>
    <row r="170" ht="12.75" customHeight="1">
      <c r="A170" s="15"/>
      <c r="C170" s="16"/>
      <c r="D170" s="17"/>
      <c r="E170" s="7"/>
      <c r="F170" s="80"/>
      <c r="H170" s="16"/>
      <c r="J170" s="7"/>
    </row>
    <row r="171" ht="12.75" customHeight="1">
      <c r="A171" s="15"/>
      <c r="B171" s="10"/>
      <c r="C171" s="16"/>
      <c r="D171" s="17"/>
      <c r="E171" s="7"/>
      <c r="F171" s="80"/>
      <c r="H171" s="7"/>
      <c r="I171" s="7"/>
      <c r="J171" s="7"/>
    </row>
    <row r="172" ht="12.75" customHeight="1">
      <c r="A172" s="15"/>
      <c r="B172" s="10"/>
      <c r="C172" s="16"/>
      <c r="D172" s="17"/>
      <c r="E172" s="7"/>
      <c r="F172" s="80"/>
      <c r="H172" s="7"/>
      <c r="I172" s="7"/>
      <c r="J172" s="7"/>
    </row>
    <row r="173" ht="12.75" customHeight="1">
      <c r="A173" s="15"/>
      <c r="B173" s="31"/>
      <c r="C173" s="7"/>
      <c r="D173" s="17"/>
      <c r="J173" s="7"/>
    </row>
    <row r="174" ht="12.75" customHeight="1">
      <c r="A174" s="15"/>
      <c r="B174" s="59"/>
      <c r="C174" s="16"/>
      <c r="D174" s="17"/>
    </row>
    <row r="175" ht="12.75" customHeight="1">
      <c r="A175" s="15"/>
      <c r="B175" s="10"/>
      <c r="C175" s="16"/>
      <c r="D175" s="78"/>
      <c r="J175" s="7"/>
    </row>
    <row r="176" ht="12.75" customHeight="1">
      <c r="A176" s="15"/>
      <c r="B176" s="31"/>
      <c r="C176" s="7"/>
      <c r="D176" s="17"/>
      <c r="J176" s="7"/>
    </row>
    <row r="177" ht="12.75" customHeight="1">
      <c r="A177" s="15"/>
      <c r="B177" s="10"/>
      <c r="C177" s="16"/>
      <c r="D177" s="17"/>
      <c r="E177" s="7"/>
      <c r="F177" s="7"/>
      <c r="G177" s="7"/>
      <c r="H177" s="7"/>
      <c r="I177" s="7"/>
      <c r="J177" s="7"/>
    </row>
    <row r="178" ht="12.75" customHeight="1">
      <c r="A178" s="76"/>
      <c r="B178" s="10"/>
      <c r="C178" s="77"/>
      <c r="D178" s="78"/>
      <c r="E178" s="79"/>
      <c r="F178" s="80"/>
      <c r="G178" s="77"/>
      <c r="H178" s="80"/>
      <c r="I178" s="77"/>
      <c r="J178" s="7"/>
    </row>
    <row r="179" ht="12.75" customHeight="1">
      <c r="A179" s="15"/>
      <c r="B179" s="10"/>
      <c r="C179" s="16"/>
      <c r="D179" s="17"/>
      <c r="E179" s="7"/>
      <c r="F179" s="7"/>
      <c r="G179" s="7"/>
      <c r="H179" s="7"/>
      <c r="I179" s="7"/>
      <c r="J179" s="7"/>
    </row>
    <row r="180" ht="12.75" customHeight="1">
      <c r="A180" s="15"/>
      <c r="B180" s="10"/>
      <c r="C180" s="16"/>
      <c r="D180" s="17"/>
      <c r="E180" s="22"/>
      <c r="F180" s="7"/>
      <c r="G180" s="7"/>
      <c r="H180" s="7"/>
      <c r="I180" s="7"/>
      <c r="J180" s="7"/>
    </row>
    <row r="181" ht="12.75" customHeight="1">
      <c r="A181" s="15"/>
      <c r="B181" s="31"/>
      <c r="C181" s="66" t="s">
        <v>3</v>
      </c>
      <c r="D181" s="67">
        <f>SUM(D7:D178)</f>
        <v>53243.89</v>
      </c>
      <c r="E181" s="7"/>
      <c r="F181" s="7"/>
      <c r="G181" s="7"/>
      <c r="H181" s="7"/>
      <c r="I181" s="7"/>
      <c r="J181" s="7"/>
    </row>
    <row r="182" ht="12.75" customHeight="1">
      <c r="A182" s="68"/>
      <c r="B182" s="31"/>
    </row>
    <row r="183" ht="12.75" customHeight="1">
      <c r="A183" s="68"/>
      <c r="B183" s="31"/>
    </row>
    <row r="184" ht="12.75" customHeight="1">
      <c r="A184" s="68"/>
      <c r="B184" s="31"/>
    </row>
    <row r="185" ht="12.75" customHeight="1">
      <c r="A185" s="68"/>
      <c r="B185" s="31"/>
    </row>
    <row r="186" ht="12.75" customHeight="1">
      <c r="A186" s="68"/>
      <c r="B186" s="31"/>
    </row>
    <row r="187" ht="12.75" customHeight="1">
      <c r="A187" s="68"/>
      <c r="B187" s="31"/>
    </row>
    <row r="188" ht="12.75" customHeight="1">
      <c r="A188" s="68"/>
      <c r="B188" s="31"/>
    </row>
    <row r="189" ht="12.75" customHeight="1">
      <c r="A189" s="68"/>
    </row>
    <row r="190" ht="12.75" customHeight="1">
      <c r="A190" s="68"/>
    </row>
    <row r="191" ht="12.75" customHeight="1">
      <c r="A191" s="68"/>
    </row>
    <row r="192" ht="12.75" customHeight="1">
      <c r="A192" s="68"/>
    </row>
    <row r="193" ht="12.75" customHeight="1">
      <c r="A193" s="68"/>
    </row>
    <row r="194" ht="12.75" customHeight="1">
      <c r="A194" s="68"/>
    </row>
    <row r="195" ht="12.75" customHeight="1">
      <c r="A195" s="68"/>
    </row>
    <row r="196" ht="12.75" customHeight="1">
      <c r="A196" s="68"/>
    </row>
    <row r="197" ht="12.75" customHeight="1">
      <c r="A197" s="68"/>
    </row>
    <row r="198" ht="12.75" customHeight="1">
      <c r="A198" s="68"/>
    </row>
    <row r="199" ht="12.75" customHeight="1">
      <c r="A199" s="68"/>
    </row>
    <row r="200" ht="12.75" customHeight="1">
      <c r="A200" s="68"/>
    </row>
    <row r="201" ht="12.75" customHeight="1">
      <c r="A201" s="68"/>
    </row>
    <row r="202" ht="12.75" customHeight="1">
      <c r="A202" s="68"/>
    </row>
    <row r="203" ht="12.75" customHeight="1">
      <c r="A203" s="68"/>
    </row>
    <row r="204" ht="12.75" customHeight="1">
      <c r="A204" s="68"/>
    </row>
    <row r="205" ht="12.75" customHeight="1">
      <c r="A205" s="68"/>
    </row>
    <row r="206" ht="12.75" customHeight="1">
      <c r="A206" s="68"/>
    </row>
    <row r="207" ht="12.75" customHeight="1">
      <c r="A207" s="68"/>
    </row>
    <row r="208" ht="12.75" customHeight="1">
      <c r="A208" s="68"/>
    </row>
    <row r="209" ht="12.75" customHeight="1">
      <c r="A209" s="68"/>
    </row>
    <row r="210" ht="12.75" customHeight="1">
      <c r="A210" s="68"/>
    </row>
    <row r="211" ht="12.75" customHeight="1">
      <c r="A211" s="68"/>
    </row>
    <row r="212" ht="12.75" customHeight="1">
      <c r="A212" s="68"/>
    </row>
    <row r="213" ht="12.75" customHeight="1">
      <c r="A213" s="68"/>
    </row>
    <row r="214" ht="12.75" customHeight="1">
      <c r="A214" s="68"/>
    </row>
    <row r="215" ht="12.75" customHeight="1">
      <c r="A215" s="68"/>
    </row>
    <row r="216" ht="12.75" customHeight="1">
      <c r="A216" s="68"/>
    </row>
    <row r="217" ht="12.75" customHeight="1">
      <c r="A217" s="68"/>
    </row>
    <row r="218" ht="12.75" customHeight="1">
      <c r="A218" s="68"/>
    </row>
    <row r="219" ht="12.75" customHeight="1">
      <c r="A219" s="68"/>
    </row>
    <row r="220" ht="12.75" customHeight="1">
      <c r="A220" s="68"/>
    </row>
    <row r="221" ht="12.75" customHeight="1">
      <c r="A221" s="68"/>
    </row>
    <row r="222" ht="12.75" customHeight="1">
      <c r="A222" s="68"/>
    </row>
    <row r="223" ht="12.75" customHeight="1">
      <c r="A223" s="68"/>
    </row>
    <row r="224" ht="12.75" customHeight="1">
      <c r="A224" s="68"/>
    </row>
    <row r="225" ht="12.75" customHeight="1">
      <c r="A225" s="68"/>
    </row>
    <row r="226" ht="12.75" customHeight="1">
      <c r="A226" s="68"/>
    </row>
    <row r="227" ht="12.75" customHeight="1">
      <c r="A227" s="68"/>
    </row>
    <row r="228" ht="12.75" customHeight="1">
      <c r="A228" s="68"/>
    </row>
    <row r="229" ht="12.75" customHeight="1">
      <c r="A229" s="68"/>
    </row>
    <row r="230" ht="12.75" customHeight="1">
      <c r="A230" s="68"/>
    </row>
    <row r="231" ht="12.75" customHeight="1">
      <c r="A231" s="68"/>
    </row>
    <row r="232" ht="12.75" customHeight="1">
      <c r="A232" s="68"/>
    </row>
    <row r="233" ht="12.75" customHeight="1">
      <c r="A233" s="68"/>
    </row>
    <row r="234" ht="12.75" customHeight="1">
      <c r="A234" s="68"/>
    </row>
    <row r="235" ht="12.75" customHeight="1">
      <c r="A235" s="68"/>
    </row>
    <row r="236" ht="12.75" customHeight="1">
      <c r="A236" s="68"/>
    </row>
    <row r="237" ht="12.75" customHeight="1">
      <c r="A237" s="68"/>
    </row>
    <row r="238" ht="12.75" customHeight="1">
      <c r="A238" s="68"/>
    </row>
    <row r="239" ht="12.75" customHeight="1">
      <c r="A239" s="68"/>
    </row>
    <row r="240" ht="12.75" customHeight="1">
      <c r="A240" s="68"/>
    </row>
    <row r="241" ht="12.75" customHeight="1">
      <c r="A241" s="68"/>
    </row>
    <row r="242" ht="12.75" customHeight="1">
      <c r="A242" s="68"/>
    </row>
    <row r="243" ht="12.75" customHeight="1">
      <c r="A243" s="68"/>
    </row>
    <row r="244" ht="12.75" customHeight="1">
      <c r="A244" s="68"/>
    </row>
    <row r="245" ht="12.75" customHeight="1">
      <c r="A245" s="68"/>
    </row>
    <row r="246" ht="12.75" customHeight="1">
      <c r="A246" s="68"/>
    </row>
    <row r="247" ht="12.75" customHeight="1">
      <c r="A247" s="68"/>
    </row>
    <row r="248" ht="12.75" customHeight="1">
      <c r="A248" s="68"/>
    </row>
    <row r="249" ht="12.75" customHeight="1">
      <c r="A249" s="68"/>
    </row>
    <row r="250" ht="12.75" customHeight="1">
      <c r="A250" s="68"/>
    </row>
    <row r="251" ht="12.75" customHeight="1">
      <c r="A251" s="68"/>
    </row>
    <row r="252" ht="12.75" customHeight="1">
      <c r="A252" s="68"/>
    </row>
    <row r="253" ht="12.75" customHeight="1">
      <c r="A253" s="68"/>
    </row>
    <row r="254" ht="12.75" customHeight="1">
      <c r="A254" s="68"/>
    </row>
    <row r="255" ht="12.75" customHeight="1">
      <c r="A255" s="68"/>
    </row>
    <row r="256" ht="12.75" customHeight="1">
      <c r="A256" s="68"/>
    </row>
    <row r="257" ht="12.75" customHeight="1">
      <c r="A257" s="68"/>
    </row>
    <row r="258" ht="12.75" customHeight="1">
      <c r="A258" s="68"/>
    </row>
    <row r="259" ht="12.75" customHeight="1">
      <c r="A259" s="68"/>
    </row>
    <row r="260" ht="12.75" customHeight="1">
      <c r="A260" s="68"/>
    </row>
    <row r="261" ht="12.75" customHeight="1">
      <c r="A261" s="68"/>
    </row>
    <row r="262" ht="12.75" customHeight="1">
      <c r="A262" s="68"/>
    </row>
    <row r="263" ht="12.75" customHeight="1">
      <c r="A263" s="68"/>
    </row>
    <row r="264" ht="12.75" customHeight="1">
      <c r="A264" s="68"/>
    </row>
    <row r="265" ht="12.75" customHeight="1">
      <c r="A265" s="68"/>
    </row>
    <row r="266" ht="12.75" customHeight="1">
      <c r="A266" s="68"/>
    </row>
    <row r="267" ht="12.75" customHeight="1">
      <c r="A267" s="68"/>
    </row>
    <row r="268" ht="12.75" customHeight="1">
      <c r="A268" s="68"/>
    </row>
    <row r="269" ht="12.75" customHeight="1">
      <c r="A269" s="68"/>
    </row>
    <row r="270" ht="12.75" customHeight="1">
      <c r="A270" s="68"/>
    </row>
    <row r="271" ht="12.75" customHeight="1">
      <c r="A271" s="68"/>
    </row>
    <row r="272" ht="12.75" customHeight="1">
      <c r="A272" s="68"/>
    </row>
    <row r="273" ht="12.75" customHeight="1">
      <c r="A273" s="68"/>
    </row>
    <row r="274" ht="12.75" customHeight="1">
      <c r="A274" s="68"/>
    </row>
    <row r="275" ht="12.75" customHeight="1">
      <c r="A275" s="68"/>
    </row>
    <row r="276" ht="12.75" customHeight="1">
      <c r="A276" s="68"/>
    </row>
    <row r="277" ht="12.75" customHeight="1">
      <c r="A277" s="68"/>
    </row>
    <row r="278" ht="12.75" customHeight="1">
      <c r="A278" s="68"/>
    </row>
    <row r="279" ht="12.75" customHeight="1">
      <c r="A279" s="68"/>
    </row>
    <row r="280" ht="12.75" customHeight="1">
      <c r="A280" s="68"/>
    </row>
    <row r="281" ht="12.75" customHeight="1">
      <c r="A281" s="68"/>
    </row>
    <row r="282" ht="12.75" customHeight="1">
      <c r="A282" s="68"/>
    </row>
    <row r="283" ht="12.75" customHeight="1">
      <c r="A283" s="68"/>
    </row>
    <row r="284" ht="12.75" customHeight="1">
      <c r="A284" s="68"/>
    </row>
    <row r="285" ht="12.75" customHeight="1">
      <c r="A285" s="68"/>
    </row>
    <row r="286" ht="12.75" customHeight="1">
      <c r="A286" s="68"/>
    </row>
    <row r="287" ht="12.75" customHeight="1">
      <c r="A287" s="68"/>
    </row>
    <row r="288" ht="12.75" customHeight="1">
      <c r="A288" s="68"/>
    </row>
    <row r="289" ht="12.75" customHeight="1">
      <c r="A289" s="68"/>
    </row>
    <row r="290" ht="12.75" customHeight="1">
      <c r="A290" s="68"/>
    </row>
    <row r="291" ht="12.75" customHeight="1">
      <c r="A291" s="68"/>
    </row>
    <row r="292" ht="12.75" customHeight="1">
      <c r="A292" s="68"/>
    </row>
    <row r="293" ht="12.75" customHeight="1">
      <c r="A293" s="68"/>
    </row>
    <row r="294" ht="12.75" customHeight="1">
      <c r="A294" s="68"/>
    </row>
    <row r="295" ht="12.75" customHeight="1">
      <c r="A295" s="68"/>
    </row>
    <row r="296" ht="12.75" customHeight="1">
      <c r="A296" s="68"/>
    </row>
    <row r="297" ht="12.75" customHeight="1">
      <c r="A297" s="68"/>
    </row>
    <row r="298" ht="12.75" customHeight="1">
      <c r="A298" s="68"/>
    </row>
    <row r="299" ht="12.75" customHeight="1">
      <c r="A299" s="68"/>
    </row>
    <row r="300" ht="12.75" customHeight="1">
      <c r="A300" s="68"/>
    </row>
    <row r="301" ht="12.75" customHeight="1">
      <c r="A301" s="68"/>
    </row>
    <row r="302" ht="12.75" customHeight="1">
      <c r="A302" s="68"/>
    </row>
    <row r="303" ht="12.75" customHeight="1">
      <c r="A303" s="68"/>
    </row>
    <row r="304" ht="12.75" customHeight="1">
      <c r="A304" s="68"/>
    </row>
    <row r="305" ht="12.75" customHeight="1">
      <c r="A305" s="68"/>
    </row>
    <row r="306" ht="12.75" customHeight="1">
      <c r="A306" s="68"/>
    </row>
    <row r="307" ht="12.75" customHeight="1">
      <c r="A307" s="68"/>
    </row>
    <row r="308" ht="12.75" customHeight="1">
      <c r="A308" s="68"/>
    </row>
    <row r="309" ht="12.75" customHeight="1">
      <c r="A309" s="68"/>
    </row>
    <row r="310" ht="12.75" customHeight="1">
      <c r="A310" s="68"/>
    </row>
    <row r="311" ht="12.75" customHeight="1">
      <c r="A311" s="68"/>
    </row>
    <row r="312" ht="12.75" customHeight="1">
      <c r="A312" s="68"/>
    </row>
    <row r="313" ht="12.75" customHeight="1">
      <c r="A313" s="68"/>
    </row>
    <row r="314" ht="12.75" customHeight="1">
      <c r="A314" s="68"/>
    </row>
    <row r="315" ht="12.75" customHeight="1">
      <c r="A315" s="68"/>
    </row>
    <row r="316" ht="12.75" customHeight="1">
      <c r="A316" s="68"/>
    </row>
    <row r="317" ht="12.75" customHeight="1">
      <c r="A317" s="68"/>
    </row>
    <row r="318" ht="12.75" customHeight="1">
      <c r="A318" s="68"/>
    </row>
    <row r="319" ht="12.75" customHeight="1">
      <c r="A319" s="68"/>
    </row>
    <row r="320" ht="12.75" customHeight="1">
      <c r="A320" s="68"/>
    </row>
    <row r="321" ht="12.75" customHeight="1">
      <c r="A321" s="68"/>
    </row>
    <row r="322" ht="12.75" customHeight="1">
      <c r="A322" s="68"/>
    </row>
    <row r="323" ht="12.75" customHeight="1">
      <c r="A323" s="68"/>
    </row>
    <row r="324" ht="12.75" customHeight="1">
      <c r="A324" s="68"/>
    </row>
    <row r="325" ht="12.75" customHeight="1">
      <c r="A325" s="68"/>
    </row>
    <row r="326" ht="12.75" customHeight="1">
      <c r="A326" s="68"/>
    </row>
    <row r="327" ht="12.75" customHeight="1">
      <c r="A327" s="68"/>
    </row>
    <row r="328" ht="12.75" customHeight="1">
      <c r="A328" s="68"/>
    </row>
    <row r="329" ht="12.75" customHeight="1">
      <c r="A329" s="68"/>
    </row>
    <row r="330" ht="12.75" customHeight="1">
      <c r="A330" s="68"/>
    </row>
    <row r="331" ht="12.75" customHeight="1">
      <c r="A331" s="68"/>
    </row>
    <row r="332" ht="12.75" customHeight="1">
      <c r="A332" s="68"/>
    </row>
    <row r="333" ht="12.75" customHeight="1">
      <c r="A333" s="68"/>
    </row>
    <row r="334" ht="12.75" customHeight="1">
      <c r="A334" s="68"/>
    </row>
    <row r="335" ht="12.75" customHeight="1">
      <c r="A335" s="68"/>
    </row>
    <row r="336" ht="12.75" customHeight="1">
      <c r="A336" s="68"/>
    </row>
    <row r="337" ht="12.75" customHeight="1">
      <c r="A337" s="68"/>
    </row>
    <row r="338" ht="12.75" customHeight="1">
      <c r="A338" s="68"/>
    </row>
    <row r="339" ht="12.75" customHeight="1">
      <c r="A339" s="68"/>
    </row>
    <row r="340" ht="12.75" customHeight="1">
      <c r="A340" s="68"/>
    </row>
    <row r="341" ht="12.75" customHeight="1">
      <c r="A341" s="68"/>
    </row>
    <row r="342" ht="12.75" customHeight="1">
      <c r="A342" s="68"/>
    </row>
    <row r="343" ht="12.75" customHeight="1">
      <c r="A343" s="68"/>
    </row>
    <row r="344" ht="12.75" customHeight="1">
      <c r="A344" s="68"/>
    </row>
    <row r="345" ht="12.75" customHeight="1">
      <c r="A345" s="68"/>
    </row>
    <row r="346" ht="12.75" customHeight="1">
      <c r="A346" s="68"/>
    </row>
    <row r="347" ht="12.75" customHeight="1">
      <c r="A347" s="68"/>
    </row>
    <row r="348" ht="12.75" customHeight="1">
      <c r="A348" s="68"/>
    </row>
    <row r="349" ht="12.75" customHeight="1">
      <c r="A349" s="68"/>
    </row>
    <row r="350" ht="12.75" customHeight="1">
      <c r="A350" s="68"/>
    </row>
    <row r="351" ht="12.75" customHeight="1">
      <c r="A351" s="68"/>
    </row>
    <row r="352" ht="12.75" customHeight="1">
      <c r="A352" s="68"/>
    </row>
    <row r="353" ht="12.75" customHeight="1">
      <c r="A353" s="68"/>
    </row>
    <row r="354" ht="12.75" customHeight="1">
      <c r="A354" s="68"/>
    </row>
    <row r="355" ht="12.75" customHeight="1">
      <c r="A355" s="68"/>
    </row>
    <row r="356" ht="12.75" customHeight="1">
      <c r="A356" s="68"/>
    </row>
    <row r="357" ht="12.75" customHeight="1">
      <c r="A357" s="68"/>
    </row>
    <row r="358" ht="12.75" customHeight="1">
      <c r="A358" s="68"/>
    </row>
    <row r="359" ht="12.75" customHeight="1">
      <c r="A359" s="68"/>
    </row>
    <row r="360" ht="12.75" customHeight="1">
      <c r="A360" s="68"/>
    </row>
    <row r="361" ht="12.75" customHeight="1">
      <c r="A361" s="68"/>
    </row>
    <row r="362" ht="12.75" customHeight="1">
      <c r="A362" s="68"/>
    </row>
    <row r="363" ht="12.75" customHeight="1">
      <c r="A363" s="68"/>
    </row>
    <row r="364" ht="12.75" customHeight="1">
      <c r="A364" s="68"/>
    </row>
    <row r="365" ht="12.75" customHeight="1">
      <c r="A365" s="68"/>
    </row>
    <row r="366" ht="12.75" customHeight="1">
      <c r="A366" s="68"/>
    </row>
    <row r="367" ht="12.75" customHeight="1">
      <c r="A367" s="68"/>
    </row>
    <row r="368" ht="12.75" customHeight="1">
      <c r="A368" s="68"/>
    </row>
    <row r="369" ht="12.75" customHeight="1">
      <c r="A369" s="68"/>
    </row>
    <row r="370" ht="12.75" customHeight="1">
      <c r="A370" s="68"/>
    </row>
    <row r="371" ht="12.75" customHeight="1">
      <c r="A371" s="68"/>
    </row>
    <row r="372" ht="12.75" customHeight="1">
      <c r="A372" s="68"/>
    </row>
    <row r="373" ht="12.75" customHeight="1">
      <c r="A373" s="68"/>
    </row>
    <row r="374" ht="12.75" customHeight="1">
      <c r="A374" s="68"/>
    </row>
    <row r="375" ht="12.75" customHeight="1">
      <c r="A375" s="68"/>
    </row>
    <row r="376" ht="12.75" customHeight="1">
      <c r="A376" s="68"/>
    </row>
    <row r="377" ht="12.75" customHeight="1">
      <c r="A377" s="68"/>
    </row>
    <row r="378" ht="12.75" customHeight="1">
      <c r="A378" s="68"/>
    </row>
    <row r="379" ht="12.75" customHeight="1">
      <c r="A379" s="68"/>
    </row>
    <row r="380" ht="12.75" customHeight="1">
      <c r="A380" s="68"/>
    </row>
    <row r="381" ht="12.75" customHeight="1">
      <c r="A381" s="68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61"/>
  </hyperlink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.29"/>
    <col customWidth="1" min="3" max="3" width="10.14"/>
    <col customWidth="1" min="4" max="4" width="9.86"/>
    <col customWidth="1" min="5" max="5" width="13.86"/>
    <col customWidth="1" min="6" max="6" width="17.29"/>
    <col customWidth="1" min="7" max="7" width="23.29"/>
    <col customWidth="1" min="8" max="26" width="8.71"/>
  </cols>
  <sheetData>
    <row r="1" ht="12.75" customHeight="1">
      <c r="A1" s="71" t="s">
        <v>0</v>
      </c>
      <c r="B1" s="72" t="s">
        <v>1</v>
      </c>
      <c r="C1" s="70" t="s">
        <v>2</v>
      </c>
      <c r="D1" s="74" t="s">
        <v>3</v>
      </c>
      <c r="E1" s="75" t="s">
        <v>4</v>
      </c>
      <c r="F1" s="75" t="s">
        <v>5</v>
      </c>
      <c r="G1" s="75" t="s">
        <v>6</v>
      </c>
    </row>
    <row r="2" ht="12.75" customHeight="1">
      <c r="A2" s="15" t="s">
        <v>98</v>
      </c>
      <c r="B2" s="88">
        <v>16.96</v>
      </c>
      <c r="C2" s="16">
        <v>4.0</v>
      </c>
      <c r="D2" s="11">
        <f t="shared" ref="D2:D70" si="1">C2*B2</f>
        <v>67.84</v>
      </c>
      <c r="E2" s="7" t="s">
        <v>743</v>
      </c>
      <c r="F2" s="16"/>
      <c r="G2" s="16"/>
    </row>
    <row r="3" ht="12.75" customHeight="1">
      <c r="A3" s="20" t="s">
        <v>208</v>
      </c>
      <c r="B3" s="10">
        <v>1.13</v>
      </c>
      <c r="C3" s="16">
        <v>1.0</v>
      </c>
      <c r="D3" s="11">
        <f t="shared" si="1"/>
        <v>1.13</v>
      </c>
      <c r="E3" s="7" t="s">
        <v>743</v>
      </c>
      <c r="F3" s="16"/>
      <c r="G3" s="16"/>
    </row>
    <row r="4" ht="12.75" customHeight="1">
      <c r="A4" s="15" t="s">
        <v>108</v>
      </c>
      <c r="B4" s="10"/>
      <c r="C4" s="16">
        <v>1.0</v>
      </c>
      <c r="D4" s="11">
        <f t="shared" si="1"/>
        <v>0</v>
      </c>
      <c r="E4" s="7" t="s">
        <v>743</v>
      </c>
      <c r="F4" s="16"/>
      <c r="G4" s="16"/>
    </row>
    <row r="5" ht="12.75" customHeight="1">
      <c r="A5" s="15" t="s">
        <v>106</v>
      </c>
      <c r="B5" s="10"/>
      <c r="C5" s="16">
        <v>4.0</v>
      </c>
      <c r="D5" s="11">
        <f t="shared" si="1"/>
        <v>0</v>
      </c>
      <c r="E5" s="7" t="s">
        <v>743</v>
      </c>
      <c r="F5" s="16"/>
      <c r="G5" s="16"/>
    </row>
    <row r="6" ht="12.75" customHeight="1">
      <c r="A6" s="7" t="s">
        <v>109</v>
      </c>
      <c r="B6" s="31"/>
      <c r="C6" s="16">
        <v>1.0</v>
      </c>
      <c r="D6" s="11">
        <f t="shared" si="1"/>
        <v>0</v>
      </c>
      <c r="E6" s="7" t="s">
        <v>743</v>
      </c>
      <c r="F6" s="16"/>
    </row>
    <row r="7" ht="12.75" customHeight="1">
      <c r="A7" s="32" t="s">
        <v>93</v>
      </c>
      <c r="B7" s="10">
        <v>1.59</v>
      </c>
      <c r="C7" s="77">
        <v>2.0</v>
      </c>
      <c r="D7" s="11">
        <f t="shared" si="1"/>
        <v>3.18</v>
      </c>
      <c r="E7" s="79" t="s">
        <v>743</v>
      </c>
      <c r="F7" s="80"/>
      <c r="G7" s="77"/>
    </row>
    <row r="8" ht="12.75" customHeight="1">
      <c r="A8" s="7" t="s">
        <v>199</v>
      </c>
      <c r="B8" s="31">
        <v>1.54</v>
      </c>
      <c r="C8" s="16">
        <v>2.0</v>
      </c>
      <c r="D8" s="11">
        <f t="shared" si="1"/>
        <v>3.08</v>
      </c>
      <c r="E8" s="20" t="s">
        <v>743</v>
      </c>
      <c r="F8" s="16"/>
    </row>
    <row r="9" ht="12.75" customHeight="1">
      <c r="A9" s="7" t="s">
        <v>84</v>
      </c>
      <c r="B9" s="31">
        <v>1.54</v>
      </c>
      <c r="C9" s="16">
        <v>2.0</v>
      </c>
      <c r="D9" s="11">
        <f t="shared" si="1"/>
        <v>3.08</v>
      </c>
      <c r="E9" s="20" t="s">
        <v>743</v>
      </c>
      <c r="F9" s="16"/>
    </row>
    <row r="10" ht="12.75" customHeight="1">
      <c r="A10" s="15" t="s">
        <v>107</v>
      </c>
      <c r="B10" s="10">
        <v>1.32</v>
      </c>
      <c r="C10" s="16">
        <v>6.0</v>
      </c>
      <c r="D10" s="11">
        <f t="shared" si="1"/>
        <v>7.92</v>
      </c>
      <c r="E10" s="7" t="s">
        <v>743</v>
      </c>
      <c r="F10" s="16"/>
      <c r="G10" s="16"/>
    </row>
    <row r="11" ht="12.75" customHeight="1">
      <c r="A11" s="15" t="s">
        <v>71</v>
      </c>
      <c r="B11" s="10">
        <v>1.29</v>
      </c>
      <c r="C11" s="16">
        <v>4.0</v>
      </c>
      <c r="D11" s="11">
        <f t="shared" si="1"/>
        <v>5.16</v>
      </c>
      <c r="E11" s="7" t="s">
        <v>743</v>
      </c>
      <c r="F11" s="16"/>
      <c r="G11" s="16"/>
    </row>
    <row r="12" ht="12.75" customHeight="1">
      <c r="A12" s="15" t="s">
        <v>54</v>
      </c>
      <c r="B12" s="10">
        <v>2.03</v>
      </c>
      <c r="C12" s="16">
        <v>4.0</v>
      </c>
      <c r="D12" s="11">
        <f t="shared" si="1"/>
        <v>8.12</v>
      </c>
      <c r="E12" s="7" t="s">
        <v>743</v>
      </c>
      <c r="F12" s="16"/>
      <c r="G12" s="16"/>
    </row>
    <row r="13" ht="12.75" customHeight="1">
      <c r="A13" s="15" t="s">
        <v>105</v>
      </c>
      <c r="B13" s="10"/>
      <c r="C13" s="16">
        <v>3.0</v>
      </c>
      <c r="D13" s="11">
        <f t="shared" si="1"/>
        <v>0</v>
      </c>
      <c r="E13" s="7" t="s">
        <v>743</v>
      </c>
      <c r="F13" s="16"/>
      <c r="G13" s="16"/>
    </row>
    <row r="14" ht="12.75" customHeight="1">
      <c r="A14" s="15" t="s">
        <v>53</v>
      </c>
      <c r="B14" s="10"/>
      <c r="C14" s="16">
        <v>1.0</v>
      </c>
      <c r="D14" s="11">
        <f t="shared" si="1"/>
        <v>0</v>
      </c>
      <c r="E14" s="7" t="s">
        <v>743</v>
      </c>
      <c r="F14" s="16"/>
      <c r="G14" s="16"/>
    </row>
    <row r="15" ht="12.75" customHeight="1">
      <c r="A15" s="20" t="s">
        <v>382</v>
      </c>
      <c r="B15" s="10">
        <v>1.58</v>
      </c>
      <c r="C15" s="16">
        <v>1.0</v>
      </c>
      <c r="D15" s="11">
        <f t="shared" si="1"/>
        <v>1.58</v>
      </c>
      <c r="E15" s="20" t="s">
        <v>743</v>
      </c>
      <c r="F15" s="16"/>
    </row>
    <row r="16" ht="12.75" customHeight="1">
      <c r="A16" s="15" t="s">
        <v>847</v>
      </c>
      <c r="B16" s="10"/>
      <c r="C16" s="16">
        <v>1.0</v>
      </c>
      <c r="D16" s="11">
        <f t="shared" si="1"/>
        <v>0</v>
      </c>
      <c r="E16" s="7" t="s">
        <v>848</v>
      </c>
      <c r="F16" s="16" t="s">
        <v>849</v>
      </c>
      <c r="G16" s="16"/>
    </row>
    <row r="17" ht="12.75" customHeight="1">
      <c r="A17" s="15" t="s">
        <v>100</v>
      </c>
      <c r="B17" s="88">
        <v>1.43</v>
      </c>
      <c r="C17" s="16">
        <v>4.0</v>
      </c>
      <c r="D17" s="11">
        <f t="shared" si="1"/>
        <v>5.72</v>
      </c>
      <c r="E17" s="7" t="s">
        <v>743</v>
      </c>
      <c r="F17" s="16"/>
      <c r="G17" s="16"/>
    </row>
    <row r="18" ht="12.75" customHeight="1">
      <c r="A18" s="15" t="s">
        <v>69</v>
      </c>
      <c r="B18" s="88">
        <v>1.51</v>
      </c>
      <c r="C18" s="16">
        <v>4.0</v>
      </c>
      <c r="D18" s="11">
        <f t="shared" si="1"/>
        <v>6.04</v>
      </c>
      <c r="E18" s="7" t="s">
        <v>743</v>
      </c>
      <c r="F18" s="16"/>
      <c r="G18" s="16"/>
    </row>
    <row r="19" ht="12.75" customHeight="1">
      <c r="A19" s="15" t="s">
        <v>102</v>
      </c>
      <c r="B19" s="10"/>
      <c r="C19" s="16">
        <v>1.0</v>
      </c>
      <c r="D19" s="11">
        <f t="shared" si="1"/>
        <v>0</v>
      </c>
      <c r="E19" s="7" t="s">
        <v>850</v>
      </c>
      <c r="F19" s="16"/>
      <c r="G19" s="16"/>
    </row>
    <row r="20" ht="12.75" customHeight="1">
      <c r="A20" s="15" t="s">
        <v>101</v>
      </c>
      <c r="B20" s="10"/>
      <c r="C20" s="16">
        <v>1.0</v>
      </c>
      <c r="D20" s="11">
        <f t="shared" si="1"/>
        <v>0</v>
      </c>
      <c r="E20" s="7" t="s">
        <v>743</v>
      </c>
      <c r="F20" s="16"/>
      <c r="G20" s="16"/>
    </row>
    <row r="21" ht="12.75" customHeight="1">
      <c r="A21" s="20" t="s">
        <v>851</v>
      </c>
      <c r="B21" s="10">
        <v>2.66</v>
      </c>
      <c r="C21" s="16">
        <v>2.0</v>
      </c>
      <c r="D21" s="11">
        <f t="shared" si="1"/>
        <v>5.32</v>
      </c>
      <c r="E21" s="7" t="s">
        <v>852</v>
      </c>
      <c r="F21" s="16" t="s">
        <v>853</v>
      </c>
    </row>
    <row r="22" ht="12.75" customHeight="1">
      <c r="A22" s="15" t="s">
        <v>57</v>
      </c>
      <c r="B22" s="10"/>
      <c r="C22" s="16">
        <v>1.0</v>
      </c>
      <c r="D22" s="11">
        <f t="shared" si="1"/>
        <v>0</v>
      </c>
      <c r="E22" s="7" t="s">
        <v>850</v>
      </c>
      <c r="F22" s="16"/>
      <c r="G22" s="16"/>
    </row>
    <row r="23" ht="12.75" customHeight="1">
      <c r="A23" s="15" t="s">
        <v>854</v>
      </c>
      <c r="B23" s="10"/>
      <c r="C23" s="16">
        <v>1.0</v>
      </c>
      <c r="D23" s="11">
        <f t="shared" si="1"/>
        <v>0</v>
      </c>
      <c r="E23" s="7" t="s">
        <v>743</v>
      </c>
      <c r="F23" s="16"/>
      <c r="G23" s="16"/>
    </row>
    <row r="24" ht="12.75" customHeight="1">
      <c r="A24" s="15" t="s">
        <v>83</v>
      </c>
      <c r="B24" s="10"/>
      <c r="C24" s="16">
        <v>1.0</v>
      </c>
      <c r="D24" s="11">
        <f t="shared" si="1"/>
        <v>0</v>
      </c>
      <c r="E24" s="7" t="s">
        <v>743</v>
      </c>
      <c r="F24" s="16"/>
      <c r="G24" s="16"/>
    </row>
    <row r="25" ht="12.75" customHeight="1">
      <c r="A25" s="15" t="s">
        <v>103</v>
      </c>
      <c r="B25" s="10">
        <v>2.39</v>
      </c>
      <c r="C25" s="16">
        <v>4.0</v>
      </c>
      <c r="D25" s="11">
        <f t="shared" si="1"/>
        <v>9.56</v>
      </c>
      <c r="E25" s="7" t="s">
        <v>743</v>
      </c>
      <c r="F25" s="16"/>
      <c r="G25" s="16"/>
    </row>
    <row r="26" ht="12.75" customHeight="1">
      <c r="A26" s="15" t="s">
        <v>855</v>
      </c>
      <c r="B26" s="10"/>
      <c r="C26" s="16">
        <v>1.0</v>
      </c>
      <c r="D26" s="11">
        <f t="shared" si="1"/>
        <v>0</v>
      </c>
      <c r="E26" s="7" t="s">
        <v>743</v>
      </c>
      <c r="F26" s="16"/>
      <c r="G26" s="16"/>
    </row>
    <row r="27" ht="12.75" customHeight="1">
      <c r="A27" s="15" t="s">
        <v>68</v>
      </c>
      <c r="B27" s="10"/>
      <c r="C27" s="16">
        <v>1.0</v>
      </c>
      <c r="D27" s="11">
        <f t="shared" si="1"/>
        <v>0</v>
      </c>
      <c r="E27" s="7" t="s">
        <v>850</v>
      </c>
      <c r="F27" s="16"/>
      <c r="G27" s="16"/>
    </row>
    <row r="28" ht="12.75" customHeight="1">
      <c r="A28" s="7" t="s">
        <v>207</v>
      </c>
      <c r="B28" s="10"/>
      <c r="C28" s="16">
        <v>1.0</v>
      </c>
      <c r="D28" s="11">
        <f t="shared" si="1"/>
        <v>0</v>
      </c>
      <c r="E28" s="7" t="s">
        <v>743</v>
      </c>
      <c r="F28" s="16"/>
      <c r="G28" s="16"/>
    </row>
    <row r="29" ht="12.75" customHeight="1">
      <c r="A29" s="15" t="s">
        <v>496</v>
      </c>
      <c r="B29" s="31">
        <v>8.09</v>
      </c>
      <c r="C29" s="16">
        <v>1.0</v>
      </c>
      <c r="D29" s="11">
        <f t="shared" si="1"/>
        <v>8.09</v>
      </c>
      <c r="E29" s="7" t="s">
        <v>856</v>
      </c>
      <c r="F29" s="16"/>
    </row>
    <row r="30" ht="12.75" customHeight="1">
      <c r="A30" s="15" t="s">
        <v>99</v>
      </c>
      <c r="B30" s="88"/>
      <c r="C30" s="16">
        <v>4.0</v>
      </c>
      <c r="D30" s="11">
        <f t="shared" si="1"/>
        <v>0</v>
      </c>
      <c r="E30" s="7" t="s">
        <v>743</v>
      </c>
      <c r="F30" s="16"/>
      <c r="G30" s="16"/>
    </row>
    <row r="31" ht="12.75" customHeight="1">
      <c r="A31" s="15" t="s">
        <v>67</v>
      </c>
      <c r="B31" s="10"/>
      <c r="C31" s="16">
        <v>2.0</v>
      </c>
      <c r="D31" s="11">
        <f t="shared" si="1"/>
        <v>0</v>
      </c>
      <c r="E31" s="7" t="s">
        <v>856</v>
      </c>
      <c r="F31" s="16"/>
      <c r="G31" s="16"/>
    </row>
    <row r="32" ht="12.75" customHeight="1">
      <c r="A32" s="15" t="s">
        <v>857</v>
      </c>
      <c r="B32" s="10"/>
      <c r="C32" s="16">
        <v>1.0</v>
      </c>
      <c r="D32" s="11">
        <f t="shared" si="1"/>
        <v>0</v>
      </c>
      <c r="E32" s="7"/>
      <c r="F32" s="16"/>
      <c r="G32" s="16"/>
    </row>
    <row r="33" ht="12.75" customHeight="1">
      <c r="A33" s="15" t="s">
        <v>858</v>
      </c>
      <c r="B33" s="10">
        <v>11.89</v>
      </c>
      <c r="C33" s="16">
        <v>2.0</v>
      </c>
      <c r="D33" s="11">
        <f t="shared" si="1"/>
        <v>23.78</v>
      </c>
      <c r="E33" s="22"/>
      <c r="F33" s="16" t="s">
        <v>163</v>
      </c>
      <c r="G33" s="16" t="s">
        <v>805</v>
      </c>
    </row>
    <row r="34" ht="12.75" customHeight="1">
      <c r="A34" s="15" t="s">
        <v>274</v>
      </c>
      <c r="B34" s="10">
        <v>7.6</v>
      </c>
      <c r="C34" s="16">
        <v>4.0</v>
      </c>
      <c r="D34" s="11">
        <f t="shared" si="1"/>
        <v>30.4</v>
      </c>
      <c r="E34" s="22"/>
      <c r="F34" s="16" t="s">
        <v>163</v>
      </c>
      <c r="G34" s="16" t="s">
        <v>807</v>
      </c>
    </row>
    <row r="35" ht="12.75" customHeight="1">
      <c r="A35" s="15" t="s">
        <v>273</v>
      </c>
      <c r="B35" s="10">
        <v>7.79</v>
      </c>
      <c r="C35" s="16">
        <v>4.0</v>
      </c>
      <c r="D35" s="11">
        <f t="shared" si="1"/>
        <v>31.16</v>
      </c>
      <c r="E35" s="22"/>
      <c r="F35" s="16" t="s">
        <v>163</v>
      </c>
      <c r="G35" s="16" t="s">
        <v>809</v>
      </c>
    </row>
    <row r="36" ht="12.75" customHeight="1">
      <c r="A36" s="7" t="s">
        <v>206</v>
      </c>
      <c r="B36" s="31">
        <v>10.89</v>
      </c>
      <c r="C36" s="16">
        <v>2.0</v>
      </c>
      <c r="D36" s="11">
        <f t="shared" si="1"/>
        <v>21.78</v>
      </c>
      <c r="F36" s="16" t="s">
        <v>163</v>
      </c>
    </row>
    <row r="37" ht="12.75" customHeight="1">
      <c r="A37" s="7" t="s">
        <v>859</v>
      </c>
      <c r="B37" s="31">
        <v>16.82</v>
      </c>
      <c r="C37" s="16">
        <v>1.0</v>
      </c>
      <c r="D37" s="11">
        <f t="shared" si="1"/>
        <v>16.82</v>
      </c>
      <c r="F37" s="16" t="s">
        <v>163</v>
      </c>
    </row>
    <row r="38" ht="12.75" customHeight="1">
      <c r="A38" s="7" t="s">
        <v>204</v>
      </c>
      <c r="B38" s="31">
        <v>32.57</v>
      </c>
      <c r="C38" s="16">
        <v>5.0</v>
      </c>
      <c r="D38" s="11">
        <f t="shared" si="1"/>
        <v>162.85</v>
      </c>
      <c r="F38" s="16" t="s">
        <v>163</v>
      </c>
    </row>
    <row r="39" ht="12.75" customHeight="1">
      <c r="A39" s="7" t="s">
        <v>860</v>
      </c>
      <c r="B39" s="31">
        <v>30.14</v>
      </c>
      <c r="C39" s="16">
        <v>2.0</v>
      </c>
      <c r="D39" s="11">
        <f t="shared" si="1"/>
        <v>60.28</v>
      </c>
      <c r="F39" s="16" t="s">
        <v>163</v>
      </c>
    </row>
    <row r="40" ht="12.75" customHeight="1">
      <c r="A40" s="7" t="s">
        <v>861</v>
      </c>
      <c r="B40" s="31">
        <v>44.68</v>
      </c>
      <c r="C40" s="16">
        <v>1.0</v>
      </c>
      <c r="D40" s="11">
        <f t="shared" si="1"/>
        <v>44.68</v>
      </c>
      <c r="F40" s="16" t="s">
        <v>163</v>
      </c>
    </row>
    <row r="41" ht="12.75" customHeight="1">
      <c r="A41" s="7" t="s">
        <v>197</v>
      </c>
      <c r="B41" s="10">
        <v>41.18</v>
      </c>
      <c r="C41" s="16">
        <v>4.0</v>
      </c>
      <c r="D41" s="11">
        <f t="shared" si="1"/>
        <v>164.72</v>
      </c>
      <c r="F41" s="16" t="s">
        <v>163</v>
      </c>
    </row>
    <row r="42" ht="12.75" customHeight="1">
      <c r="A42" s="7" t="s">
        <v>862</v>
      </c>
      <c r="B42" s="10">
        <v>66.26</v>
      </c>
      <c r="C42" s="16">
        <v>1.0</v>
      </c>
      <c r="D42" s="11">
        <f t="shared" si="1"/>
        <v>66.26</v>
      </c>
      <c r="F42" s="16" t="s">
        <v>239</v>
      </c>
    </row>
    <row r="43" ht="12.75" customHeight="1">
      <c r="A43" s="15" t="s">
        <v>275</v>
      </c>
      <c r="B43" s="10">
        <v>26.9</v>
      </c>
      <c r="C43" s="16">
        <v>4.0</v>
      </c>
      <c r="D43" s="11">
        <f t="shared" si="1"/>
        <v>107.6</v>
      </c>
      <c r="E43" s="22"/>
      <c r="F43" s="16" t="s">
        <v>163</v>
      </c>
    </row>
    <row r="44" ht="12.75" customHeight="1">
      <c r="A44" s="7" t="s">
        <v>170</v>
      </c>
      <c r="B44" s="31">
        <v>9.38</v>
      </c>
      <c r="C44" s="16">
        <v>2.0</v>
      </c>
      <c r="D44" s="11">
        <f t="shared" si="1"/>
        <v>18.76</v>
      </c>
      <c r="F44" s="16" t="s">
        <v>163</v>
      </c>
    </row>
    <row r="45" ht="12.75" customHeight="1">
      <c r="A45" s="7" t="s">
        <v>169</v>
      </c>
      <c r="B45" s="31">
        <v>17.53</v>
      </c>
      <c r="C45" s="16">
        <v>1.0</v>
      </c>
      <c r="D45" s="11">
        <f t="shared" si="1"/>
        <v>17.53</v>
      </c>
      <c r="F45" s="16" t="s">
        <v>163</v>
      </c>
    </row>
    <row r="46" ht="12.75" customHeight="1">
      <c r="A46" s="7" t="s">
        <v>194</v>
      </c>
      <c r="B46" s="31">
        <v>28.36</v>
      </c>
      <c r="C46" s="16">
        <v>5.0</v>
      </c>
      <c r="D46" s="11">
        <f t="shared" si="1"/>
        <v>141.8</v>
      </c>
      <c r="F46" s="16" t="s">
        <v>163</v>
      </c>
    </row>
    <row r="47" ht="12.75" customHeight="1">
      <c r="A47" s="7" t="s">
        <v>168</v>
      </c>
      <c r="B47" s="31">
        <v>28.36</v>
      </c>
      <c r="C47" s="16">
        <v>1.0</v>
      </c>
      <c r="D47" s="11">
        <f t="shared" si="1"/>
        <v>28.36</v>
      </c>
      <c r="F47" s="16" t="s">
        <v>163</v>
      </c>
    </row>
    <row r="48" ht="12.75" customHeight="1">
      <c r="A48" s="7" t="s">
        <v>167</v>
      </c>
      <c r="B48" s="31">
        <v>25.92</v>
      </c>
      <c r="C48" s="16">
        <v>2.0</v>
      </c>
      <c r="D48" s="11">
        <f t="shared" si="1"/>
        <v>51.84</v>
      </c>
      <c r="F48" s="16" t="s">
        <v>163</v>
      </c>
    </row>
    <row r="49" ht="12.75" customHeight="1">
      <c r="A49" s="7" t="s">
        <v>166</v>
      </c>
      <c r="B49" s="31">
        <v>44.18</v>
      </c>
      <c r="C49" s="16">
        <v>2.0</v>
      </c>
      <c r="D49" s="11">
        <f t="shared" si="1"/>
        <v>88.36</v>
      </c>
      <c r="F49" s="16" t="s">
        <v>163</v>
      </c>
    </row>
    <row r="50" ht="12.75" customHeight="1">
      <c r="A50" s="7" t="s">
        <v>486</v>
      </c>
      <c r="B50" s="31">
        <v>51.56</v>
      </c>
      <c r="C50" s="16">
        <v>2.0</v>
      </c>
      <c r="D50" s="11">
        <f t="shared" si="1"/>
        <v>103.12</v>
      </c>
      <c r="F50" s="16" t="s">
        <v>239</v>
      </c>
    </row>
    <row r="51" ht="12.75" customHeight="1">
      <c r="A51" s="7" t="s">
        <v>173</v>
      </c>
      <c r="B51" s="31">
        <v>11.29</v>
      </c>
      <c r="C51" s="16">
        <v>4.0</v>
      </c>
      <c r="D51" s="11">
        <f t="shared" si="1"/>
        <v>45.16</v>
      </c>
      <c r="F51" s="16" t="s">
        <v>163</v>
      </c>
    </row>
    <row r="52" ht="12.75" customHeight="1">
      <c r="A52" s="7" t="s">
        <v>172</v>
      </c>
      <c r="B52" s="31">
        <v>20.91</v>
      </c>
      <c r="C52" s="16">
        <v>6.0</v>
      </c>
      <c r="D52" s="11">
        <f t="shared" si="1"/>
        <v>125.46</v>
      </c>
      <c r="F52" s="16" t="s">
        <v>163</v>
      </c>
    </row>
    <row r="53" ht="12.75" customHeight="1">
      <c r="A53" s="15" t="s">
        <v>181</v>
      </c>
      <c r="B53" s="31">
        <v>18.98</v>
      </c>
      <c r="C53" s="16">
        <v>2.0</v>
      </c>
      <c r="D53" s="11">
        <f t="shared" si="1"/>
        <v>37.96</v>
      </c>
      <c r="F53" s="16" t="s">
        <v>239</v>
      </c>
    </row>
    <row r="54" ht="12.75" customHeight="1">
      <c r="A54" s="15" t="s">
        <v>376</v>
      </c>
      <c r="B54" s="10">
        <v>31.12</v>
      </c>
      <c r="C54" s="16">
        <v>7.0</v>
      </c>
      <c r="D54" s="11">
        <f t="shared" si="1"/>
        <v>217.84</v>
      </c>
      <c r="E54" s="7"/>
      <c r="F54" s="16" t="s">
        <v>239</v>
      </c>
      <c r="G54" s="16" t="s">
        <v>377</v>
      </c>
    </row>
    <row r="55" ht="12.75" customHeight="1">
      <c r="A55" s="20" t="s">
        <v>375</v>
      </c>
      <c r="B55" s="10">
        <v>32.62</v>
      </c>
      <c r="C55" s="16">
        <v>1.0</v>
      </c>
      <c r="D55" s="11">
        <f t="shared" si="1"/>
        <v>32.62</v>
      </c>
      <c r="F55" s="16" t="s">
        <v>239</v>
      </c>
    </row>
    <row r="56" ht="12.75" customHeight="1">
      <c r="A56" s="15" t="s">
        <v>508</v>
      </c>
      <c r="B56" s="31">
        <v>39.27</v>
      </c>
      <c r="C56" s="16">
        <v>2.0</v>
      </c>
      <c r="D56" s="11">
        <f t="shared" si="1"/>
        <v>78.54</v>
      </c>
      <c r="F56" s="16" t="s">
        <v>239</v>
      </c>
    </row>
    <row r="57" ht="12.75" customHeight="1">
      <c r="A57" s="7" t="s">
        <v>487</v>
      </c>
      <c r="B57" s="31">
        <v>127.65</v>
      </c>
      <c r="C57" s="16">
        <v>4.0</v>
      </c>
      <c r="D57" s="11">
        <f t="shared" si="1"/>
        <v>510.6</v>
      </c>
      <c r="F57" s="16" t="s">
        <v>239</v>
      </c>
    </row>
    <row r="58" ht="12.75" customHeight="1">
      <c r="A58" s="7" t="s">
        <v>161</v>
      </c>
      <c r="B58" s="31">
        <v>77.75</v>
      </c>
      <c r="C58" s="16">
        <v>2.0</v>
      </c>
      <c r="D58" s="11">
        <f t="shared" si="1"/>
        <v>155.5</v>
      </c>
      <c r="F58" s="16" t="s">
        <v>163</v>
      </c>
    </row>
    <row r="59" ht="12.75" customHeight="1">
      <c r="A59" s="7" t="s">
        <v>165</v>
      </c>
      <c r="B59" s="31">
        <v>82.98</v>
      </c>
      <c r="C59" s="16">
        <v>1.0</v>
      </c>
      <c r="D59" s="11">
        <f t="shared" si="1"/>
        <v>82.98</v>
      </c>
      <c r="F59" s="16" t="s">
        <v>163</v>
      </c>
    </row>
    <row r="60" ht="12.75" customHeight="1">
      <c r="A60" s="20" t="s">
        <v>201</v>
      </c>
      <c r="B60" s="88">
        <v>116.02</v>
      </c>
      <c r="C60" s="16">
        <v>1.0</v>
      </c>
      <c r="D60" s="11">
        <f t="shared" si="1"/>
        <v>116.02</v>
      </c>
      <c r="E60" s="7"/>
      <c r="F60" s="16"/>
      <c r="G60" s="16"/>
    </row>
    <row r="61" ht="12.75" customHeight="1">
      <c r="A61" s="15" t="s">
        <v>488</v>
      </c>
      <c r="B61" s="31">
        <v>190.61</v>
      </c>
      <c r="C61" s="16">
        <v>1.0</v>
      </c>
      <c r="D61" s="11">
        <f t="shared" si="1"/>
        <v>190.61</v>
      </c>
      <c r="F61" s="16" t="s">
        <v>239</v>
      </c>
    </row>
    <row r="62" ht="12.75" customHeight="1">
      <c r="A62" s="7" t="s">
        <v>506</v>
      </c>
      <c r="B62" s="31">
        <v>77.22</v>
      </c>
      <c r="C62" s="16">
        <v>2.0</v>
      </c>
      <c r="D62" s="11">
        <f t="shared" si="1"/>
        <v>154.44</v>
      </c>
      <c r="F62" s="16" t="s">
        <v>130</v>
      </c>
    </row>
    <row r="63" ht="12.75" customHeight="1">
      <c r="A63" s="7" t="s">
        <v>160</v>
      </c>
      <c r="B63" s="31">
        <v>100.82</v>
      </c>
      <c r="C63" s="16">
        <v>1.0</v>
      </c>
      <c r="D63" s="11">
        <f t="shared" si="1"/>
        <v>100.82</v>
      </c>
      <c r="F63" s="16" t="s">
        <v>130</v>
      </c>
    </row>
    <row r="64" ht="12.75" customHeight="1">
      <c r="A64" s="7" t="s">
        <v>159</v>
      </c>
      <c r="B64" s="31">
        <v>134.81</v>
      </c>
      <c r="C64" s="16">
        <v>4.0</v>
      </c>
      <c r="D64" s="11">
        <f t="shared" si="1"/>
        <v>539.24</v>
      </c>
      <c r="F64" s="16" t="s">
        <v>130</v>
      </c>
    </row>
    <row r="65" ht="12.75" customHeight="1">
      <c r="A65" s="7" t="s">
        <v>475</v>
      </c>
      <c r="B65" s="31">
        <v>103.48</v>
      </c>
      <c r="C65" s="16">
        <v>2.0</v>
      </c>
      <c r="D65" s="11">
        <f t="shared" si="1"/>
        <v>206.96</v>
      </c>
      <c r="F65" s="16" t="s">
        <v>239</v>
      </c>
      <c r="G65" s="16" t="s">
        <v>816</v>
      </c>
    </row>
    <row r="66" ht="12.75" customHeight="1">
      <c r="A66" s="15" t="s">
        <v>276</v>
      </c>
      <c r="B66" s="10">
        <v>26.63</v>
      </c>
      <c r="C66" s="16">
        <v>4.0</v>
      </c>
      <c r="D66" s="11">
        <f t="shared" si="1"/>
        <v>106.52</v>
      </c>
      <c r="E66" s="22"/>
      <c r="F66" s="16" t="s">
        <v>163</v>
      </c>
      <c r="G66" s="16" t="s">
        <v>819</v>
      </c>
    </row>
    <row r="67" ht="12.75" customHeight="1">
      <c r="A67" s="15" t="s">
        <v>277</v>
      </c>
      <c r="B67" s="10">
        <v>33.04</v>
      </c>
      <c r="C67" s="16">
        <v>2.0</v>
      </c>
      <c r="D67" s="11">
        <f t="shared" si="1"/>
        <v>66.08</v>
      </c>
      <c r="E67" s="22"/>
      <c r="F67" s="16" t="s">
        <v>163</v>
      </c>
      <c r="G67" s="16" t="s">
        <v>821</v>
      </c>
    </row>
    <row r="68" ht="12.75" customHeight="1">
      <c r="A68" s="15" t="s">
        <v>272</v>
      </c>
      <c r="B68" s="10">
        <v>39.92</v>
      </c>
      <c r="C68" s="16">
        <v>2.0</v>
      </c>
      <c r="D68" s="11">
        <f t="shared" si="1"/>
        <v>79.84</v>
      </c>
      <c r="E68" s="22"/>
      <c r="F68" s="16" t="s">
        <v>163</v>
      </c>
      <c r="G68" s="16" t="s">
        <v>823</v>
      </c>
    </row>
    <row r="69" ht="12.75" customHeight="1">
      <c r="A69" s="7" t="s">
        <v>254</v>
      </c>
      <c r="B69" s="31">
        <v>70.59</v>
      </c>
      <c r="C69" s="77">
        <v>1.0</v>
      </c>
      <c r="D69" s="11">
        <f t="shared" si="1"/>
        <v>70.59</v>
      </c>
      <c r="E69" s="79"/>
      <c r="F69" s="16"/>
      <c r="G69" s="16" t="s">
        <v>825</v>
      </c>
    </row>
    <row r="70" ht="12.75" customHeight="1">
      <c r="A70" s="16" t="s">
        <v>238</v>
      </c>
      <c r="B70" s="31">
        <v>66.62</v>
      </c>
      <c r="C70" s="77">
        <v>3.0</v>
      </c>
      <c r="D70" s="11">
        <f t="shared" si="1"/>
        <v>199.86</v>
      </c>
      <c r="E70" s="79"/>
      <c r="F70" s="16"/>
      <c r="G70" s="16" t="s">
        <v>835</v>
      </c>
    </row>
    <row r="71" ht="12.75" customHeight="1">
      <c r="A71" s="15"/>
      <c r="B71" s="15"/>
      <c r="C71" s="15"/>
      <c r="D71" s="15"/>
      <c r="E71" s="15"/>
      <c r="F71" s="15"/>
      <c r="G71" s="15"/>
    </row>
    <row r="72" ht="12.75" customHeight="1">
      <c r="A72" s="15"/>
      <c r="B72" s="10"/>
      <c r="C72" s="16"/>
      <c r="D72" s="78"/>
      <c r="E72" s="7"/>
      <c r="F72" s="7"/>
    </row>
    <row r="73" ht="12.75" customHeight="1">
      <c r="A73" s="16"/>
      <c r="B73" s="31"/>
      <c r="C73" s="77"/>
      <c r="D73" s="78">
        <f>SUM(D2:D70)</f>
        <v>4433.56</v>
      </c>
      <c r="E73" s="79"/>
      <c r="F73" s="16"/>
      <c r="G73" s="16"/>
    </row>
    <row r="74" ht="12.75" customHeight="1">
      <c r="A74" s="16"/>
      <c r="B74" s="31"/>
      <c r="C74" s="77"/>
      <c r="D74" s="78"/>
      <c r="E74" s="79"/>
      <c r="F74" s="16"/>
      <c r="G74" s="16"/>
    </row>
    <row r="75" ht="12.75" customHeight="1">
      <c r="B75" s="10"/>
      <c r="C75" s="16"/>
      <c r="D75" s="17"/>
      <c r="F75" s="16"/>
    </row>
    <row r="76" ht="12.75" customHeight="1">
      <c r="A76" s="15"/>
      <c r="B76" s="31"/>
      <c r="C76" s="16"/>
      <c r="D76" s="17"/>
      <c r="F76" s="16"/>
    </row>
    <row r="77" ht="12.75" customHeight="1">
      <c r="A77" s="15"/>
      <c r="B77" s="10"/>
      <c r="C77" s="16"/>
      <c r="D77" s="78"/>
      <c r="E77" s="7"/>
      <c r="F77" s="16"/>
      <c r="G77" s="16"/>
    </row>
    <row r="78" ht="12.75" customHeight="1">
      <c r="A78" s="7"/>
      <c r="B78" s="31"/>
      <c r="C78" s="16"/>
      <c r="D78" s="17"/>
      <c r="F78" s="16"/>
    </row>
    <row r="79" ht="12.75" customHeight="1">
      <c r="A79" s="15"/>
      <c r="B79" s="31"/>
      <c r="C79" s="16"/>
      <c r="D79" s="17"/>
      <c r="F79" s="16"/>
    </row>
    <row r="80" ht="12.75" customHeight="1">
      <c r="A80" s="15"/>
      <c r="B80" s="10"/>
      <c r="C80" s="16"/>
      <c r="D80" s="78"/>
      <c r="E80" s="7"/>
      <c r="F80" s="16"/>
      <c r="G80" s="16"/>
    </row>
    <row r="81" ht="12.75" customHeight="1">
      <c r="A81" s="15"/>
      <c r="B81" s="10"/>
      <c r="C81" s="16"/>
      <c r="D81" s="17"/>
      <c r="E81" s="22"/>
      <c r="F81" s="16"/>
      <c r="G81" s="15"/>
    </row>
    <row r="82" ht="12.75" customHeight="1">
      <c r="A82" s="7"/>
      <c r="B82" s="31"/>
      <c r="C82" s="16"/>
      <c r="D82" s="17"/>
      <c r="F82" s="16"/>
    </row>
    <row r="83" ht="12.75" customHeight="1">
      <c r="A83" s="15"/>
      <c r="B83" s="31"/>
      <c r="C83" s="16"/>
      <c r="D83" s="17"/>
      <c r="F83" s="16"/>
    </row>
    <row r="84" ht="12.75" customHeight="1">
      <c r="A84" s="7"/>
      <c r="B84" s="31"/>
      <c r="C84" s="16"/>
      <c r="D84" s="17"/>
      <c r="F84" s="16"/>
    </row>
    <row r="85" ht="12.75" customHeight="1">
      <c r="A85" s="7"/>
      <c r="B85" s="31"/>
      <c r="C85" s="16"/>
      <c r="D85" s="17"/>
      <c r="F85" s="16"/>
    </row>
    <row r="86" ht="12.75" customHeight="1">
      <c r="A86" s="7"/>
      <c r="B86" s="10"/>
      <c r="C86" s="16"/>
      <c r="D86" s="17"/>
      <c r="E86" s="7"/>
      <c r="F86" s="16"/>
      <c r="G86" s="16"/>
    </row>
    <row r="87" ht="12.75" customHeight="1">
      <c r="C87" s="16"/>
      <c r="D87" s="17"/>
      <c r="E87" s="7"/>
      <c r="F87" s="16"/>
      <c r="G87" s="16"/>
    </row>
    <row r="88" ht="12.75" customHeight="1">
      <c r="A88" s="7"/>
      <c r="B88" s="31"/>
      <c r="C88" s="16"/>
      <c r="D88" s="17"/>
      <c r="F88" s="16"/>
    </row>
    <row r="89" ht="12.75" customHeight="1">
      <c r="A89" s="15"/>
      <c r="B89" s="31"/>
      <c r="C89" s="16"/>
      <c r="D89" s="17"/>
      <c r="F89" s="16"/>
    </row>
    <row r="90" ht="12.75" customHeight="1">
      <c r="A90" s="7"/>
      <c r="B90" s="31"/>
      <c r="C90" s="16"/>
      <c r="D90" s="17"/>
      <c r="F90" s="16"/>
    </row>
    <row r="91" ht="12.75" customHeight="1">
      <c r="A91" s="7"/>
      <c r="B91" s="31"/>
      <c r="C91" s="16"/>
      <c r="D91" s="17"/>
      <c r="F91" s="16"/>
    </row>
    <row r="92" ht="12.75" customHeight="1">
      <c r="A92" s="7"/>
      <c r="B92" s="31"/>
      <c r="C92" s="16"/>
      <c r="D92" s="17"/>
      <c r="F92" s="16"/>
    </row>
    <row r="93" ht="12.75" customHeight="1">
      <c r="A93" s="7"/>
      <c r="B93" s="31"/>
      <c r="C93" s="16"/>
      <c r="D93" s="17"/>
      <c r="F93" s="16"/>
    </row>
    <row r="94" ht="12.75" customHeight="1">
      <c r="A94" s="7"/>
      <c r="B94" s="31"/>
      <c r="C94" s="16"/>
      <c r="D94" s="17"/>
      <c r="F94" s="16"/>
    </row>
    <row r="95" ht="12.75" customHeight="1">
      <c r="B95" s="10"/>
      <c r="C95" s="16"/>
      <c r="D95" s="17"/>
      <c r="E95" s="7"/>
      <c r="F95" s="16"/>
      <c r="G95" s="16"/>
    </row>
    <row r="96" ht="12.75" customHeight="1">
      <c r="A96" s="15"/>
      <c r="B96" s="10"/>
      <c r="C96" s="16"/>
      <c r="D96" s="17"/>
      <c r="E96" s="22"/>
      <c r="F96" s="16"/>
      <c r="G96" s="16"/>
    </row>
    <row r="97" ht="12.75" customHeight="1">
      <c r="A97" s="7"/>
      <c r="B97" s="31"/>
      <c r="C97" s="16"/>
      <c r="D97" s="17"/>
      <c r="F97" s="16"/>
    </row>
    <row r="98" ht="12.75" customHeight="1">
      <c r="A98" s="7"/>
      <c r="B98" s="31"/>
      <c r="C98" s="16"/>
      <c r="D98" s="17"/>
      <c r="F98" s="16"/>
    </row>
    <row r="99" ht="12.75" customHeight="1">
      <c r="A99" s="7"/>
      <c r="B99" s="31"/>
      <c r="C99" s="16"/>
      <c r="D99" s="17"/>
      <c r="F99" s="16"/>
    </row>
    <row r="100" ht="12.75" customHeight="1">
      <c r="A100" s="7"/>
      <c r="B100" s="31"/>
      <c r="C100" s="16"/>
      <c r="D100" s="17"/>
      <c r="F100" s="16"/>
    </row>
    <row r="101" ht="12.75" customHeight="1">
      <c r="A101" s="7"/>
      <c r="B101" s="31"/>
      <c r="C101" s="16"/>
      <c r="D101" s="17"/>
      <c r="F101" s="16"/>
    </row>
    <row r="102" ht="12.75" customHeight="1">
      <c r="A102" s="7"/>
      <c r="B102" s="31"/>
      <c r="C102" s="16"/>
      <c r="D102" s="17"/>
      <c r="F102" s="16"/>
    </row>
    <row r="103" ht="12.75" customHeight="1">
      <c r="A103" s="16"/>
      <c r="B103" s="31"/>
      <c r="C103" s="77"/>
      <c r="D103" s="78"/>
      <c r="E103" s="79"/>
      <c r="F103" s="16"/>
      <c r="G103" s="16"/>
    </row>
    <row r="104" ht="12.75" customHeight="1">
      <c r="A104" s="16"/>
      <c r="B104" s="31"/>
      <c r="C104" s="77"/>
      <c r="D104" s="78"/>
      <c r="E104" s="79"/>
      <c r="F104" s="16"/>
      <c r="G104" s="16"/>
    </row>
    <row r="105" ht="12.75" customHeight="1">
      <c r="A105" s="85"/>
      <c r="B105" s="10"/>
      <c r="C105" s="77"/>
      <c r="D105" s="78"/>
      <c r="E105" s="79"/>
      <c r="F105" s="80"/>
      <c r="G105" s="77"/>
    </row>
    <row r="106" ht="12.75" customHeight="1">
      <c r="A106" s="76"/>
      <c r="B106" s="10"/>
      <c r="C106" s="77"/>
      <c r="D106" s="78"/>
      <c r="E106" s="79"/>
      <c r="F106" s="80"/>
      <c r="G106" s="77"/>
    </row>
    <row r="107" ht="12.75" customHeight="1">
      <c r="A107" s="76"/>
      <c r="B107" s="10"/>
      <c r="C107" s="77"/>
      <c r="D107" s="78"/>
      <c r="E107" s="79"/>
      <c r="F107" s="80"/>
      <c r="G107" s="77"/>
    </row>
    <row r="108" ht="12.75" customHeight="1">
      <c r="A108" s="15"/>
      <c r="B108" s="10"/>
      <c r="C108" s="16"/>
      <c r="D108" s="17"/>
      <c r="E108" s="7"/>
      <c r="F108" s="16"/>
      <c r="G108" s="16"/>
    </row>
    <row r="109" ht="12.75" customHeight="1">
      <c r="A109" s="15"/>
      <c r="B109" s="10"/>
      <c r="C109" s="16"/>
      <c r="D109" s="78"/>
      <c r="E109" s="7"/>
      <c r="F109" s="16"/>
      <c r="G109" s="16"/>
    </row>
    <row r="110" ht="12.75" customHeight="1">
      <c r="A110" s="15"/>
      <c r="B110" s="10"/>
      <c r="C110" s="16"/>
      <c r="D110" s="78"/>
      <c r="E110" s="7"/>
      <c r="F110" s="16"/>
      <c r="G110" s="16"/>
    </row>
    <row r="111" ht="12.75" customHeight="1">
      <c r="A111" s="15"/>
      <c r="B111" s="10"/>
      <c r="C111" s="16"/>
      <c r="D111" s="78"/>
      <c r="E111" s="7"/>
      <c r="F111" s="16"/>
      <c r="G111" s="16"/>
    </row>
    <row r="112" ht="12.75" customHeight="1">
      <c r="A112" s="15"/>
      <c r="B112" s="10"/>
      <c r="C112" s="16"/>
      <c r="D112" s="17"/>
      <c r="E112" s="7"/>
      <c r="F112" s="80"/>
    </row>
    <row r="113" ht="12.75" customHeight="1">
      <c r="A113" s="15"/>
      <c r="B113" s="10"/>
      <c r="C113" s="16"/>
      <c r="D113" s="78"/>
      <c r="E113" s="7"/>
      <c r="F113" s="16"/>
      <c r="G113" s="16"/>
    </row>
    <row r="114" ht="12.75" customHeight="1">
      <c r="A114" s="15"/>
      <c r="B114" s="10"/>
      <c r="C114" s="16"/>
      <c r="D114" s="78"/>
      <c r="E114" s="7"/>
      <c r="F114" s="16"/>
      <c r="G114" s="16"/>
    </row>
    <row r="115" ht="12.75" customHeight="1">
      <c r="A115" s="15"/>
      <c r="B115" s="10"/>
      <c r="C115" s="16"/>
      <c r="D115" s="17"/>
      <c r="E115" s="7"/>
      <c r="F115" s="16"/>
      <c r="G115" s="16"/>
    </row>
    <row r="116" ht="12.75" customHeight="1">
      <c r="A116" s="15"/>
      <c r="B116" s="10"/>
      <c r="C116" s="16"/>
      <c r="D116" s="78"/>
      <c r="E116" s="7"/>
      <c r="F116" s="16"/>
      <c r="G116" s="16"/>
    </row>
    <row r="117" ht="12.75" customHeight="1">
      <c r="A117" s="46"/>
      <c r="B117" s="10"/>
      <c r="C117" s="16"/>
      <c r="D117" s="78"/>
      <c r="E117" s="7"/>
      <c r="F117" s="16"/>
      <c r="G117" s="16"/>
    </row>
    <row r="118" ht="12.75" customHeight="1">
      <c r="A118" s="46"/>
      <c r="C118" s="16"/>
      <c r="D118" s="78"/>
      <c r="E118" s="7"/>
      <c r="F118" s="16"/>
      <c r="G118" s="16"/>
    </row>
    <row r="119" ht="12.75" customHeight="1">
      <c r="A119" s="46"/>
      <c r="B119" s="10"/>
      <c r="C119" s="16"/>
      <c r="D119" s="78"/>
      <c r="E119" s="7"/>
      <c r="F119" s="16"/>
      <c r="G119" s="16"/>
    </row>
    <row r="120" ht="12.75" customHeight="1">
      <c r="A120" s="15"/>
      <c r="B120" s="10"/>
      <c r="C120" s="16"/>
      <c r="D120" s="17"/>
      <c r="E120" s="22"/>
      <c r="F120" s="16"/>
      <c r="G120" s="16"/>
    </row>
    <row r="121" ht="12.75" customHeight="1">
      <c r="A121" s="15"/>
      <c r="B121" s="10"/>
      <c r="C121" s="16"/>
      <c r="D121" s="17"/>
      <c r="E121" s="7"/>
      <c r="F121" s="7"/>
      <c r="G121" s="7"/>
    </row>
    <row r="122" ht="12.75" customHeight="1">
      <c r="A122" s="15"/>
      <c r="B122" s="10"/>
      <c r="C122" s="16"/>
      <c r="D122" s="17"/>
      <c r="E122" s="7"/>
      <c r="F122" s="7"/>
      <c r="G122" s="7"/>
    </row>
    <row r="123" ht="12.75" customHeight="1">
      <c r="A123" s="15"/>
      <c r="B123" s="10"/>
      <c r="C123" s="16"/>
      <c r="D123" s="17"/>
      <c r="E123" s="7"/>
      <c r="F123" s="7"/>
      <c r="G123" s="7"/>
    </row>
    <row r="124" ht="12.75" customHeight="1">
      <c r="A124" s="15"/>
      <c r="B124" s="10"/>
      <c r="C124" s="16"/>
      <c r="D124" s="17"/>
      <c r="E124" s="7"/>
      <c r="F124" s="7"/>
      <c r="G124" s="7"/>
    </row>
    <row r="125" ht="12.75" customHeight="1">
      <c r="B125" s="10"/>
      <c r="C125" s="16"/>
      <c r="D125" s="17"/>
      <c r="F125" s="16"/>
    </row>
    <row r="126" ht="12.75" customHeight="1">
      <c r="A126" s="15"/>
      <c r="C126" s="16"/>
      <c r="D126" s="17"/>
      <c r="E126" s="7"/>
      <c r="F126" s="80"/>
    </row>
    <row r="127" ht="12.75" customHeight="1">
      <c r="A127" s="15"/>
      <c r="B127" s="10"/>
      <c r="C127" s="16"/>
      <c r="D127" s="17"/>
      <c r="E127" s="7"/>
      <c r="F127" s="80"/>
    </row>
    <row r="128" ht="12.75" customHeight="1">
      <c r="A128" s="15"/>
      <c r="B128" s="10"/>
      <c r="C128" s="16"/>
      <c r="D128" s="17"/>
      <c r="E128" s="7"/>
      <c r="F128" s="80"/>
    </row>
    <row r="129" ht="12.75" customHeight="1">
      <c r="A129" s="15"/>
      <c r="B129" s="31"/>
      <c r="C129" s="7"/>
      <c r="D129" s="17"/>
    </row>
    <row r="130" ht="12.75" customHeight="1">
      <c r="A130" s="15"/>
      <c r="B130" s="59"/>
      <c r="C130" s="16"/>
      <c r="D130" s="17"/>
    </row>
    <row r="131" ht="12.75" customHeight="1">
      <c r="A131" s="15"/>
      <c r="B131" s="10"/>
      <c r="C131" s="16"/>
      <c r="D131" s="78"/>
    </row>
    <row r="132" ht="12.75" customHeight="1">
      <c r="A132" s="7"/>
      <c r="B132" s="31"/>
      <c r="C132" s="16"/>
      <c r="D132" s="17"/>
      <c r="F132" s="16"/>
    </row>
    <row r="133" ht="12.75" customHeight="1">
      <c r="A133" s="15"/>
      <c r="B133" s="31"/>
      <c r="C133" s="7"/>
      <c r="D133" s="17"/>
    </row>
    <row r="134" ht="12.75" customHeight="1">
      <c r="A134" s="15"/>
      <c r="B134" s="10"/>
      <c r="C134" s="16"/>
      <c r="D134" s="17"/>
      <c r="E134" s="7"/>
      <c r="F134" s="7"/>
      <c r="G134" s="7"/>
    </row>
    <row r="135" ht="12.75" customHeight="1">
      <c r="A135" s="76"/>
      <c r="B135" s="10"/>
      <c r="C135" s="77"/>
      <c r="D135" s="78"/>
      <c r="E135" s="79"/>
      <c r="F135" s="80"/>
      <c r="G135" s="77"/>
    </row>
    <row r="136" ht="12.75" customHeight="1">
      <c r="A136" s="15"/>
      <c r="B136" s="10"/>
      <c r="C136" s="16"/>
      <c r="D136" s="17"/>
      <c r="E136" s="7"/>
      <c r="F136" s="7"/>
      <c r="G136" s="7"/>
    </row>
    <row r="137" ht="12.75" customHeight="1">
      <c r="A137" s="15"/>
      <c r="B137" s="10"/>
      <c r="C137" s="16"/>
      <c r="D137" s="17"/>
      <c r="E137" s="22"/>
      <c r="F137" s="7"/>
      <c r="G137" s="7"/>
    </row>
    <row r="138" ht="12.75" customHeight="1">
      <c r="A138" s="15"/>
      <c r="B138" s="31"/>
      <c r="C138" s="66" t="s">
        <v>3</v>
      </c>
      <c r="D138" s="67">
        <f>SUM(D3:D135)</f>
        <v>8799.28</v>
      </c>
      <c r="E138" s="7"/>
      <c r="F138" s="7"/>
      <c r="G138" s="7"/>
    </row>
    <row r="139" ht="12.75" customHeight="1">
      <c r="A139" s="68"/>
      <c r="B139" s="31"/>
    </row>
    <row r="140" ht="12.75" customHeight="1">
      <c r="A140" s="68"/>
      <c r="B140" s="31"/>
    </row>
    <row r="141" ht="12.75" customHeight="1">
      <c r="A141" s="68"/>
      <c r="B141" s="31"/>
    </row>
    <row r="142" ht="12.75" customHeight="1">
      <c r="A142" s="68"/>
      <c r="B142" s="31"/>
    </row>
    <row r="143" ht="12.75" customHeight="1">
      <c r="A143" s="68"/>
      <c r="B143" s="31"/>
    </row>
    <row r="144" ht="12.75" customHeight="1">
      <c r="A144" s="68"/>
      <c r="B144" s="31"/>
    </row>
    <row r="145" ht="12.75" customHeight="1">
      <c r="A145" s="68"/>
      <c r="B145" s="31"/>
    </row>
    <row r="146" ht="12.75" customHeight="1">
      <c r="A146" s="68"/>
    </row>
    <row r="147" ht="12.75" customHeight="1">
      <c r="A147" s="68"/>
    </row>
    <row r="148" ht="12.75" customHeight="1">
      <c r="A148" s="68"/>
    </row>
    <row r="149" ht="12.75" customHeight="1">
      <c r="A149" s="68"/>
    </row>
    <row r="150" ht="12.75" customHeight="1">
      <c r="A150" s="68"/>
    </row>
    <row r="151" ht="12.75" customHeight="1">
      <c r="A151" s="68"/>
    </row>
    <row r="152" ht="12.75" customHeight="1">
      <c r="A152" s="68"/>
    </row>
    <row r="153" ht="12.75" customHeight="1">
      <c r="A153" s="68"/>
    </row>
    <row r="154" ht="12.75" customHeight="1">
      <c r="A154" s="68"/>
    </row>
    <row r="155" ht="12.75" customHeight="1">
      <c r="A155" s="68"/>
    </row>
    <row r="156" ht="12.75" customHeight="1">
      <c r="A156" s="68"/>
    </row>
    <row r="157" ht="12.75" customHeight="1">
      <c r="A157" s="68"/>
    </row>
    <row r="158" ht="12.75" customHeight="1">
      <c r="A158" s="68"/>
    </row>
    <row r="159" ht="12.75" customHeight="1">
      <c r="A159" s="68"/>
    </row>
    <row r="160" ht="12.75" customHeight="1">
      <c r="A160" s="68"/>
    </row>
    <row r="161" ht="12.75" customHeight="1">
      <c r="A161" s="68"/>
    </row>
    <row r="162" ht="12.75" customHeight="1">
      <c r="A162" s="68"/>
    </row>
    <row r="163" ht="12.75" customHeight="1">
      <c r="A163" s="68"/>
    </row>
    <row r="164" ht="12.75" customHeight="1">
      <c r="A164" s="68"/>
    </row>
    <row r="165" ht="12.75" customHeight="1">
      <c r="A165" s="68"/>
    </row>
    <row r="166" ht="12.75" customHeight="1">
      <c r="A166" s="68"/>
    </row>
    <row r="167" ht="12.75" customHeight="1">
      <c r="A167" s="68"/>
    </row>
    <row r="168" ht="12.75" customHeight="1">
      <c r="A168" s="68"/>
    </row>
    <row r="169" ht="12.75" customHeight="1">
      <c r="A169" s="68"/>
    </row>
    <row r="170" ht="12.75" customHeight="1">
      <c r="A170" s="68"/>
    </row>
    <row r="171" ht="12.75" customHeight="1">
      <c r="A171" s="68"/>
    </row>
    <row r="172" ht="12.75" customHeight="1">
      <c r="A172" s="68"/>
    </row>
    <row r="173" ht="12.75" customHeight="1">
      <c r="A173" s="68"/>
    </row>
    <row r="174" ht="12.75" customHeight="1">
      <c r="A174" s="68"/>
    </row>
    <row r="175" ht="12.75" customHeight="1">
      <c r="A175" s="68"/>
    </row>
    <row r="176" ht="12.75" customHeight="1">
      <c r="A176" s="68"/>
    </row>
    <row r="177" ht="12.75" customHeight="1">
      <c r="A177" s="68"/>
    </row>
    <row r="178" ht="12.75" customHeight="1">
      <c r="A178" s="68"/>
    </row>
    <row r="179" ht="12.75" customHeight="1">
      <c r="A179" s="68"/>
    </row>
    <row r="180" ht="12.75" customHeight="1">
      <c r="A180" s="68"/>
    </row>
    <row r="181" ht="12.75" customHeight="1">
      <c r="A181" s="68"/>
    </row>
    <row r="182" ht="12.75" customHeight="1">
      <c r="A182" s="68"/>
    </row>
    <row r="183" ht="12.75" customHeight="1">
      <c r="A183" s="68"/>
    </row>
    <row r="184" ht="12.75" customHeight="1">
      <c r="A184" s="68"/>
    </row>
    <row r="185" ht="12.75" customHeight="1">
      <c r="A185" s="68"/>
    </row>
    <row r="186" ht="12.75" customHeight="1">
      <c r="A186" s="68"/>
    </row>
    <row r="187" ht="12.75" customHeight="1">
      <c r="A187" s="68"/>
    </row>
    <row r="188" ht="12.75" customHeight="1">
      <c r="A188" s="68"/>
    </row>
    <row r="189" ht="12.75" customHeight="1">
      <c r="A189" s="68"/>
    </row>
    <row r="190" ht="12.75" customHeight="1">
      <c r="A190" s="68"/>
    </row>
    <row r="191" ht="12.75" customHeight="1">
      <c r="A191" s="68"/>
    </row>
    <row r="192" ht="12.75" customHeight="1">
      <c r="A192" s="68"/>
    </row>
    <row r="193" ht="12.75" customHeight="1">
      <c r="A193" s="68"/>
    </row>
    <row r="194" ht="12.75" customHeight="1">
      <c r="A194" s="68"/>
    </row>
    <row r="195" ht="12.75" customHeight="1">
      <c r="A195" s="68"/>
    </row>
    <row r="196" ht="12.75" customHeight="1">
      <c r="A196" s="68"/>
    </row>
    <row r="197" ht="12.75" customHeight="1">
      <c r="A197" s="68"/>
    </row>
    <row r="198" ht="12.75" customHeight="1">
      <c r="A198" s="68"/>
    </row>
    <row r="199" ht="12.75" customHeight="1">
      <c r="A199" s="68"/>
    </row>
    <row r="200" ht="12.75" customHeight="1">
      <c r="A200" s="68"/>
    </row>
    <row r="201" ht="12.75" customHeight="1">
      <c r="A201" s="68"/>
    </row>
    <row r="202" ht="12.75" customHeight="1">
      <c r="A202" s="68"/>
    </row>
    <row r="203" ht="12.75" customHeight="1">
      <c r="A203" s="68"/>
    </row>
    <row r="204" ht="12.75" customHeight="1">
      <c r="A204" s="68"/>
    </row>
    <row r="205" ht="12.75" customHeight="1">
      <c r="A205" s="68"/>
    </row>
    <row r="206" ht="12.75" customHeight="1">
      <c r="A206" s="68"/>
    </row>
    <row r="207" ht="12.75" customHeight="1">
      <c r="A207" s="68"/>
    </row>
    <row r="208" ht="12.75" customHeight="1">
      <c r="A208" s="68"/>
    </row>
    <row r="209" ht="12.75" customHeight="1">
      <c r="A209" s="68"/>
    </row>
    <row r="210" ht="12.75" customHeight="1">
      <c r="A210" s="68"/>
    </row>
    <row r="211" ht="12.75" customHeight="1">
      <c r="A211" s="68"/>
    </row>
    <row r="212" ht="12.75" customHeight="1">
      <c r="A212" s="68"/>
    </row>
    <row r="213" ht="12.75" customHeight="1">
      <c r="A213" s="68"/>
    </row>
    <row r="214" ht="12.75" customHeight="1">
      <c r="A214" s="68"/>
    </row>
    <row r="215" ht="12.75" customHeight="1">
      <c r="A215" s="68"/>
    </row>
    <row r="216" ht="12.75" customHeight="1">
      <c r="A216" s="68"/>
    </row>
    <row r="217" ht="12.75" customHeight="1">
      <c r="A217" s="68"/>
    </row>
    <row r="218" ht="12.75" customHeight="1">
      <c r="A218" s="68"/>
    </row>
    <row r="219" ht="12.75" customHeight="1">
      <c r="A219" s="68"/>
    </row>
    <row r="220" ht="12.75" customHeight="1">
      <c r="A220" s="68"/>
    </row>
    <row r="221" ht="12.75" customHeight="1">
      <c r="A221" s="68"/>
    </row>
    <row r="222" ht="12.75" customHeight="1">
      <c r="A222" s="68"/>
    </row>
    <row r="223" ht="12.75" customHeight="1">
      <c r="A223" s="68"/>
    </row>
    <row r="224" ht="12.75" customHeight="1">
      <c r="A224" s="68"/>
    </row>
    <row r="225" ht="12.75" customHeight="1">
      <c r="A225" s="68"/>
    </row>
    <row r="226" ht="12.75" customHeight="1">
      <c r="A226" s="68"/>
    </row>
    <row r="227" ht="12.75" customHeight="1">
      <c r="A227" s="68"/>
    </row>
    <row r="228" ht="12.75" customHeight="1">
      <c r="A228" s="68"/>
    </row>
    <row r="229" ht="12.75" customHeight="1">
      <c r="A229" s="68"/>
    </row>
    <row r="230" ht="12.75" customHeight="1">
      <c r="A230" s="68"/>
    </row>
    <row r="231" ht="12.75" customHeight="1">
      <c r="A231" s="68"/>
    </row>
    <row r="232" ht="12.75" customHeight="1">
      <c r="A232" s="68"/>
    </row>
    <row r="233" ht="12.75" customHeight="1">
      <c r="A233" s="68"/>
    </row>
    <row r="234" ht="12.75" customHeight="1">
      <c r="A234" s="68"/>
    </row>
    <row r="235" ht="12.75" customHeight="1">
      <c r="A235" s="68"/>
    </row>
    <row r="236" ht="12.75" customHeight="1">
      <c r="A236" s="68"/>
    </row>
    <row r="237" ht="12.75" customHeight="1">
      <c r="A237" s="68"/>
    </row>
    <row r="238" ht="12.75" customHeight="1">
      <c r="A238" s="68"/>
    </row>
    <row r="239" ht="12.75" customHeight="1">
      <c r="A239" s="68"/>
    </row>
    <row r="240" ht="12.75" customHeight="1">
      <c r="A240" s="68"/>
    </row>
    <row r="241" ht="12.75" customHeight="1">
      <c r="A241" s="68"/>
    </row>
    <row r="242" ht="12.75" customHeight="1">
      <c r="A242" s="68"/>
    </row>
    <row r="243" ht="12.75" customHeight="1">
      <c r="A243" s="68"/>
    </row>
    <row r="244" ht="12.75" customHeight="1">
      <c r="A244" s="68"/>
    </row>
    <row r="245" ht="12.75" customHeight="1">
      <c r="A245" s="68"/>
    </row>
    <row r="246" ht="12.75" customHeight="1">
      <c r="A246" s="68"/>
    </row>
    <row r="247" ht="12.75" customHeight="1">
      <c r="A247" s="68"/>
    </row>
    <row r="248" ht="12.75" customHeight="1">
      <c r="A248" s="68"/>
    </row>
    <row r="249" ht="12.75" customHeight="1">
      <c r="A249" s="68"/>
    </row>
    <row r="250" ht="12.75" customHeight="1">
      <c r="A250" s="68"/>
    </row>
    <row r="251" ht="12.75" customHeight="1">
      <c r="A251" s="68"/>
    </row>
    <row r="252" ht="12.75" customHeight="1">
      <c r="A252" s="68"/>
    </row>
    <row r="253" ht="12.75" customHeight="1">
      <c r="A253" s="68"/>
    </row>
    <row r="254" ht="12.75" customHeight="1">
      <c r="A254" s="68"/>
    </row>
    <row r="255" ht="12.75" customHeight="1">
      <c r="A255" s="68"/>
    </row>
    <row r="256" ht="12.75" customHeight="1">
      <c r="A256" s="68"/>
    </row>
    <row r="257" ht="12.75" customHeight="1">
      <c r="A257" s="68"/>
    </row>
    <row r="258" ht="12.75" customHeight="1">
      <c r="A258" s="68"/>
    </row>
    <row r="259" ht="12.75" customHeight="1">
      <c r="A259" s="68"/>
    </row>
    <row r="260" ht="12.75" customHeight="1">
      <c r="A260" s="68"/>
    </row>
    <row r="261" ht="12.75" customHeight="1">
      <c r="A261" s="68"/>
    </row>
    <row r="262" ht="12.75" customHeight="1">
      <c r="A262" s="68"/>
    </row>
    <row r="263" ht="12.75" customHeight="1">
      <c r="A263" s="68"/>
    </row>
    <row r="264" ht="12.75" customHeight="1">
      <c r="A264" s="68"/>
    </row>
    <row r="265" ht="12.75" customHeight="1">
      <c r="A265" s="68"/>
    </row>
    <row r="266" ht="12.75" customHeight="1">
      <c r="A266" s="68"/>
    </row>
    <row r="267" ht="12.75" customHeight="1">
      <c r="A267" s="68"/>
    </row>
    <row r="268" ht="12.75" customHeight="1">
      <c r="A268" s="68"/>
    </row>
    <row r="269" ht="12.75" customHeight="1">
      <c r="A269" s="68"/>
    </row>
    <row r="270" ht="12.75" customHeight="1">
      <c r="A270" s="68"/>
    </row>
    <row r="271" ht="12.75" customHeight="1">
      <c r="A271" s="68"/>
    </row>
    <row r="272" ht="12.75" customHeight="1">
      <c r="A272" s="68"/>
    </row>
    <row r="273" ht="12.75" customHeight="1">
      <c r="A273" s="68"/>
    </row>
    <row r="274" ht="12.75" customHeight="1">
      <c r="A274" s="68"/>
    </row>
    <row r="275" ht="12.75" customHeight="1">
      <c r="A275" s="68"/>
    </row>
    <row r="276" ht="12.75" customHeight="1">
      <c r="A276" s="68"/>
    </row>
    <row r="277" ht="12.75" customHeight="1">
      <c r="A277" s="68"/>
    </row>
    <row r="278" ht="12.75" customHeight="1">
      <c r="A278" s="68"/>
    </row>
    <row r="279" ht="12.75" customHeight="1">
      <c r="A279" s="68"/>
    </row>
    <row r="280" ht="12.75" customHeight="1">
      <c r="A280" s="68"/>
    </row>
    <row r="281" ht="12.75" customHeight="1">
      <c r="A281" s="68"/>
    </row>
    <row r="282" ht="12.75" customHeight="1">
      <c r="A282" s="68"/>
    </row>
    <row r="283" ht="12.75" customHeight="1">
      <c r="A283" s="68"/>
    </row>
    <row r="284" ht="12.75" customHeight="1">
      <c r="A284" s="68"/>
    </row>
    <row r="285" ht="12.75" customHeight="1">
      <c r="A285" s="68"/>
    </row>
    <row r="286" ht="12.75" customHeight="1">
      <c r="A286" s="68"/>
    </row>
    <row r="287" ht="12.75" customHeight="1">
      <c r="A287" s="68"/>
    </row>
    <row r="288" ht="12.75" customHeight="1">
      <c r="A288" s="68"/>
    </row>
    <row r="289" ht="12.75" customHeight="1">
      <c r="A289" s="68"/>
    </row>
    <row r="290" ht="12.75" customHeight="1">
      <c r="A290" s="68"/>
    </row>
    <row r="291" ht="12.75" customHeight="1">
      <c r="A291" s="68"/>
    </row>
    <row r="292" ht="12.75" customHeight="1">
      <c r="A292" s="68"/>
    </row>
    <row r="293" ht="12.75" customHeight="1">
      <c r="A293" s="68"/>
    </row>
    <row r="294" ht="12.75" customHeight="1">
      <c r="A294" s="68"/>
    </row>
    <row r="295" ht="12.75" customHeight="1">
      <c r="A295" s="68"/>
    </row>
    <row r="296" ht="12.75" customHeight="1">
      <c r="A296" s="68"/>
    </row>
    <row r="297" ht="12.75" customHeight="1">
      <c r="A297" s="68"/>
    </row>
    <row r="298" ht="12.75" customHeight="1">
      <c r="A298" s="68"/>
    </row>
    <row r="299" ht="12.75" customHeight="1">
      <c r="A299" s="68"/>
    </row>
    <row r="300" ht="12.75" customHeight="1">
      <c r="A300" s="68"/>
    </row>
    <row r="301" ht="12.75" customHeight="1">
      <c r="A301" s="68"/>
    </row>
    <row r="302" ht="12.75" customHeight="1">
      <c r="A302" s="68"/>
    </row>
    <row r="303" ht="12.75" customHeight="1">
      <c r="A303" s="68"/>
    </row>
    <row r="304" ht="12.75" customHeight="1">
      <c r="A304" s="68"/>
    </row>
    <row r="305" ht="12.75" customHeight="1">
      <c r="A305" s="68"/>
    </row>
    <row r="306" ht="12.75" customHeight="1">
      <c r="A306" s="68"/>
    </row>
    <row r="307" ht="12.75" customHeight="1">
      <c r="A307" s="68"/>
    </row>
    <row r="308" ht="12.75" customHeight="1">
      <c r="A308" s="68"/>
    </row>
    <row r="309" ht="12.75" customHeight="1">
      <c r="A309" s="68"/>
    </row>
    <row r="310" ht="12.75" customHeight="1">
      <c r="A310" s="68"/>
    </row>
    <row r="311" ht="12.75" customHeight="1">
      <c r="A311" s="68"/>
    </row>
    <row r="312" ht="12.75" customHeight="1">
      <c r="A312" s="68"/>
    </row>
    <row r="313" ht="12.75" customHeight="1">
      <c r="A313" s="68"/>
    </row>
    <row r="314" ht="12.75" customHeight="1">
      <c r="A314" s="68"/>
    </row>
    <row r="315" ht="12.75" customHeight="1">
      <c r="A315" s="68"/>
    </row>
    <row r="316" ht="12.75" customHeight="1">
      <c r="A316" s="68"/>
    </row>
    <row r="317" ht="12.75" customHeight="1">
      <c r="A317" s="68"/>
    </row>
    <row r="318" ht="12.75" customHeight="1">
      <c r="A318" s="68"/>
    </row>
    <row r="319" ht="12.75" customHeight="1">
      <c r="A319" s="68"/>
    </row>
    <row r="320" ht="12.75" customHeight="1">
      <c r="A320" s="68"/>
    </row>
    <row r="321" ht="12.75" customHeight="1">
      <c r="A321" s="68"/>
    </row>
    <row r="322" ht="12.75" customHeight="1">
      <c r="A322" s="68"/>
    </row>
    <row r="323" ht="12.75" customHeight="1">
      <c r="A323" s="68"/>
    </row>
    <row r="324" ht="12.75" customHeight="1">
      <c r="A324" s="68"/>
    </row>
    <row r="325" ht="12.75" customHeight="1">
      <c r="A325" s="68"/>
    </row>
    <row r="326" ht="12.75" customHeight="1">
      <c r="A326" s="68"/>
    </row>
    <row r="327" ht="12.75" customHeight="1">
      <c r="A327" s="68"/>
    </row>
    <row r="328" ht="12.75" customHeight="1">
      <c r="A328" s="68"/>
    </row>
    <row r="329" ht="12.75" customHeight="1">
      <c r="A329" s="68"/>
    </row>
    <row r="330" ht="12.75" customHeight="1">
      <c r="A330" s="68"/>
    </row>
    <row r="331" ht="12.75" customHeight="1">
      <c r="A331" s="68"/>
    </row>
    <row r="332" ht="12.75" customHeight="1">
      <c r="A332" s="68"/>
    </row>
    <row r="333" ht="12.75" customHeight="1">
      <c r="A333" s="68"/>
    </row>
    <row r="334" ht="12.75" customHeight="1">
      <c r="A334" s="68"/>
    </row>
    <row r="335" ht="12.75" customHeight="1">
      <c r="A335" s="68"/>
    </row>
    <row r="336" ht="12.75" customHeight="1">
      <c r="A336" s="68"/>
    </row>
    <row r="337" ht="12.75" customHeight="1">
      <c r="A337" s="68"/>
    </row>
    <row r="338" ht="12.75" customHeight="1">
      <c r="A338" s="68"/>
    </row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9.86"/>
    <col customWidth="1" min="4" max="5" width="8.71"/>
    <col customWidth="1" min="6" max="6" width="18.29"/>
    <col customWidth="1" min="7" max="26" width="8.71"/>
  </cols>
  <sheetData>
    <row r="1" ht="12.75" customHeight="1">
      <c r="A1" s="71" t="s">
        <v>0</v>
      </c>
      <c r="B1" s="70" t="s">
        <v>2</v>
      </c>
      <c r="C1" s="74"/>
    </row>
    <row r="2" ht="12.75" customHeight="1">
      <c r="A2" s="15" t="s">
        <v>127</v>
      </c>
      <c r="B2" s="16">
        <v>1.0</v>
      </c>
      <c r="C2" s="78"/>
      <c r="E2" s="7" t="s">
        <v>743</v>
      </c>
      <c r="F2" s="15">
        <v>5.65</v>
      </c>
      <c r="G2" s="88"/>
      <c r="H2" s="16"/>
      <c r="I2" s="11"/>
      <c r="J2" s="7"/>
    </row>
    <row r="3" ht="12.75" customHeight="1">
      <c r="A3" s="15" t="s">
        <v>98</v>
      </c>
      <c r="B3" s="16">
        <v>4.0</v>
      </c>
      <c r="C3" s="17"/>
      <c r="D3" s="7" t="s">
        <v>743</v>
      </c>
      <c r="E3" s="7" t="s">
        <v>743</v>
      </c>
      <c r="F3" s="20">
        <v>24.18</v>
      </c>
      <c r="G3" s="10"/>
      <c r="H3" s="16"/>
      <c r="I3" s="11"/>
      <c r="J3" s="7"/>
    </row>
    <row r="4" ht="12.75" customHeight="1">
      <c r="A4" s="20" t="s">
        <v>208</v>
      </c>
      <c r="B4" s="16">
        <v>1.0</v>
      </c>
      <c r="C4" s="17"/>
      <c r="D4" s="7" t="s">
        <v>743</v>
      </c>
      <c r="E4" s="7" t="s">
        <v>743</v>
      </c>
      <c r="F4" s="15">
        <v>1.45</v>
      </c>
      <c r="G4" s="10"/>
      <c r="H4" s="16"/>
      <c r="I4" s="11"/>
      <c r="J4" s="7"/>
    </row>
    <row r="5" ht="12.75" customHeight="1">
      <c r="A5" s="15" t="s">
        <v>108</v>
      </c>
      <c r="B5" s="16">
        <v>1.0</v>
      </c>
      <c r="C5" s="17"/>
      <c r="D5" s="7" t="s">
        <v>743</v>
      </c>
      <c r="E5" s="7" t="s">
        <v>743</v>
      </c>
      <c r="F5" s="15">
        <v>1.61</v>
      </c>
      <c r="G5" s="10"/>
      <c r="H5" s="16"/>
      <c r="I5" s="11"/>
      <c r="J5" s="7"/>
    </row>
    <row r="6" ht="12.75" customHeight="1">
      <c r="A6" s="15" t="s">
        <v>106</v>
      </c>
      <c r="B6" s="16">
        <v>6.0</v>
      </c>
      <c r="C6" s="17"/>
      <c r="D6" s="7" t="s">
        <v>743</v>
      </c>
      <c r="E6" s="7" t="s">
        <v>743</v>
      </c>
      <c r="F6" s="15">
        <v>1.58</v>
      </c>
      <c r="G6" s="31"/>
      <c r="H6" s="16"/>
      <c r="I6" s="11"/>
      <c r="J6" s="7"/>
    </row>
    <row r="7" ht="12.75" customHeight="1">
      <c r="A7" s="7" t="s">
        <v>109</v>
      </c>
      <c r="B7" s="16">
        <v>1.0</v>
      </c>
      <c r="C7" s="17"/>
      <c r="D7" s="7" t="s">
        <v>743</v>
      </c>
      <c r="E7" s="7" t="s">
        <v>743</v>
      </c>
      <c r="F7" s="10">
        <v>1.94</v>
      </c>
      <c r="H7" s="77"/>
      <c r="I7" s="11"/>
      <c r="J7" s="79"/>
    </row>
    <row r="8" ht="12.75" customHeight="1">
      <c r="A8" s="32" t="s">
        <v>93</v>
      </c>
      <c r="B8" s="77">
        <v>3.0</v>
      </c>
      <c r="C8" s="78"/>
      <c r="D8" s="79" t="s">
        <v>743</v>
      </c>
      <c r="E8" s="7" t="s">
        <v>743</v>
      </c>
      <c r="F8" s="15">
        <v>1.86</v>
      </c>
      <c r="G8" s="31"/>
      <c r="H8" s="16"/>
      <c r="I8" s="11"/>
    </row>
    <row r="9" ht="12.75" customHeight="1">
      <c r="A9" s="7" t="s">
        <v>199</v>
      </c>
      <c r="B9" s="16">
        <v>2.0</v>
      </c>
      <c r="C9" s="17"/>
      <c r="D9" s="20" t="s">
        <v>743</v>
      </c>
      <c r="E9" s="7" t="s">
        <v>743</v>
      </c>
      <c r="F9" s="15">
        <v>1.61</v>
      </c>
      <c r="G9" s="31"/>
      <c r="H9" s="16"/>
      <c r="I9" s="11"/>
    </row>
    <row r="10" ht="12.75" customHeight="1">
      <c r="A10" s="15" t="s">
        <v>84</v>
      </c>
      <c r="B10" s="16">
        <v>1.0</v>
      </c>
      <c r="C10" s="17"/>
      <c r="D10" s="20" t="s">
        <v>743</v>
      </c>
      <c r="E10" s="7" t="s">
        <v>743</v>
      </c>
      <c r="F10" s="15">
        <v>1.92</v>
      </c>
      <c r="G10" s="10"/>
      <c r="H10" s="16"/>
      <c r="I10" s="11"/>
      <c r="J10" s="7"/>
    </row>
    <row r="11" ht="12.75" customHeight="1">
      <c r="A11" s="15" t="s">
        <v>107</v>
      </c>
      <c r="B11" s="16">
        <v>6.0</v>
      </c>
      <c r="C11" s="17"/>
      <c r="D11" s="7" t="s">
        <v>743</v>
      </c>
      <c r="E11" s="7" t="s">
        <v>743</v>
      </c>
      <c r="F11" s="15">
        <v>1.89</v>
      </c>
      <c r="G11" s="10"/>
      <c r="H11" s="16"/>
      <c r="I11" s="11"/>
      <c r="J11" s="7"/>
    </row>
    <row r="12" ht="12.75" customHeight="1">
      <c r="A12" s="15" t="s">
        <v>71</v>
      </c>
      <c r="B12" s="16">
        <v>5.0</v>
      </c>
      <c r="C12" s="17"/>
      <c r="D12" s="7" t="s">
        <v>743</v>
      </c>
      <c r="E12" s="7" t="s">
        <v>743</v>
      </c>
      <c r="F12" s="15">
        <v>1.64</v>
      </c>
      <c r="G12" s="10"/>
      <c r="H12" s="16"/>
      <c r="I12" s="11"/>
      <c r="J12" s="7"/>
    </row>
    <row r="13" ht="12.75" customHeight="1">
      <c r="A13" s="15" t="s">
        <v>54</v>
      </c>
      <c r="B13" s="16">
        <v>5.0</v>
      </c>
      <c r="C13" s="17"/>
      <c r="D13" s="7" t="s">
        <v>743</v>
      </c>
      <c r="E13" s="7" t="s">
        <v>743</v>
      </c>
      <c r="F13" s="15">
        <v>2.24</v>
      </c>
      <c r="G13" s="10"/>
      <c r="H13" s="16"/>
      <c r="I13" s="11"/>
      <c r="J13" s="7"/>
    </row>
    <row r="14" ht="12.75" customHeight="1">
      <c r="A14" s="15" t="s">
        <v>105</v>
      </c>
      <c r="B14" s="16">
        <v>4.0</v>
      </c>
      <c r="C14" s="17"/>
      <c r="D14" s="7" t="s">
        <v>743</v>
      </c>
      <c r="E14" s="7" t="s">
        <v>743</v>
      </c>
      <c r="F14" s="15">
        <v>1.94</v>
      </c>
      <c r="G14" s="10"/>
      <c r="H14" s="16"/>
      <c r="I14" s="11"/>
      <c r="J14" s="7"/>
    </row>
    <row r="15" ht="12.75" customHeight="1">
      <c r="A15" s="15" t="s">
        <v>53</v>
      </c>
      <c r="B15" s="16">
        <v>6.0</v>
      </c>
      <c r="C15" s="17"/>
      <c r="D15" s="7" t="s">
        <v>743</v>
      </c>
      <c r="E15" s="7" t="s">
        <v>743</v>
      </c>
      <c r="F15" s="15">
        <v>2.28</v>
      </c>
      <c r="G15" s="10"/>
      <c r="H15" s="16"/>
      <c r="I15" s="11"/>
    </row>
    <row r="16" ht="12.75" customHeight="1">
      <c r="A16" s="15" t="s">
        <v>312</v>
      </c>
      <c r="B16" s="77">
        <v>1.0</v>
      </c>
      <c r="C16" s="78"/>
      <c r="D16" s="20" t="s">
        <v>743</v>
      </c>
      <c r="E16" s="7" t="s">
        <v>743</v>
      </c>
      <c r="F16" s="15">
        <v>2.3</v>
      </c>
      <c r="G16" s="10"/>
      <c r="H16" s="16"/>
      <c r="I16" s="11"/>
      <c r="J16" s="7"/>
    </row>
    <row r="17" ht="12.75" customHeight="1">
      <c r="A17" s="20" t="s">
        <v>382</v>
      </c>
      <c r="B17" s="16">
        <v>1.0</v>
      </c>
      <c r="C17" s="17"/>
      <c r="D17" s="7" t="s">
        <v>743</v>
      </c>
      <c r="E17" s="7" t="s">
        <v>743</v>
      </c>
      <c r="F17" s="15">
        <v>2.38</v>
      </c>
      <c r="G17" s="88"/>
      <c r="H17" s="16"/>
      <c r="I17" s="11"/>
      <c r="J17" s="7"/>
    </row>
    <row r="18" ht="12.75" customHeight="1">
      <c r="A18" s="15" t="s">
        <v>52</v>
      </c>
      <c r="B18" s="16">
        <v>2.0</v>
      </c>
      <c r="C18" s="17"/>
      <c r="D18" s="7" t="s">
        <v>743</v>
      </c>
      <c r="E18" s="7" t="s">
        <v>743</v>
      </c>
      <c r="F18" s="15">
        <v>2.36</v>
      </c>
      <c r="G18" s="88"/>
      <c r="H18" s="16"/>
      <c r="I18" s="11"/>
      <c r="J18" s="7"/>
    </row>
    <row r="19" ht="12.75" customHeight="1">
      <c r="A19" s="15" t="s">
        <v>70</v>
      </c>
      <c r="B19" s="16">
        <v>2.0</v>
      </c>
      <c r="C19" s="17"/>
      <c r="D19" s="7" t="s">
        <v>743</v>
      </c>
      <c r="E19" s="7" t="s">
        <v>743</v>
      </c>
      <c r="F19" s="15">
        <v>3.54</v>
      </c>
      <c r="G19" s="10"/>
      <c r="H19" s="16"/>
      <c r="I19" s="11"/>
      <c r="J19" s="7"/>
    </row>
    <row r="20" ht="12.75" customHeight="1">
      <c r="A20" s="15" t="s">
        <v>100</v>
      </c>
      <c r="B20" s="16">
        <v>5.0</v>
      </c>
      <c r="C20" s="17"/>
      <c r="D20" s="7" t="s">
        <v>743</v>
      </c>
      <c r="E20" s="7" t="s">
        <v>743</v>
      </c>
      <c r="F20" s="15">
        <v>2.12</v>
      </c>
      <c r="G20" s="10"/>
      <c r="H20" s="16"/>
      <c r="I20" s="11"/>
      <c r="J20" s="7"/>
    </row>
    <row r="21" ht="12.75" customHeight="1">
      <c r="A21" s="15" t="s">
        <v>69</v>
      </c>
      <c r="B21" s="16">
        <v>5.0</v>
      </c>
      <c r="C21" s="17"/>
      <c r="D21" s="7" t="s">
        <v>743</v>
      </c>
      <c r="E21" s="7" t="s">
        <v>743</v>
      </c>
      <c r="F21" s="15">
        <v>2.37</v>
      </c>
      <c r="G21" s="10"/>
      <c r="H21" s="16"/>
      <c r="I21" s="11"/>
      <c r="J21" s="7"/>
    </row>
    <row r="22" ht="12.75" customHeight="1">
      <c r="A22" s="15" t="s">
        <v>102</v>
      </c>
      <c r="B22" s="16">
        <v>1.0</v>
      </c>
      <c r="C22" s="17"/>
      <c r="D22" s="7" t="s">
        <v>850</v>
      </c>
      <c r="E22" s="7" t="s">
        <v>863</v>
      </c>
      <c r="F22" s="15">
        <v>2.91</v>
      </c>
      <c r="G22" s="10"/>
      <c r="H22" s="16"/>
      <c r="I22" s="11"/>
      <c r="J22" s="7"/>
    </row>
    <row r="23" ht="12.75" customHeight="1">
      <c r="A23" s="15" t="s">
        <v>101</v>
      </c>
      <c r="B23" s="16">
        <v>1.0</v>
      </c>
      <c r="C23" s="17"/>
      <c r="D23" s="7" t="s">
        <v>743</v>
      </c>
      <c r="E23" s="7" t="s">
        <v>743</v>
      </c>
      <c r="F23" s="15">
        <v>3.91</v>
      </c>
      <c r="G23" s="10"/>
      <c r="H23" s="16"/>
      <c r="I23" s="11"/>
      <c r="J23" s="7"/>
    </row>
    <row r="24" ht="12.75" customHeight="1">
      <c r="A24" s="15" t="s">
        <v>381</v>
      </c>
      <c r="B24" s="16">
        <v>2.0</v>
      </c>
      <c r="C24" s="17"/>
      <c r="D24" s="7" t="s">
        <v>743</v>
      </c>
      <c r="E24" s="7" t="s">
        <v>743</v>
      </c>
      <c r="F24" s="15">
        <v>3.43</v>
      </c>
      <c r="G24" s="10"/>
      <c r="H24" s="16"/>
      <c r="I24" s="11"/>
      <c r="J24" s="7"/>
    </row>
    <row r="25" ht="12.75" customHeight="1">
      <c r="A25" s="15" t="s">
        <v>380</v>
      </c>
      <c r="B25" s="16">
        <v>2.0</v>
      </c>
      <c r="C25" s="17"/>
      <c r="D25" s="7" t="s">
        <v>743</v>
      </c>
      <c r="E25" s="7" t="s">
        <v>743</v>
      </c>
      <c r="F25" s="15">
        <v>3.95</v>
      </c>
      <c r="G25" s="10"/>
      <c r="H25" s="16"/>
      <c r="I25" s="11"/>
      <c r="J25" s="7"/>
    </row>
    <row r="26" ht="12.75" customHeight="1">
      <c r="A26" s="15" t="s">
        <v>83</v>
      </c>
      <c r="B26" s="16">
        <v>2.0</v>
      </c>
      <c r="C26" s="17"/>
      <c r="D26" s="7" t="s">
        <v>743</v>
      </c>
      <c r="E26" s="7" t="s">
        <v>743</v>
      </c>
      <c r="F26" s="15">
        <v>3.88</v>
      </c>
      <c r="G26" s="10"/>
      <c r="H26" s="16"/>
      <c r="I26" s="11"/>
      <c r="J26" s="7"/>
    </row>
    <row r="27" ht="12.75" customHeight="1">
      <c r="A27" s="15" t="s">
        <v>103</v>
      </c>
      <c r="B27" s="16">
        <v>5.0</v>
      </c>
      <c r="C27" s="17"/>
      <c r="D27" s="7" t="s">
        <v>743</v>
      </c>
      <c r="E27" s="7" t="s">
        <v>743</v>
      </c>
      <c r="F27" s="15">
        <v>3.54</v>
      </c>
      <c r="G27" s="10"/>
      <c r="H27" s="16"/>
      <c r="I27" s="11"/>
      <c r="J27" s="7"/>
    </row>
    <row r="28" ht="12.75" customHeight="1">
      <c r="A28" s="15" t="s">
        <v>50</v>
      </c>
      <c r="B28" s="16">
        <v>2.0</v>
      </c>
      <c r="C28" s="17"/>
      <c r="D28" s="7" t="s">
        <v>863</v>
      </c>
      <c r="E28" s="7" t="s">
        <v>863</v>
      </c>
      <c r="F28" s="15">
        <v>8.02</v>
      </c>
      <c r="G28" s="10"/>
      <c r="H28" s="16"/>
      <c r="I28" s="11"/>
      <c r="J28" s="7"/>
    </row>
    <row r="29" ht="12.75" customHeight="1">
      <c r="A29" s="7" t="s">
        <v>207</v>
      </c>
      <c r="B29" s="16">
        <v>1.0</v>
      </c>
      <c r="C29" s="17"/>
      <c r="D29" s="7" t="s">
        <v>743</v>
      </c>
      <c r="E29" s="7" t="s">
        <v>743</v>
      </c>
      <c r="F29" s="15">
        <v>4.83</v>
      </c>
      <c r="G29" s="10"/>
      <c r="H29" s="16"/>
      <c r="I29" s="11"/>
      <c r="J29" s="7"/>
    </row>
    <row r="30" ht="12.75" customHeight="1">
      <c r="A30" s="15" t="s">
        <v>496</v>
      </c>
      <c r="B30" s="16">
        <v>1.0</v>
      </c>
      <c r="C30" s="17"/>
      <c r="D30" s="7" t="s">
        <v>856</v>
      </c>
      <c r="E30" s="7" t="s">
        <v>863</v>
      </c>
      <c r="F30" s="15">
        <v>9.26</v>
      </c>
    </row>
    <row r="31" ht="12.75" customHeight="1">
      <c r="A31" s="15" t="s">
        <v>58</v>
      </c>
      <c r="B31" s="16">
        <v>1.0</v>
      </c>
      <c r="C31" s="17"/>
      <c r="D31" s="7" t="s">
        <v>863</v>
      </c>
      <c r="E31" s="7" t="s">
        <v>863</v>
      </c>
      <c r="F31" s="15">
        <v>8.22</v>
      </c>
    </row>
    <row r="32" ht="12.75" customHeight="1">
      <c r="A32" s="15" t="s">
        <v>99</v>
      </c>
      <c r="B32" s="16">
        <v>4.0</v>
      </c>
      <c r="C32" s="17"/>
      <c r="D32" s="7" t="s">
        <v>743</v>
      </c>
      <c r="E32" s="7" t="s">
        <v>743</v>
      </c>
      <c r="F32" s="20">
        <v>5.36</v>
      </c>
    </row>
    <row r="33" ht="12.75" customHeight="1">
      <c r="A33" s="15" t="s">
        <v>67</v>
      </c>
      <c r="B33" s="16">
        <v>3.0</v>
      </c>
      <c r="C33" s="17"/>
      <c r="D33" s="7" t="s">
        <v>856</v>
      </c>
      <c r="E33" s="7" t="s">
        <v>863</v>
      </c>
      <c r="F33" s="15">
        <v>6.02</v>
      </c>
    </row>
    <row r="34" ht="12.75" customHeight="1">
      <c r="A34" s="15" t="s">
        <v>864</v>
      </c>
      <c r="B34" s="16">
        <v>1.0</v>
      </c>
      <c r="C34" s="78"/>
      <c r="D34" s="7" t="s">
        <v>865</v>
      </c>
      <c r="E34" s="7" t="s">
        <v>743</v>
      </c>
      <c r="F34" s="20">
        <v>45.77</v>
      </c>
    </row>
    <row r="35" ht="12.75" customHeight="1">
      <c r="A35" s="15"/>
      <c r="B35" s="16"/>
      <c r="C35" s="17"/>
    </row>
    <row r="36" ht="12.75" customHeight="1">
      <c r="A36" s="85"/>
      <c r="B36" s="77"/>
      <c r="C36" s="78"/>
    </row>
    <row r="37" ht="12.75" customHeight="1">
      <c r="A37" s="76"/>
      <c r="B37" s="77"/>
      <c r="C37" s="78"/>
    </row>
    <row r="38" ht="12.75" customHeight="1">
      <c r="A38" s="76"/>
      <c r="B38" s="77"/>
      <c r="C38" s="78"/>
    </row>
    <row r="39" ht="12.75" customHeight="1">
      <c r="A39" s="15"/>
      <c r="B39" s="16"/>
      <c r="C39" s="17"/>
    </row>
    <row r="40" ht="12.75" customHeight="1">
      <c r="A40" s="15"/>
      <c r="B40" s="16"/>
      <c r="C40" s="78"/>
    </row>
    <row r="41" ht="12.75" customHeight="1">
      <c r="A41" s="15"/>
      <c r="B41" s="16"/>
      <c r="C41" s="78"/>
    </row>
    <row r="42" ht="12.75" customHeight="1">
      <c r="A42" s="15"/>
      <c r="B42" s="16"/>
      <c r="C42" s="78"/>
    </row>
    <row r="43" ht="12.75" customHeight="1">
      <c r="A43" s="15"/>
      <c r="B43" s="16"/>
      <c r="C43" s="17"/>
    </row>
    <row r="44" ht="12.75" customHeight="1">
      <c r="A44" s="15"/>
      <c r="B44" s="16"/>
      <c r="C44" s="78"/>
    </row>
    <row r="45" ht="12.75" customHeight="1">
      <c r="A45" s="15"/>
      <c r="B45" s="16"/>
      <c r="C45" s="78"/>
    </row>
    <row r="46" ht="12.75" customHeight="1">
      <c r="A46" s="15"/>
      <c r="B46" s="16"/>
      <c r="C46" s="17"/>
    </row>
    <row r="47" ht="12.75" customHeight="1">
      <c r="A47" s="15"/>
      <c r="B47" s="16"/>
      <c r="C47" s="78"/>
    </row>
    <row r="48" ht="12.75" customHeight="1">
      <c r="A48" s="46"/>
      <c r="B48" s="16"/>
      <c r="C48" s="78"/>
    </row>
    <row r="49" ht="12.75" customHeight="1">
      <c r="A49" s="46"/>
      <c r="B49" s="16"/>
      <c r="C49" s="78"/>
    </row>
    <row r="50" ht="12.75" customHeight="1">
      <c r="A50" s="46"/>
      <c r="B50" s="16"/>
      <c r="C50" s="78"/>
    </row>
    <row r="51" ht="12.75" customHeight="1">
      <c r="A51" s="15"/>
      <c r="B51" s="16"/>
      <c r="C51" s="17"/>
    </row>
    <row r="52" ht="12.75" customHeight="1">
      <c r="A52" s="15"/>
      <c r="B52" s="16"/>
      <c r="C52" s="17"/>
    </row>
    <row r="53" ht="12.75" customHeight="1">
      <c r="A53" s="15"/>
      <c r="B53" s="16"/>
      <c r="C53" s="17"/>
    </row>
    <row r="54" ht="12.75" customHeight="1">
      <c r="A54" s="15"/>
      <c r="B54" s="16"/>
      <c r="C54" s="17"/>
    </row>
    <row r="55" ht="12.75" customHeight="1">
      <c r="A55" s="15"/>
      <c r="B55" s="16"/>
      <c r="C55" s="17"/>
    </row>
    <row r="56" ht="12.75" customHeight="1">
      <c r="B56" s="16"/>
      <c r="C56" s="17"/>
    </row>
    <row r="57" ht="12.75" customHeight="1">
      <c r="A57" s="15"/>
      <c r="B57" s="16"/>
      <c r="C57" s="17"/>
    </row>
    <row r="58" ht="12.75" customHeight="1">
      <c r="A58" s="15"/>
      <c r="B58" s="16"/>
      <c r="C58" s="17"/>
    </row>
    <row r="59" ht="12.75" customHeight="1">
      <c r="A59" s="15"/>
      <c r="B59" s="16"/>
      <c r="C59" s="17"/>
    </row>
    <row r="60" ht="12.75" customHeight="1">
      <c r="A60" s="15"/>
      <c r="B60" s="7"/>
      <c r="C60" s="17"/>
    </row>
    <row r="61" ht="12.75" customHeight="1">
      <c r="A61" s="15"/>
      <c r="B61" s="16"/>
      <c r="C61" s="17"/>
    </row>
    <row r="62" ht="12.75" customHeight="1">
      <c r="A62" s="15"/>
      <c r="B62" s="16"/>
      <c r="C62" s="78"/>
    </row>
    <row r="63" ht="12.75" customHeight="1">
      <c r="A63" s="7"/>
      <c r="B63" s="16"/>
      <c r="C63" s="17"/>
    </row>
    <row r="64" ht="12.75" customHeight="1">
      <c r="A64" s="15"/>
      <c r="B64" s="7"/>
      <c r="C64" s="17"/>
    </row>
    <row r="65" ht="12.75" customHeight="1">
      <c r="A65" s="15"/>
      <c r="B65" s="16"/>
      <c r="C65" s="17"/>
    </row>
    <row r="66" ht="12.75" customHeight="1">
      <c r="A66" s="76"/>
      <c r="B66" s="77"/>
      <c r="C66" s="78"/>
    </row>
    <row r="67" ht="12.75" customHeight="1">
      <c r="A67" s="15"/>
      <c r="B67" s="16"/>
      <c r="C67" s="17"/>
    </row>
    <row r="68" ht="12.75" customHeight="1">
      <c r="A68" s="15"/>
      <c r="B68" s="16"/>
      <c r="C68" s="17"/>
    </row>
    <row r="69" ht="12.75" customHeight="1">
      <c r="A69" s="15"/>
      <c r="B69" s="66" t="s">
        <v>3</v>
      </c>
      <c r="C69" s="67"/>
    </row>
    <row r="70" ht="12.75" customHeight="1">
      <c r="A70" s="68"/>
    </row>
    <row r="71" ht="12.75" customHeight="1">
      <c r="A71" s="68"/>
    </row>
    <row r="72" ht="12.75" customHeight="1">
      <c r="A72" s="68"/>
    </row>
    <row r="73" ht="12.75" customHeight="1">
      <c r="A73" s="68"/>
    </row>
    <row r="74" ht="12.75" customHeight="1">
      <c r="A74" s="68"/>
    </row>
    <row r="75" ht="12.75" customHeight="1">
      <c r="A75" s="68"/>
    </row>
    <row r="76" ht="12.75" customHeight="1">
      <c r="A76" s="68"/>
    </row>
    <row r="77" ht="12.75" customHeight="1">
      <c r="A77" s="68"/>
    </row>
    <row r="78" ht="12.75" customHeight="1">
      <c r="A78" s="68"/>
    </row>
    <row r="79" ht="12.75" customHeight="1">
      <c r="A79" s="68"/>
    </row>
    <row r="80" ht="12.75" customHeight="1">
      <c r="A80" s="68"/>
    </row>
    <row r="81" ht="12.75" customHeight="1">
      <c r="A81" s="68"/>
    </row>
    <row r="82" ht="12.75" customHeight="1">
      <c r="A82" s="68"/>
    </row>
    <row r="83" ht="12.75" customHeight="1">
      <c r="A83" s="68"/>
    </row>
    <row r="84" ht="12.75" customHeight="1">
      <c r="A84" s="68"/>
    </row>
    <row r="85" ht="12.75" customHeight="1">
      <c r="A85" s="68"/>
    </row>
    <row r="86" ht="12.75" customHeight="1">
      <c r="A86" s="68"/>
    </row>
    <row r="87" ht="12.75" customHeight="1">
      <c r="A87" s="68"/>
    </row>
    <row r="88" ht="12.75" customHeight="1">
      <c r="A88" s="68"/>
    </row>
    <row r="89" ht="12.75" customHeight="1">
      <c r="A89" s="68"/>
    </row>
    <row r="90" ht="12.75" customHeight="1">
      <c r="A90" s="68"/>
    </row>
    <row r="91" ht="12.75" customHeight="1">
      <c r="A91" s="68"/>
    </row>
    <row r="92" ht="12.75" customHeight="1">
      <c r="A92" s="68"/>
    </row>
    <row r="93" ht="12.75" customHeight="1">
      <c r="A93" s="68"/>
    </row>
    <row r="94" ht="12.75" customHeight="1">
      <c r="A94" s="68"/>
    </row>
    <row r="95" ht="12.75" customHeight="1">
      <c r="A95" s="68"/>
    </row>
    <row r="96" ht="12.75" customHeight="1">
      <c r="A96" s="68"/>
    </row>
    <row r="97" ht="12.75" customHeight="1">
      <c r="A97" s="68"/>
    </row>
    <row r="98" ht="12.75" customHeight="1">
      <c r="A98" s="68"/>
    </row>
    <row r="99" ht="12.75" customHeight="1">
      <c r="A99" s="68"/>
    </row>
    <row r="100" ht="12.75" customHeight="1">
      <c r="A100" s="68"/>
    </row>
    <row r="101" ht="12.75" customHeight="1">
      <c r="A101" s="68"/>
    </row>
    <row r="102" ht="12.75" customHeight="1">
      <c r="A102" s="68"/>
    </row>
    <row r="103" ht="12.75" customHeight="1">
      <c r="A103" s="68"/>
    </row>
    <row r="104" ht="12.75" customHeight="1">
      <c r="A104" s="68"/>
    </row>
    <row r="105" ht="12.75" customHeight="1">
      <c r="A105" s="68"/>
    </row>
    <row r="106" ht="12.75" customHeight="1">
      <c r="A106" s="68"/>
    </row>
    <row r="107" ht="12.75" customHeight="1">
      <c r="A107" s="68"/>
    </row>
    <row r="108" ht="12.75" customHeight="1">
      <c r="A108" s="68"/>
    </row>
    <row r="109" ht="12.75" customHeight="1">
      <c r="A109" s="68"/>
    </row>
    <row r="110" ht="12.75" customHeight="1">
      <c r="A110" s="68"/>
    </row>
    <row r="111" ht="12.75" customHeight="1">
      <c r="A111" s="68"/>
    </row>
    <row r="112" ht="12.75" customHeight="1">
      <c r="A112" s="68"/>
    </row>
    <row r="113" ht="12.75" customHeight="1">
      <c r="A113" s="68"/>
    </row>
    <row r="114" ht="12.75" customHeight="1">
      <c r="A114" s="68"/>
    </row>
    <row r="115" ht="12.75" customHeight="1">
      <c r="A115" s="68"/>
    </row>
    <row r="116" ht="12.75" customHeight="1">
      <c r="A116" s="68"/>
    </row>
    <row r="117" ht="12.75" customHeight="1">
      <c r="A117" s="68"/>
    </row>
    <row r="118" ht="12.75" customHeight="1">
      <c r="A118" s="68"/>
    </row>
    <row r="119" ht="12.75" customHeight="1">
      <c r="A119" s="68"/>
    </row>
    <row r="120" ht="12.75" customHeight="1">
      <c r="A120" s="68"/>
    </row>
    <row r="121" ht="12.75" customHeight="1">
      <c r="A121" s="68"/>
    </row>
    <row r="122" ht="12.75" customHeight="1">
      <c r="A122" s="68"/>
    </row>
    <row r="123" ht="12.75" customHeight="1">
      <c r="A123" s="68"/>
    </row>
    <row r="124" ht="12.75" customHeight="1">
      <c r="A124" s="68"/>
    </row>
    <row r="125" ht="12.75" customHeight="1">
      <c r="A125" s="68"/>
    </row>
    <row r="126" ht="12.75" customHeight="1">
      <c r="A126" s="68"/>
    </row>
    <row r="127" ht="12.75" customHeight="1">
      <c r="A127" s="68"/>
    </row>
    <row r="128" ht="12.75" customHeight="1">
      <c r="A128" s="68"/>
    </row>
    <row r="129" ht="12.75" customHeight="1">
      <c r="A129" s="68"/>
    </row>
    <row r="130" ht="12.75" customHeight="1">
      <c r="A130" s="68"/>
    </row>
    <row r="131" ht="12.75" customHeight="1">
      <c r="A131" s="68"/>
    </row>
    <row r="132" ht="12.75" customHeight="1">
      <c r="A132" s="68"/>
    </row>
    <row r="133" ht="12.75" customHeight="1">
      <c r="A133" s="68"/>
    </row>
    <row r="134" ht="12.75" customHeight="1">
      <c r="A134" s="68"/>
    </row>
    <row r="135" ht="12.75" customHeight="1">
      <c r="A135" s="68"/>
    </row>
    <row r="136" ht="12.75" customHeight="1">
      <c r="A136" s="68"/>
    </row>
    <row r="137" ht="12.75" customHeight="1">
      <c r="A137" s="68"/>
    </row>
    <row r="138" ht="12.75" customHeight="1">
      <c r="A138" s="68"/>
    </row>
    <row r="139" ht="12.75" customHeight="1">
      <c r="A139" s="68"/>
    </row>
    <row r="140" ht="12.75" customHeight="1">
      <c r="A140" s="68"/>
    </row>
    <row r="141" ht="12.75" customHeight="1">
      <c r="A141" s="68"/>
    </row>
    <row r="142" ht="12.75" customHeight="1">
      <c r="A142" s="68"/>
    </row>
    <row r="143" ht="12.75" customHeight="1">
      <c r="A143" s="68"/>
    </row>
    <row r="144" ht="12.75" customHeight="1">
      <c r="A144" s="68"/>
    </row>
    <row r="145" ht="12.75" customHeight="1">
      <c r="A145" s="68"/>
    </row>
    <row r="146" ht="12.75" customHeight="1">
      <c r="A146" s="68"/>
    </row>
    <row r="147" ht="12.75" customHeight="1">
      <c r="A147" s="68"/>
    </row>
    <row r="148" ht="12.75" customHeight="1">
      <c r="A148" s="68"/>
    </row>
    <row r="149" ht="12.75" customHeight="1">
      <c r="A149" s="68"/>
    </row>
    <row r="150" ht="12.75" customHeight="1">
      <c r="A150" s="68"/>
    </row>
    <row r="151" ht="12.75" customHeight="1">
      <c r="A151" s="68"/>
    </row>
    <row r="152" ht="12.75" customHeight="1">
      <c r="A152" s="68"/>
    </row>
    <row r="153" ht="12.75" customHeight="1">
      <c r="A153" s="68"/>
    </row>
    <row r="154" ht="12.75" customHeight="1">
      <c r="A154" s="68"/>
    </row>
    <row r="155" ht="12.75" customHeight="1">
      <c r="A155" s="68"/>
    </row>
    <row r="156" ht="12.75" customHeight="1">
      <c r="A156" s="68"/>
    </row>
    <row r="157" ht="12.75" customHeight="1">
      <c r="A157" s="68"/>
    </row>
    <row r="158" ht="12.75" customHeight="1">
      <c r="A158" s="68"/>
    </row>
    <row r="159" ht="12.75" customHeight="1">
      <c r="A159" s="68"/>
    </row>
    <row r="160" ht="12.75" customHeight="1">
      <c r="A160" s="68"/>
    </row>
    <row r="161" ht="12.75" customHeight="1">
      <c r="A161" s="68"/>
    </row>
    <row r="162" ht="12.75" customHeight="1">
      <c r="A162" s="68"/>
    </row>
    <row r="163" ht="12.75" customHeight="1">
      <c r="A163" s="68"/>
    </row>
    <row r="164" ht="12.75" customHeight="1">
      <c r="A164" s="68"/>
    </row>
    <row r="165" ht="12.75" customHeight="1">
      <c r="A165" s="68"/>
    </row>
    <row r="166" ht="12.75" customHeight="1">
      <c r="A166" s="68"/>
    </row>
    <row r="167" ht="12.75" customHeight="1">
      <c r="A167" s="68"/>
    </row>
    <row r="168" ht="12.75" customHeight="1">
      <c r="A168" s="68"/>
    </row>
    <row r="169" ht="12.75" customHeight="1">
      <c r="A169" s="68"/>
    </row>
    <row r="170" ht="12.75" customHeight="1">
      <c r="A170" s="68"/>
    </row>
    <row r="171" ht="12.75" customHeight="1">
      <c r="A171" s="68"/>
    </row>
    <row r="172" ht="12.75" customHeight="1">
      <c r="A172" s="68"/>
    </row>
    <row r="173" ht="12.75" customHeight="1">
      <c r="A173" s="68"/>
    </row>
    <row r="174" ht="12.75" customHeight="1">
      <c r="A174" s="68"/>
    </row>
    <row r="175" ht="12.75" customHeight="1">
      <c r="A175" s="68"/>
    </row>
    <row r="176" ht="12.75" customHeight="1">
      <c r="A176" s="68"/>
    </row>
    <row r="177" ht="12.75" customHeight="1">
      <c r="A177" s="68"/>
    </row>
    <row r="178" ht="12.75" customHeight="1">
      <c r="A178" s="68"/>
    </row>
    <row r="179" ht="12.75" customHeight="1">
      <c r="A179" s="68"/>
    </row>
    <row r="180" ht="12.75" customHeight="1">
      <c r="A180" s="68"/>
    </row>
    <row r="181" ht="12.75" customHeight="1">
      <c r="A181" s="68"/>
    </row>
    <row r="182" ht="12.75" customHeight="1">
      <c r="A182" s="68"/>
    </row>
    <row r="183" ht="12.75" customHeight="1">
      <c r="A183" s="68"/>
    </row>
    <row r="184" ht="12.75" customHeight="1">
      <c r="A184" s="68"/>
    </row>
    <row r="185" ht="12.75" customHeight="1">
      <c r="A185" s="68"/>
    </row>
    <row r="186" ht="12.75" customHeight="1">
      <c r="A186" s="68"/>
    </row>
    <row r="187" ht="12.75" customHeight="1">
      <c r="A187" s="68"/>
    </row>
    <row r="188" ht="12.75" customHeight="1">
      <c r="A188" s="68"/>
    </row>
    <row r="189" ht="12.75" customHeight="1">
      <c r="A189" s="68"/>
    </row>
    <row r="190" ht="12.75" customHeight="1">
      <c r="A190" s="68"/>
    </row>
    <row r="191" ht="12.75" customHeight="1">
      <c r="A191" s="68"/>
    </row>
    <row r="192" ht="12.75" customHeight="1">
      <c r="A192" s="68"/>
    </row>
    <row r="193" ht="12.75" customHeight="1">
      <c r="A193" s="68"/>
    </row>
    <row r="194" ht="12.75" customHeight="1">
      <c r="A194" s="68"/>
    </row>
    <row r="195" ht="12.75" customHeight="1">
      <c r="A195" s="68"/>
    </row>
    <row r="196" ht="12.75" customHeight="1">
      <c r="A196" s="68"/>
    </row>
    <row r="197" ht="12.75" customHeight="1">
      <c r="A197" s="68"/>
    </row>
    <row r="198" ht="12.75" customHeight="1">
      <c r="A198" s="68"/>
    </row>
    <row r="199" ht="12.75" customHeight="1">
      <c r="A199" s="68"/>
    </row>
    <row r="200" ht="12.75" customHeight="1">
      <c r="A200" s="68"/>
    </row>
    <row r="201" ht="12.75" customHeight="1">
      <c r="A201" s="68"/>
    </row>
    <row r="202" ht="12.75" customHeight="1">
      <c r="A202" s="68"/>
    </row>
    <row r="203" ht="12.75" customHeight="1">
      <c r="A203" s="68"/>
    </row>
    <row r="204" ht="12.75" customHeight="1">
      <c r="A204" s="68"/>
    </row>
    <row r="205" ht="12.75" customHeight="1">
      <c r="A205" s="68"/>
    </row>
    <row r="206" ht="12.75" customHeight="1">
      <c r="A206" s="68"/>
    </row>
    <row r="207" ht="12.75" customHeight="1">
      <c r="A207" s="68"/>
    </row>
    <row r="208" ht="12.75" customHeight="1">
      <c r="A208" s="68"/>
    </row>
    <row r="209" ht="12.75" customHeight="1">
      <c r="A209" s="68"/>
    </row>
    <row r="210" ht="12.75" customHeight="1">
      <c r="A210" s="68"/>
    </row>
    <row r="211" ht="12.75" customHeight="1">
      <c r="A211" s="68"/>
    </row>
    <row r="212" ht="12.75" customHeight="1">
      <c r="A212" s="68"/>
    </row>
    <row r="213" ht="12.75" customHeight="1">
      <c r="A213" s="68"/>
    </row>
    <row r="214" ht="12.75" customHeight="1">
      <c r="A214" s="68"/>
    </row>
    <row r="215" ht="12.75" customHeight="1">
      <c r="A215" s="68"/>
    </row>
    <row r="216" ht="12.75" customHeight="1">
      <c r="A216" s="68"/>
    </row>
    <row r="217" ht="12.75" customHeight="1">
      <c r="A217" s="68"/>
    </row>
    <row r="218" ht="12.75" customHeight="1">
      <c r="A218" s="68"/>
    </row>
    <row r="219" ht="12.75" customHeight="1">
      <c r="A219" s="68"/>
    </row>
    <row r="220" ht="12.75" customHeight="1">
      <c r="A220" s="68"/>
    </row>
    <row r="221" ht="12.75" customHeight="1">
      <c r="A221" s="68"/>
    </row>
    <row r="222" ht="12.75" customHeight="1">
      <c r="A222" s="68"/>
    </row>
    <row r="223" ht="12.75" customHeight="1">
      <c r="A223" s="68"/>
    </row>
    <row r="224" ht="12.75" customHeight="1">
      <c r="A224" s="68"/>
    </row>
    <row r="225" ht="12.75" customHeight="1">
      <c r="A225" s="68"/>
    </row>
    <row r="226" ht="12.75" customHeight="1">
      <c r="A226" s="68"/>
    </row>
    <row r="227" ht="12.75" customHeight="1">
      <c r="A227" s="68"/>
    </row>
    <row r="228" ht="12.75" customHeight="1">
      <c r="A228" s="68"/>
    </row>
    <row r="229" ht="12.75" customHeight="1">
      <c r="A229" s="68"/>
    </row>
    <row r="230" ht="12.75" customHeight="1">
      <c r="A230" s="68"/>
    </row>
    <row r="231" ht="12.75" customHeight="1">
      <c r="A231" s="68"/>
    </row>
    <row r="232" ht="12.75" customHeight="1">
      <c r="A232" s="68"/>
    </row>
    <row r="233" ht="12.75" customHeight="1">
      <c r="A233" s="68"/>
    </row>
    <row r="234" ht="12.75" customHeight="1">
      <c r="A234" s="68"/>
    </row>
    <row r="235" ht="12.75" customHeight="1">
      <c r="A235" s="68"/>
    </row>
    <row r="236" ht="12.75" customHeight="1">
      <c r="A236" s="68"/>
    </row>
    <row r="237" ht="12.75" customHeight="1">
      <c r="A237" s="68"/>
    </row>
    <row r="238" ht="12.75" customHeight="1">
      <c r="A238" s="68"/>
    </row>
    <row r="239" ht="12.75" customHeight="1">
      <c r="A239" s="68"/>
    </row>
    <row r="240" ht="12.75" customHeight="1">
      <c r="A240" s="68"/>
    </row>
    <row r="241" ht="12.75" customHeight="1">
      <c r="A241" s="68"/>
    </row>
    <row r="242" ht="12.75" customHeight="1">
      <c r="A242" s="68"/>
    </row>
    <row r="243" ht="12.75" customHeight="1">
      <c r="A243" s="68"/>
    </row>
    <row r="244" ht="12.75" customHeight="1">
      <c r="A244" s="68"/>
    </row>
    <row r="245" ht="12.75" customHeight="1">
      <c r="A245" s="68"/>
    </row>
    <row r="246" ht="12.75" customHeight="1">
      <c r="A246" s="68"/>
    </row>
    <row r="247" ht="12.75" customHeight="1">
      <c r="A247" s="68"/>
    </row>
    <row r="248" ht="12.75" customHeight="1">
      <c r="A248" s="68"/>
    </row>
    <row r="249" ht="12.75" customHeight="1">
      <c r="A249" s="68"/>
    </row>
    <row r="250" ht="12.75" customHeight="1">
      <c r="A250" s="68"/>
    </row>
    <row r="251" ht="12.75" customHeight="1">
      <c r="A251" s="68"/>
    </row>
    <row r="252" ht="12.75" customHeight="1">
      <c r="A252" s="68"/>
    </row>
    <row r="253" ht="12.75" customHeight="1">
      <c r="A253" s="68"/>
    </row>
    <row r="254" ht="12.75" customHeight="1">
      <c r="A254" s="68"/>
    </row>
    <row r="255" ht="12.75" customHeight="1">
      <c r="A255" s="68"/>
    </row>
    <row r="256" ht="12.75" customHeight="1">
      <c r="A256" s="68"/>
    </row>
    <row r="257" ht="12.75" customHeight="1">
      <c r="A257" s="68"/>
    </row>
    <row r="258" ht="12.75" customHeight="1">
      <c r="A258" s="68"/>
    </row>
    <row r="259" ht="12.75" customHeight="1">
      <c r="A259" s="68"/>
    </row>
    <row r="260" ht="12.75" customHeight="1">
      <c r="A260" s="68"/>
    </row>
    <row r="261" ht="12.75" customHeight="1">
      <c r="A261" s="68"/>
    </row>
    <row r="262" ht="12.75" customHeight="1">
      <c r="A262" s="68"/>
    </row>
    <row r="263" ht="12.75" customHeight="1">
      <c r="A263" s="68"/>
    </row>
    <row r="264" ht="12.75" customHeight="1">
      <c r="A264" s="68"/>
    </row>
    <row r="265" ht="12.75" customHeight="1">
      <c r="A265" s="68"/>
    </row>
    <row r="266" ht="12.75" customHeight="1">
      <c r="A266" s="68"/>
    </row>
    <row r="267" ht="12.75" customHeight="1">
      <c r="A267" s="68"/>
    </row>
    <row r="268" ht="12.75" customHeight="1">
      <c r="A268" s="68"/>
    </row>
    <row r="269" ht="12.75" customHeight="1">
      <c r="A269" s="68"/>
    </row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2023-08-01T17:58:31Z</dcterms:created>
  <dc:creator>Jeremy</dc:creator>
</cp:coreProperties>
</file>