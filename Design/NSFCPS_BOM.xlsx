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Shared drives\(MEPS) Wave Energy Harvest\Simmons, Jeremy\02 Projects\2023, NSF_CPS-wavePoweredRO\Detailed Design\"/>
    </mc:Choice>
  </mc:AlternateContent>
  <xr:revisionPtr revIDLastSave="0" documentId="13_ncr:1_{101F2C1C-8432-4116-A589-206956EE57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M" sheetId="1" r:id="rId1"/>
    <sheet name="Uni-strut cuts" sheetId="4" r:id="rId2"/>
    <sheet name="Fasteners, racks" sheetId="9" r:id="rId3"/>
    <sheet name="Sheet3" sheetId="6" r:id="rId4"/>
    <sheet name="Sheet5" sheetId="8" r:id="rId5"/>
    <sheet name="Sheet1 (2)" sheetId="3" r:id="rId6"/>
    <sheet name="Sheet2" sheetId="5" r:id="rId7"/>
    <sheet name="Sheet4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64" i="1" l="1"/>
  <c r="D363" i="1"/>
  <c r="D365" i="1"/>
  <c r="D366" i="1"/>
  <c r="D473" i="1" l="1"/>
  <c r="D471" i="1"/>
  <c r="D472" i="1"/>
  <c r="D470" i="1"/>
  <c r="D469" i="1"/>
  <c r="D468" i="1"/>
  <c r="D467" i="1"/>
  <c r="D466" i="1"/>
  <c r="D465" i="1"/>
  <c r="D462" i="1"/>
  <c r="D385" i="1"/>
  <c r="D398" i="1"/>
  <c r="D401" i="1"/>
  <c r="D431" i="1"/>
  <c r="D16" i="1"/>
  <c r="D15" i="1"/>
  <c r="D13" i="1"/>
  <c r="D9" i="1"/>
  <c r="D361" i="1"/>
  <c r="D88" i="1"/>
  <c r="D148" i="1"/>
  <c r="D447" i="1"/>
  <c r="D449" i="1"/>
  <c r="D448" i="1"/>
  <c r="D446" i="1"/>
  <c r="D89" i="1"/>
  <c r="D461" i="1"/>
  <c r="D486" i="1"/>
  <c r="D445" i="1"/>
  <c r="B464" i="1" l="1"/>
  <c r="D176" i="1"/>
  <c r="D406" i="1"/>
  <c r="D392" i="1"/>
  <c r="D308" i="1"/>
  <c r="D237" i="1"/>
  <c r="D242" i="1"/>
  <c r="D150" i="1"/>
  <c r="D14" i="1"/>
  <c r="D12" i="1"/>
  <c r="D11" i="1"/>
  <c r="D10" i="1"/>
  <c r="D8" i="1"/>
  <c r="D119" i="1"/>
  <c r="D108" i="1"/>
  <c r="D118" i="1"/>
  <c r="D142" i="1"/>
  <c r="D170" i="1"/>
  <c r="D109" i="1"/>
  <c r="D241" i="1"/>
  <c r="D266" i="1"/>
  <c r="D267" i="1"/>
  <c r="D271" i="1"/>
  <c r="D270" i="1"/>
  <c r="D269" i="1"/>
  <c r="D268" i="1"/>
  <c r="D444" i="1"/>
  <c r="D460" i="1"/>
  <c r="D425" i="1"/>
  <c r="D20" i="1"/>
  <c r="D21" i="1"/>
  <c r="D19" i="1"/>
  <c r="D6" i="1"/>
  <c r="D5" i="1"/>
  <c r="D4" i="1"/>
  <c r="D485" i="1"/>
  <c r="D386" i="1"/>
  <c r="D387" i="1"/>
  <c r="D375" i="1"/>
  <c r="D374" i="1"/>
  <c r="D373" i="1"/>
  <c r="D372" i="1"/>
  <c r="B3" i="1" l="1"/>
  <c r="B18" i="1"/>
  <c r="D169" i="1"/>
  <c r="D153" i="1"/>
  <c r="D152" i="1"/>
  <c r="D151" i="1"/>
  <c r="D149" i="1"/>
  <c r="D147" i="1"/>
  <c r="D276" i="1"/>
  <c r="D277" i="1"/>
  <c r="D87" i="1"/>
  <c r="D86" i="1"/>
  <c r="D85" i="1"/>
  <c r="D84" i="1"/>
  <c r="D83" i="1"/>
  <c r="D141" i="1"/>
  <c r="D140" i="1"/>
  <c r="D167" i="1"/>
  <c r="D168" i="1"/>
  <c r="D307" i="1"/>
  <c r="D166" i="1"/>
  <c r="D483" i="1"/>
  <c r="D482" i="1"/>
  <c r="D484" i="1"/>
  <c r="D101" i="1"/>
  <c r="D430" i="1"/>
  <c r="D429" i="1"/>
  <c r="D104" i="1"/>
  <c r="D211" i="1"/>
  <c r="D341" i="1"/>
  <c r="D443" i="1"/>
  <c r="D442" i="1"/>
  <c r="D441" i="1"/>
  <c r="D440" i="1"/>
  <c r="D439" i="1"/>
  <c r="D438" i="1"/>
  <c r="D437" i="1"/>
  <c r="D436" i="1"/>
  <c r="D435" i="1"/>
  <c r="D370" i="1"/>
  <c r="D459" i="1"/>
  <c r="D458" i="1"/>
  <c r="D355" i="1"/>
  <c r="D339" i="1"/>
  <c r="D331" i="1"/>
  <c r="D330" i="1"/>
  <c r="D326" i="1"/>
  <c r="D325" i="1"/>
  <c r="D327" i="1"/>
  <c r="D188" i="1"/>
  <c r="D187" i="1"/>
  <c r="D186" i="1"/>
  <c r="B434" i="1" l="1"/>
  <c r="B428" i="1"/>
  <c r="D216" i="1"/>
  <c r="D134" i="1"/>
  <c r="D175" i="1"/>
  <c r="D126" i="1"/>
  <c r="D481" i="1"/>
  <c r="D58" i="1"/>
  <c r="D198" i="1"/>
  <c r="D37" i="1"/>
  <c r="D456" i="1"/>
  <c r="D457" i="1"/>
  <c r="D114" i="1"/>
  <c r="D40" i="1"/>
  <c r="D38" i="1"/>
  <c r="D344" i="1"/>
  <c r="L3" i="9"/>
  <c r="D343" i="1"/>
  <c r="D357" i="1"/>
  <c r="S13" i="9"/>
  <c r="T4" i="9"/>
  <c r="T5" i="9"/>
  <c r="T6" i="9"/>
  <c r="T7" i="9"/>
  <c r="T8" i="9"/>
  <c r="T9" i="9"/>
  <c r="T3" i="9"/>
  <c r="T13" i="9" s="1"/>
  <c r="S4" i="9"/>
  <c r="S5" i="9"/>
  <c r="S6" i="9"/>
  <c r="S7" i="9"/>
  <c r="S8" i="9"/>
  <c r="S9" i="9"/>
  <c r="S3" i="9"/>
  <c r="D356" i="1"/>
  <c r="D117" i="1"/>
  <c r="D345" i="1"/>
  <c r="R4" i="9"/>
  <c r="R5" i="9"/>
  <c r="R6" i="9"/>
  <c r="R7" i="9"/>
  <c r="R8" i="9"/>
  <c r="R9" i="9"/>
  <c r="U4" i="9"/>
  <c r="U5" i="9"/>
  <c r="U6" i="9"/>
  <c r="U7" i="9"/>
  <c r="X15" i="9" s="1"/>
  <c r="U8" i="9"/>
  <c r="U9" i="9"/>
  <c r="L8" i="9"/>
  <c r="L9" i="9"/>
  <c r="K9" i="9"/>
  <c r="K8" i="9"/>
  <c r="A3" i="9"/>
  <c r="R3" i="9" s="1"/>
  <c r="B3" i="9"/>
  <c r="K3" i="9"/>
  <c r="K4" i="9"/>
  <c r="L4" i="9"/>
  <c r="K5" i="9"/>
  <c r="L5" i="9"/>
  <c r="K6" i="9"/>
  <c r="L6" i="9"/>
  <c r="K7" i="9"/>
  <c r="L7" i="9"/>
  <c r="D353" i="1"/>
  <c r="D455" i="1"/>
  <c r="D260" i="1"/>
  <c r="D261" i="1"/>
  <c r="D262" i="1"/>
  <c r="D263" i="1"/>
  <c r="D264" i="1"/>
  <c r="D62" i="1"/>
  <c r="D63" i="1"/>
  <c r="D64" i="1"/>
  <c r="D115" i="1"/>
  <c r="D116" i="1"/>
  <c r="D120" i="1"/>
  <c r="D157" i="1"/>
  <c r="D158" i="1"/>
  <c r="D159" i="1"/>
  <c r="D160" i="1"/>
  <c r="D161" i="1"/>
  <c r="D162" i="1"/>
  <c r="D163" i="1"/>
  <c r="D164" i="1"/>
  <c r="D165" i="1"/>
  <c r="D379" i="1"/>
  <c r="D146" i="1"/>
  <c r="D145" i="1"/>
  <c r="D181" i="1"/>
  <c r="D144" i="1"/>
  <c r="D217" i="1"/>
  <c r="D251" i="1"/>
  <c r="D94" i="1"/>
  <c r="D95" i="1"/>
  <c r="D96" i="1"/>
  <c r="D97" i="1"/>
  <c r="D98" i="1"/>
  <c r="D99" i="1"/>
  <c r="D100" i="1"/>
  <c r="D102" i="1"/>
  <c r="D103" i="1"/>
  <c r="D105" i="1"/>
  <c r="D106" i="1"/>
  <c r="D107" i="1"/>
  <c r="F12" i="8"/>
  <c r="K12" i="8"/>
  <c r="L12" i="8"/>
  <c r="K39" i="8"/>
  <c r="K38" i="8"/>
  <c r="L37" i="8"/>
  <c r="K37" i="8"/>
  <c r="F37" i="8"/>
  <c r="L36" i="8"/>
  <c r="K36" i="8"/>
  <c r="F36" i="8"/>
  <c r="L35" i="8"/>
  <c r="K35" i="8"/>
  <c r="F35" i="8"/>
  <c r="L34" i="8"/>
  <c r="K34" i="8"/>
  <c r="F34" i="8"/>
  <c r="K33" i="8"/>
  <c r="K32" i="8"/>
  <c r="L31" i="8"/>
  <c r="K31" i="8"/>
  <c r="F31" i="8"/>
  <c r="L30" i="8"/>
  <c r="K30" i="8"/>
  <c r="F30" i="8"/>
  <c r="L29" i="8"/>
  <c r="K29" i="8"/>
  <c r="F29" i="8"/>
  <c r="L28" i="8"/>
  <c r="K28" i="8"/>
  <c r="F28" i="8"/>
  <c r="L27" i="8"/>
  <c r="K27" i="8"/>
  <c r="F27" i="8"/>
  <c r="L26" i="8"/>
  <c r="K26" i="8"/>
  <c r="F26" i="8"/>
  <c r="L25" i="8"/>
  <c r="K25" i="8"/>
  <c r="F25" i="8"/>
  <c r="L24" i="8"/>
  <c r="K24" i="8"/>
  <c r="F24" i="8"/>
  <c r="L23" i="8"/>
  <c r="K23" i="8"/>
  <c r="F23" i="8"/>
  <c r="L22" i="8"/>
  <c r="K22" i="8"/>
  <c r="F22" i="8"/>
  <c r="L21" i="8"/>
  <c r="K21" i="8"/>
  <c r="F21" i="8"/>
  <c r="L20" i="8"/>
  <c r="K20" i="8"/>
  <c r="F20" i="8"/>
  <c r="L19" i="8"/>
  <c r="K19" i="8"/>
  <c r="F19" i="8"/>
  <c r="L18" i="8"/>
  <c r="K18" i="8"/>
  <c r="F18" i="8"/>
  <c r="L17" i="8"/>
  <c r="K17" i="8"/>
  <c r="F17" i="8"/>
  <c r="L16" i="8"/>
  <c r="K16" i="8"/>
  <c r="F16" i="8"/>
  <c r="L15" i="8"/>
  <c r="K15" i="8"/>
  <c r="F15" i="8"/>
  <c r="L14" i="8"/>
  <c r="K14" i="8"/>
  <c r="F14" i="8"/>
  <c r="L13" i="8"/>
  <c r="K13" i="8"/>
  <c r="F13" i="8"/>
  <c r="L11" i="8"/>
  <c r="K11" i="8"/>
  <c r="F11" i="8"/>
  <c r="L10" i="8"/>
  <c r="K10" i="8"/>
  <c r="F10" i="8"/>
  <c r="L9" i="8"/>
  <c r="K9" i="8"/>
  <c r="F9" i="8"/>
  <c r="L8" i="8"/>
  <c r="K8" i="8"/>
  <c r="F8" i="8"/>
  <c r="L7" i="8"/>
  <c r="K7" i="8"/>
  <c r="F7" i="8"/>
  <c r="L6" i="8"/>
  <c r="K6" i="8"/>
  <c r="F6" i="8"/>
  <c r="L5" i="8"/>
  <c r="K5" i="8"/>
  <c r="F5" i="8"/>
  <c r="L4" i="8"/>
  <c r="K4" i="8"/>
  <c r="F4" i="8"/>
  <c r="L3" i="8"/>
  <c r="K3" i="8"/>
  <c r="F3" i="8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4" i="6"/>
  <c r="L35" i="6"/>
  <c r="L36" i="6"/>
  <c r="L37" i="6"/>
  <c r="L3" i="6"/>
  <c r="K41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3" i="6"/>
  <c r="D33" i="1"/>
  <c r="B30" i="1"/>
  <c r="D30" i="1" s="1"/>
  <c r="D302" i="1"/>
  <c r="F3" i="6"/>
  <c r="F4" i="6"/>
  <c r="F41" i="6" s="1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4" i="6"/>
  <c r="F35" i="6"/>
  <c r="F36" i="6"/>
  <c r="F37" i="6"/>
  <c r="D25" i="1"/>
  <c r="D26" i="1"/>
  <c r="D27" i="1"/>
  <c r="D28" i="1"/>
  <c r="D29" i="1"/>
  <c r="D31" i="1"/>
  <c r="D43" i="1"/>
  <c r="D49" i="1"/>
  <c r="D48" i="1"/>
  <c r="D46" i="1"/>
  <c r="D44" i="1"/>
  <c r="D45" i="1"/>
  <c r="D47" i="1"/>
  <c r="D56" i="1"/>
  <c r="D55" i="1"/>
  <c r="D57" i="1"/>
  <c r="D36" i="1"/>
  <c r="D32" i="1"/>
  <c r="D35" i="1"/>
  <c r="D34" i="1"/>
  <c r="D4" i="5"/>
  <c r="D5" i="5"/>
  <c r="D3" i="5" s="1"/>
  <c r="D6" i="5"/>
  <c r="D7" i="5"/>
  <c r="D8" i="5"/>
  <c r="D9" i="5"/>
  <c r="D10" i="5"/>
  <c r="D11" i="5"/>
  <c r="D12" i="5"/>
  <c r="D13" i="5"/>
  <c r="D14" i="5"/>
  <c r="D15" i="5"/>
  <c r="D16" i="5"/>
  <c r="D18" i="5"/>
  <c r="D19" i="5"/>
  <c r="D20" i="5"/>
  <c r="D17" i="5" s="1"/>
  <c r="D21" i="5"/>
  <c r="D22" i="5"/>
  <c r="D23" i="5"/>
  <c r="D24" i="5"/>
  <c r="D25" i="5"/>
  <c r="D27" i="5"/>
  <c r="D26" i="5" s="1"/>
  <c r="D28" i="5"/>
  <c r="D29" i="5"/>
  <c r="D30" i="5"/>
  <c r="D31" i="5"/>
  <c r="D32" i="5"/>
  <c r="D33" i="5"/>
  <c r="D35" i="5"/>
  <c r="D34" i="5" s="1"/>
  <c r="D36" i="5"/>
  <c r="D37" i="5"/>
  <c r="D38" i="5"/>
  <c r="D39" i="5"/>
  <c r="D41" i="5"/>
  <c r="D40" i="5" s="1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177" i="1"/>
  <c r="D174" i="1"/>
  <c r="D248" i="1"/>
  <c r="D204" i="1"/>
  <c r="D203" i="1"/>
  <c r="D239" i="1"/>
  <c r="D201" i="1"/>
  <c r="D200" i="1"/>
  <c r="D113" i="1"/>
  <c r="D112" i="1"/>
  <c r="D69" i="1"/>
  <c r="D70" i="1"/>
  <c r="D71" i="1"/>
  <c r="D72" i="1"/>
  <c r="D73" i="1"/>
  <c r="D78" i="1"/>
  <c r="D77" i="1"/>
  <c r="D75" i="1"/>
  <c r="D80" i="1"/>
  <c r="D79" i="1"/>
  <c r="D189" i="1"/>
  <c r="D190" i="1"/>
  <c r="D191" i="1"/>
  <c r="D185" i="1"/>
  <c r="D179" i="1"/>
  <c r="D156" i="1"/>
  <c r="D129" i="1"/>
  <c r="D133" i="1"/>
  <c r="D127" i="1"/>
  <c r="D180" i="1"/>
  <c r="D178" i="1"/>
  <c r="D182" i="1"/>
  <c r="D173" i="1"/>
  <c r="D82" i="1"/>
  <c r="D74" i="1"/>
  <c r="D76" i="1"/>
  <c r="D81" i="1"/>
  <c r="D68" i="1"/>
  <c r="D246" i="1"/>
  <c r="D390" i="1"/>
  <c r="D280" i="1"/>
  <c r="D301" i="1"/>
  <c r="D321" i="1"/>
  <c r="D322" i="1"/>
  <c r="D304" i="1"/>
  <c r="D303" i="1"/>
  <c r="D297" i="1"/>
  <c r="D300" i="1"/>
  <c r="D143" i="1"/>
  <c r="D412" i="1"/>
  <c r="D413" i="1"/>
  <c r="D414" i="1"/>
  <c r="D218" i="1"/>
  <c r="D305" i="1"/>
  <c r="D128" i="1"/>
  <c r="D130" i="1"/>
  <c r="D131" i="1"/>
  <c r="D132" i="1"/>
  <c r="D135" i="1"/>
  <c r="D136" i="1"/>
  <c r="D137" i="1"/>
  <c r="D138" i="1"/>
  <c r="D139" i="1"/>
  <c r="D124" i="1"/>
  <c r="D125" i="1"/>
  <c r="D123" i="1"/>
  <c r="D389" i="1"/>
  <c r="D380" i="1"/>
  <c r="D382" i="1"/>
  <c r="D381" i="1"/>
  <c r="D383" i="1"/>
  <c r="D384" i="1"/>
  <c r="D388" i="1"/>
  <c r="D391" i="1"/>
  <c r="D397" i="1"/>
  <c r="D399" i="1"/>
  <c r="D400" i="1"/>
  <c r="D403" i="1"/>
  <c r="D402" i="1"/>
  <c r="D404" i="1"/>
  <c r="D405" i="1"/>
  <c r="R13" i="9" l="1"/>
  <c r="X13" i="9"/>
  <c r="U3" i="9"/>
  <c r="X14" i="9" s="1"/>
  <c r="B42" i="1"/>
  <c r="B172" i="1"/>
  <c r="B111" i="1"/>
  <c r="B67" i="1"/>
  <c r="B184" i="1"/>
  <c r="B279" i="1"/>
  <c r="D313" i="1"/>
  <c r="E2" i="4"/>
  <c r="E3" i="4"/>
  <c r="E4" i="4"/>
  <c r="E5" i="4"/>
  <c r="E6" i="4"/>
  <c r="E7" i="4"/>
  <c r="E1" i="4"/>
  <c r="C2" i="4"/>
  <c r="C3" i="4"/>
  <c r="C4" i="4"/>
  <c r="C5" i="4"/>
  <c r="C6" i="4"/>
  <c r="C7" i="4"/>
  <c r="C1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H26" i="4"/>
  <c r="D39" i="1"/>
  <c r="G27" i="4" l="1"/>
  <c r="G28" i="4"/>
  <c r="D123" i="3"/>
  <c r="D143" i="3"/>
  <c r="D40" i="3"/>
  <c r="D86" i="3"/>
  <c r="D12" i="3"/>
  <c r="D13" i="3"/>
  <c r="D70" i="3"/>
  <c r="D69" i="3"/>
  <c r="D34" i="3"/>
  <c r="D141" i="3"/>
  <c r="B139" i="3" s="1"/>
  <c r="D116" i="3"/>
  <c r="D28" i="3"/>
  <c r="D29" i="3"/>
  <c r="D26" i="3"/>
  <c r="D112" i="3"/>
  <c r="D74" i="3"/>
  <c r="D21" i="3"/>
  <c r="D61" i="3"/>
  <c r="D33" i="3"/>
  <c r="D31" i="3"/>
  <c r="B159" i="3" s="1"/>
  <c r="D11" i="3"/>
  <c r="D157" i="3"/>
  <c r="B156" i="3" s="1"/>
  <c r="D8" i="3"/>
  <c r="D32" i="3"/>
  <c r="D30" i="3"/>
  <c r="D113" i="3"/>
  <c r="D111" i="3"/>
  <c r="D10" i="3"/>
  <c r="D46" i="3"/>
  <c r="D77" i="3"/>
  <c r="D42" i="3"/>
  <c r="D44" i="3"/>
  <c r="D48" i="3"/>
  <c r="D152" i="3"/>
  <c r="D151" i="3"/>
  <c r="D154" i="3"/>
  <c r="D79" i="3"/>
  <c r="D81" i="3"/>
  <c r="D83" i="3"/>
  <c r="D51" i="3"/>
  <c r="D45" i="3"/>
  <c r="D76" i="3"/>
  <c r="D41" i="3"/>
  <c r="D43" i="3"/>
  <c r="D47" i="3"/>
  <c r="D150" i="3"/>
  <c r="D149" i="3"/>
  <c r="D153" i="3"/>
  <c r="D78" i="3"/>
  <c r="D80" i="3"/>
  <c r="D82" i="3"/>
  <c r="D50" i="3"/>
  <c r="D133" i="3"/>
  <c r="D58" i="3"/>
  <c r="D115" i="3"/>
  <c r="D60" i="3"/>
  <c r="D84" i="3"/>
  <c r="D107" i="3"/>
  <c r="D104" i="3"/>
  <c r="D106" i="3"/>
  <c r="D105" i="3"/>
  <c r="D90" i="3"/>
  <c r="D89" i="3"/>
  <c r="D87" i="3"/>
  <c r="D88" i="3"/>
  <c r="D3" i="3"/>
  <c r="D2" i="3"/>
  <c r="D4" i="3"/>
  <c r="D5" i="3"/>
  <c r="D52" i="3"/>
  <c r="D27" i="3"/>
  <c r="D25" i="3"/>
  <c r="D73" i="3"/>
  <c r="D39" i="3"/>
  <c r="D53" i="3"/>
  <c r="D6" i="3"/>
  <c r="D75" i="3"/>
  <c r="D49" i="3"/>
  <c r="D95" i="3"/>
  <c r="D102" i="3"/>
  <c r="D96" i="3"/>
  <c r="D94" i="3"/>
  <c r="D98" i="3"/>
  <c r="D97" i="3"/>
  <c r="D93" i="3"/>
  <c r="D101" i="3"/>
  <c r="D99" i="3"/>
  <c r="D100" i="3"/>
  <c r="D103" i="3"/>
  <c r="D24" i="3"/>
  <c r="D23" i="3"/>
  <c r="D22" i="3"/>
  <c r="D59" i="3"/>
  <c r="D55" i="3"/>
  <c r="D63" i="3"/>
  <c r="D64" i="3"/>
  <c r="D57" i="3"/>
  <c r="D62" i="3"/>
  <c r="D114" i="3"/>
  <c r="D56" i="3"/>
  <c r="D7" i="3"/>
  <c r="D68" i="3"/>
  <c r="D147" i="3"/>
  <c r="D19" i="3"/>
  <c r="D110" i="3"/>
  <c r="D108" i="3"/>
  <c r="D109" i="3"/>
  <c r="D66" i="3"/>
  <c r="D131" i="3"/>
  <c r="D37" i="3"/>
  <c r="D35" i="3"/>
  <c r="D15" i="3"/>
  <c r="D20" i="3"/>
  <c r="D121" i="3"/>
  <c r="D67" i="3"/>
  <c r="D18" i="3"/>
  <c r="D65" i="3"/>
  <c r="D38" i="3"/>
  <c r="D36" i="3"/>
  <c r="D16" i="3"/>
  <c r="D14" i="3"/>
  <c r="D17" i="3"/>
  <c r="D9" i="3"/>
  <c r="D72" i="3"/>
  <c r="D71" i="3"/>
  <c r="D54" i="3"/>
  <c r="D91" i="3"/>
  <c r="D480" i="1"/>
  <c r="D479" i="1"/>
  <c r="D422" i="1"/>
  <c r="D421" i="1"/>
  <c r="D420" i="1"/>
  <c r="D419" i="1"/>
  <c r="D418" i="1"/>
  <c r="D417" i="1"/>
  <c r="D411" i="1"/>
  <c r="D410" i="1"/>
  <c r="D396" i="1"/>
  <c r="D395" i="1"/>
  <c r="D378" i="1"/>
  <c r="B377" i="1" s="1"/>
  <c r="D369" i="1"/>
  <c r="D368" i="1"/>
  <c r="D371" i="1"/>
  <c r="D362" i="1"/>
  <c r="D360" i="1"/>
  <c r="D454" i="1"/>
  <c r="B453" i="1" s="1"/>
  <c r="D354" i="1"/>
  <c r="D352" i="1"/>
  <c r="D351" i="1"/>
  <c r="D350" i="1"/>
  <c r="D349" i="1"/>
  <c r="D348" i="1"/>
  <c r="D335" i="1"/>
  <c r="D334" i="1"/>
  <c r="D333" i="1"/>
  <c r="D332" i="1"/>
  <c r="D329" i="1"/>
  <c r="D328" i="1"/>
  <c r="D320" i="1"/>
  <c r="D319" i="1"/>
  <c r="D342" i="1"/>
  <c r="D340" i="1"/>
  <c r="D338" i="1"/>
  <c r="D318" i="1"/>
  <c r="D317" i="1"/>
  <c r="D316" i="1"/>
  <c r="D315" i="1"/>
  <c r="D314" i="1"/>
  <c r="D312" i="1"/>
  <c r="D306" i="1"/>
  <c r="D299" i="1"/>
  <c r="D296" i="1"/>
  <c r="D298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54" i="1"/>
  <c r="D275" i="1"/>
  <c r="D274" i="1"/>
  <c r="D259" i="1"/>
  <c r="D226" i="1"/>
  <c r="D227" i="1"/>
  <c r="D235" i="1"/>
  <c r="D234" i="1"/>
  <c r="D252" i="1"/>
  <c r="D250" i="1"/>
  <c r="D249" i="1"/>
  <c r="D253" i="1"/>
  <c r="D247" i="1"/>
  <c r="D255" i="1"/>
  <c r="D254" i="1"/>
  <c r="D245" i="1"/>
  <c r="D240" i="1"/>
  <c r="D238" i="1"/>
  <c r="D236" i="1"/>
  <c r="D233" i="1"/>
  <c r="D228" i="1"/>
  <c r="D229" i="1"/>
  <c r="D232" i="1"/>
  <c r="D231" i="1"/>
  <c r="D230" i="1"/>
  <c r="D225" i="1"/>
  <c r="D224" i="1"/>
  <c r="D221" i="1"/>
  <c r="B220" i="1" s="1"/>
  <c r="D213" i="1"/>
  <c r="D215" i="1"/>
  <c r="D210" i="1"/>
  <c r="D209" i="1"/>
  <c r="D208" i="1"/>
  <c r="D207" i="1"/>
  <c r="D197" i="1"/>
  <c r="D196" i="1"/>
  <c r="D195" i="1"/>
  <c r="D194" i="1"/>
  <c r="D93" i="1"/>
  <c r="D61" i="1"/>
  <c r="B60" i="1" s="1"/>
  <c r="D53" i="1"/>
  <c r="D52" i="1"/>
  <c r="D24" i="1"/>
  <c r="D489" i="1" l="1"/>
  <c r="B122" i="1"/>
  <c r="B155" i="1"/>
  <c r="B359" i="1"/>
  <c r="B206" i="1"/>
  <c r="B409" i="1"/>
  <c r="B478" i="1"/>
  <c r="B223" i="1"/>
  <c r="B193" i="1"/>
  <c r="B282" i="1"/>
  <c r="B394" i="1"/>
  <c r="B347" i="1"/>
  <c r="B2" i="1"/>
  <c r="B310" i="1"/>
  <c r="B416" i="1"/>
  <c r="B23" i="1"/>
  <c r="B311" i="1"/>
  <c r="B324" i="1"/>
  <c r="B337" i="1"/>
  <c r="B92" i="1"/>
  <c r="B51" i="1"/>
  <c r="H100" i="3"/>
  <c r="B138" i="3"/>
  <c r="B124" i="3"/>
  <c r="B136" i="3"/>
  <c r="B146" i="3"/>
  <c r="D181" i="3"/>
  <c r="B119" i="3"/>
  <c r="B158" i="3"/>
  <c r="B122" i="3"/>
  <c r="B126" i="3"/>
  <c r="B132" i="3"/>
  <c r="B144" i="3"/>
  <c r="B142" i="3"/>
  <c r="B145" i="3"/>
  <c r="B148" i="3"/>
  <c r="B130" i="3"/>
  <c r="B258" i="1"/>
  <c r="B273" i="1"/>
  <c r="D2" i="5"/>
  <c r="D57" i="5"/>
  <c r="D73" i="5" s="1"/>
  <c r="D138" i="5" l="1"/>
</calcChain>
</file>

<file path=xl/sharedStrings.xml><?xml version="1.0" encoding="utf-8"?>
<sst xmlns="http://schemas.openxmlformats.org/spreadsheetml/2006/main" count="2258" uniqueCount="824">
  <si>
    <t>Part Name</t>
  </si>
  <si>
    <t>Material Cost per Unit</t>
  </si>
  <si>
    <t>QTY</t>
  </si>
  <si>
    <t>Total Cost</t>
  </si>
  <si>
    <t>Purchase Date</t>
  </si>
  <si>
    <t>Supplier</t>
  </si>
  <si>
    <t>Supplier PN</t>
  </si>
  <si>
    <t>Manufacturer</t>
  </si>
  <si>
    <t>MPN (Manufacturer Part Number)</t>
  </si>
  <si>
    <t>Note</t>
  </si>
  <si>
    <t>Fluid stream handling</t>
  </si>
  <si>
    <t>Storage</t>
  </si>
  <si>
    <t>150 gallon 45 degree conical bottom tank with tank stand</t>
  </si>
  <si>
    <t>Tank dealer</t>
  </si>
  <si>
    <t>N/A</t>
  </si>
  <si>
    <t>Acquired from Novus Technical parts lot</t>
  </si>
  <si>
    <t>Cooling</t>
  </si>
  <si>
    <t>ECO Plus 1/2 HP Chiller</t>
  </si>
  <si>
    <t>Horticulture Source</t>
  </si>
  <si>
    <t>EcoPlus</t>
  </si>
  <si>
    <t>1/2 HP water chiller</t>
  </si>
  <si>
    <t>1/3 HP Transfer Pump</t>
  </si>
  <si>
    <t>Mcmaster</t>
  </si>
  <si>
    <t>4320K81</t>
  </si>
  <si>
    <t>Filtering</t>
  </si>
  <si>
    <t>Filter &amp; Housing</t>
  </si>
  <si>
    <t>43715K35, 4411K923</t>
  </si>
  <si>
    <t>Low-Pressure return</t>
  </si>
  <si>
    <t xml:space="preserve">Koflo 1-40C-4-6-2 Clear PVC Schedule 40 Pipe Mixer; 1" NPT(M), 6 Elements </t>
  </si>
  <si>
    <t>Amazon</t>
  </si>
  <si>
    <t>Koflo</t>
  </si>
  <si>
    <t>1-40C-4-6-2</t>
  </si>
  <si>
    <t>R1-16 | 1" SAE 100R1AT Hydraulic Hose (by the foot)</t>
  </si>
  <si>
    <t>Discount Hydraulic Hose</t>
  </si>
  <si>
    <t>R1-12</t>
  </si>
  <si>
    <t>ERU</t>
  </si>
  <si>
    <t>Axial Piston Motor</t>
  </si>
  <si>
    <t>Danfoss</t>
  </si>
  <si>
    <t>180B3043</t>
  </si>
  <si>
    <t>APM 1.5 Danfoss p/n 180B3043</t>
  </si>
  <si>
    <t>Axial Piston Pump</t>
  </si>
  <si>
    <t>APP 1.5 Danfoss p/n 180B3043</t>
  </si>
  <si>
    <t>Electric Motor</t>
  </si>
  <si>
    <t>First Electric</t>
  </si>
  <si>
    <t>CEM3663T**DBL SHAFT</t>
  </si>
  <si>
    <t>Baldor</t>
  </si>
  <si>
    <t>184TC</t>
  </si>
  <si>
    <t>Electric Motor VFD</t>
  </si>
  <si>
    <t>CIMR-VU-2A0020FAA</t>
  </si>
  <si>
    <t>Yaskawa</t>
  </si>
  <si>
    <t>Inlet</t>
  </si>
  <si>
    <t>3/4" Male JIC x 3/4" Male BSPP, 316SS</t>
  </si>
  <si>
    <t>Hydraulics direct</t>
  </si>
  <si>
    <t>SS-9005-12-12</t>
  </si>
  <si>
    <t>Hose assem. 3/4" JIC female swivel, stainless steel</t>
  </si>
  <si>
    <t>3/4" female JIC swivel end (SS-FJX-12-12), length TBD</t>
  </si>
  <si>
    <t>Outlet</t>
  </si>
  <si>
    <t>3/4" Male BSPP x 3/4" Male NPTF, 316SS</t>
  </si>
  <si>
    <t>SS-9007-12-12</t>
  </si>
  <si>
    <t>Banjo EL075-90</t>
  </si>
  <si>
    <t>Banjo HB075-100</t>
  </si>
  <si>
    <t>Motor/Generator</t>
  </si>
  <si>
    <t>APM 2.2 Danfoss p/n 180B3043</t>
  </si>
  <si>
    <t>WEG Electric Motor</t>
  </si>
  <si>
    <t>00736ET3E213TC-W22**MOD**</t>
  </si>
  <si>
    <t>WEG</t>
  </si>
  <si>
    <t>R00736ET3E213TC-W22</t>
  </si>
  <si>
    <t>4 Quad VFD</t>
  </si>
  <si>
    <t>CIMR-UU2A 0028UA</t>
  </si>
  <si>
    <t xml:space="preserve">  </t>
  </si>
  <si>
    <t>Hall effect sensor</t>
  </si>
  <si>
    <t>For counting revolutions</t>
  </si>
  <si>
    <t>3/4" Male BSPP x 3/4" Female NPTF</t>
  </si>
  <si>
    <t>SS-9035-12-12</t>
  </si>
  <si>
    <t>3/4" JIC (1 1/16"-12 thread) 37° x 3/4" Male Pipe 90°</t>
  </si>
  <si>
    <t>SS-2501-12-12</t>
  </si>
  <si>
    <t>90° Elbow: 3/4" Male JIC x 3/4" Male BSPP Adj.</t>
  </si>
  <si>
    <t>SS-9059-12-12</t>
  </si>
  <si>
    <t>Primary Drive</t>
  </si>
  <si>
    <t>Shaft coupler, H1T053 to L225 lovejoyk, L225 Coupling Hub with Splines</t>
  </si>
  <si>
    <t>Lovejoy</t>
  </si>
  <si>
    <t>https://heavydutydepot.com/product/lo-vejoy-68514437937-l225-coupling-hub-with-splines</t>
  </si>
  <si>
    <t>RO module</t>
  </si>
  <si>
    <t>2.5" x 40" Fiberglass/FRP Seawater Membrane Housing Pressure Vessel for Watermaker</t>
  </si>
  <si>
    <t>Hydrocomponents &amp; Technologies, Inc.</t>
  </si>
  <si>
    <t>PV-2540SW</t>
  </si>
  <si>
    <t>2.5"x40" | 700 GPD | 99.4% Salt Rejection | Watermaker | FilmTec Seawater Membrane</t>
  </si>
  <si>
    <t>Applied Membranes</t>
  </si>
  <si>
    <t>M-S2540A</t>
  </si>
  <si>
    <t>1/4" NPT male to 1/4" JIC male, stainless steel</t>
  </si>
  <si>
    <t>SS-2404-04-04</t>
  </si>
  <si>
    <t>1/4" NPT male to 1/4" JIC male, 45deg, stainless steel</t>
  </si>
  <si>
    <t>1/4" JIC female swivel to 1/4" JIC Male, 90deg, stainless steel</t>
  </si>
  <si>
    <t>SS-6500-04-04</t>
  </si>
  <si>
    <t>1/4" NPT male to 3/8" JIC male, stainless steel</t>
  </si>
  <si>
    <t>SS-2404-06-04</t>
  </si>
  <si>
    <t>3/8" JIC tee, m-f-m, female swivel, stainless steel</t>
  </si>
  <si>
    <t>SS-6600-06-06-06</t>
  </si>
  <si>
    <t>3/8" JIC female swivel to 3/8" JIC Male, 90deg, stainless steel</t>
  </si>
  <si>
    <t>SS-6500-06-06</t>
  </si>
  <si>
    <t>3/8" NPT male to 3/8" JIC male, stainless steel</t>
  </si>
  <si>
    <t>SS-2403-06-06</t>
  </si>
  <si>
    <t>3/4" NPT male to 3/8" NPT female, stainless steel</t>
  </si>
  <si>
    <t>SS-5406-12-06</t>
  </si>
  <si>
    <t>Hose assem. Inlet/outlet, 1, stainless steel</t>
  </si>
  <si>
    <t>Discount Hydraulics</t>
  </si>
  <si>
    <t>3/8" female JIC swivel end (SS-FJX-06-06), length TBD</t>
  </si>
  <si>
    <t>Hose assem. Inlet/outlet, 2, stainless steel</t>
  </si>
  <si>
    <t>Hose assem. Intermediate, stainless steel</t>
  </si>
  <si>
    <t>1/4" female JIC swivel end (SS-FJX-04-04), length TBD</t>
  </si>
  <si>
    <t>Banjo TM075050</t>
  </si>
  <si>
    <t>Banjo PLUG050</t>
  </si>
  <si>
    <t>Banjo PLUG025</t>
  </si>
  <si>
    <t>Banjo RN100-075</t>
  </si>
  <si>
    <t>Banjo CV100</t>
  </si>
  <si>
    <t>Banjo HB050-90</t>
  </si>
  <si>
    <t>Banjo NIP050-SH</t>
  </si>
  <si>
    <t>Banjo EL050-90</t>
  </si>
  <si>
    <t>Banjo HB050</t>
  </si>
  <si>
    <t>Banjo SL025-90</t>
  </si>
  <si>
    <t>Banjo HB025-050</t>
  </si>
  <si>
    <t xml:space="preserve">Rubber strip, adhesive-backed, 1"x10'x3/32" </t>
  </si>
  <si>
    <t>Grainger</t>
  </si>
  <si>
    <t>56DC60</t>
  </si>
  <si>
    <t>U-bolt, 3 1/8" ID</t>
  </si>
  <si>
    <t>McMaster-Carr</t>
  </si>
  <si>
    <t>3042T18</t>
  </si>
  <si>
    <t>Boost Pump</t>
  </si>
  <si>
    <t>Check valves, boost pump outlet</t>
  </si>
  <si>
    <t>Banjo</t>
  </si>
  <si>
    <t>CV100MT</t>
  </si>
  <si>
    <t>Goulds boost pump</t>
  </si>
  <si>
    <t>Hall Trask</t>
  </si>
  <si>
    <t>5SV7NE4F60</t>
  </si>
  <si>
    <t>GOULDS</t>
  </si>
  <si>
    <t>Boost Pump VFD</t>
  </si>
  <si>
    <t>CIMR-VU-2A0056FAA</t>
  </si>
  <si>
    <t>Yasakawa</t>
  </si>
  <si>
    <t>JWS- actually CIMR-VU-2A0012FAA; Acquired from Novus Technical parts lot</t>
  </si>
  <si>
    <t>Salt water circuit, Misc. Valves</t>
  </si>
  <si>
    <t>Pressure Relief Valve</t>
  </si>
  <si>
    <t>McMaster</t>
  </si>
  <si>
    <t>6871K41</t>
  </si>
  <si>
    <t>Kunkle Valve</t>
  </si>
  <si>
    <t>0266VC04-MG</t>
  </si>
  <si>
    <t>Only received 2, inlet - 1/2" NPT, Outlet - 3/4" NPT</t>
  </si>
  <si>
    <t>Ball valve, 2160 psi, 3/4"</t>
  </si>
  <si>
    <t>Duncon CO</t>
  </si>
  <si>
    <t>KECKLEY</t>
  </si>
  <si>
    <t>BVS2THFSSRGSL-075</t>
  </si>
  <si>
    <t>Check valves, low-pressure to high pressure</t>
  </si>
  <si>
    <t>Hy-Lok</t>
  </si>
  <si>
    <t>CV3-F-6N-1/3-S316</t>
  </si>
  <si>
    <t>Low pressure check valve</t>
  </si>
  <si>
    <t>BANJO</t>
  </si>
  <si>
    <t>MCV100</t>
  </si>
  <si>
    <t>Accumulators</t>
  </si>
  <si>
    <t>5 gal stainless steel accumulator</t>
  </si>
  <si>
    <t>Accumulators Inc</t>
  </si>
  <si>
    <t>A531001XS</t>
  </si>
  <si>
    <t xml:space="preserve">2.5 gal stainless steel accumulators </t>
  </si>
  <si>
    <t>A2.53100XS</t>
  </si>
  <si>
    <t xml:space="preserve">1.5 gal stainless steel accumulators </t>
  </si>
  <si>
    <t>A1.53100XS</t>
  </si>
  <si>
    <t>1 gal accumulator</t>
  </si>
  <si>
    <t>A13100XS</t>
  </si>
  <si>
    <t>10 GAL ACCUMULATOR, 3000 PSI</t>
  </si>
  <si>
    <t>Reasontek Corporation</t>
  </si>
  <si>
    <t>RAS-10C3B01NW3</t>
  </si>
  <si>
    <t>5 GAL ACCUMULATOR, 3000 PSI</t>
  </si>
  <si>
    <t>RAS-05C3B01NW3</t>
  </si>
  <si>
    <t>Accumulator Mounting Base Bracket with Rubber Ring, 2.5-15gal</t>
  </si>
  <si>
    <t>RBB-66</t>
  </si>
  <si>
    <t>qty 2 for 5 gal and 10 gal</t>
  </si>
  <si>
    <t>Accumulator Double Bolt Mounting Clamp, 2.5-15G, 3K/5K PSI</t>
  </si>
  <si>
    <t>RMD-91</t>
  </si>
  <si>
    <t xml:space="preserve"> | (Stainless)1/2" JIC 37° Flare Female Swivel</t>
  </si>
  <si>
    <t>Accumulator Mounting Base Bracket with Rubber Ring, 1gal</t>
  </si>
  <si>
    <t>RBB-45</t>
  </si>
  <si>
    <t>Accumulator Single Bolt Mounting Clamp, 1Gal</t>
  </si>
  <si>
    <t>RMS-67Z</t>
  </si>
  <si>
    <t>2" NPT male tp 1" NPT female, stainless steel</t>
  </si>
  <si>
    <t>4443K426</t>
  </si>
  <si>
    <t>SS-5406-32-16</t>
  </si>
  <si>
    <t>1" NPT male to 1/2" female, stainless steel</t>
  </si>
  <si>
    <t>Hydraulics Direct</t>
  </si>
  <si>
    <t>SS-5406-16-08</t>
  </si>
  <si>
    <t>1-1/4" NPT male to 1/2" female, stainless steel</t>
  </si>
  <si>
    <t>1/2" NPT male to 1/2" JIC male 90 deg, stainless steel</t>
  </si>
  <si>
    <t>SS-2501-08-08</t>
  </si>
  <si>
    <t>Hose assem. 1/2" JIC female swivel, stainless steel</t>
  </si>
  <si>
    <t>Fitting #1: SS-FJX-08-08 | Fitting #2: SS-FJX-08-08</t>
  </si>
  <si>
    <t>High-pressure accumulator and RO module rack</t>
  </si>
  <si>
    <t>Strut channel, 1-5/8 x 1-5/8 12ga painted, per foot</t>
  </si>
  <si>
    <t>5YB81</t>
  </si>
  <si>
    <t>Double check the length required due to cutting</t>
  </si>
  <si>
    <t>Corner Strut Channel Brackets, Outside 45deg, four bolt</t>
  </si>
  <si>
    <t>33125T426</t>
  </si>
  <si>
    <t>Corner Strut Channel Brackets, Inside 45deg, two bolt</t>
  </si>
  <si>
    <t>33125T42</t>
  </si>
  <si>
    <t>Corner Strut Channel Brackets, Inside 90deg, two bolt</t>
  </si>
  <si>
    <t>33125T32</t>
  </si>
  <si>
    <t>steel plate, 12"x57'x0.25"`</t>
  </si>
  <si>
    <t>steel bar, 2"x6'x0.25"`</t>
  </si>
  <si>
    <t>Spring Nut: 1/2"-13 Thread Size, 1/2 in Bolt Size, Steel, Galvanized, 25pk</t>
  </si>
  <si>
    <t>4A985</t>
  </si>
  <si>
    <t>Socket Head Cap Screws, 1/2"-13 3/4in, pack of 10</t>
  </si>
  <si>
    <t>22TR54</t>
  </si>
  <si>
    <t>Hex Head Screws, 1/2"-13 1-12in, pack of 25</t>
  </si>
  <si>
    <t>22TH31</t>
  </si>
  <si>
    <t>Strut channel cover, 10ft</t>
  </si>
  <si>
    <t>3204T74</t>
  </si>
  <si>
    <t>EPDM Strip: Std, 1 in x 10 ft, 0.0625 in Thick, 60A, Acrylic Adhesive Backed, Black, Smooth</t>
  </si>
  <si>
    <t>497M52</t>
  </si>
  <si>
    <t>for floor contact</t>
  </si>
  <si>
    <t>Low-pressure accumulator and RO module rack</t>
  </si>
  <si>
    <t>WEC simulating actuator</t>
  </si>
  <si>
    <t>Chief WT Welded Hydraulic Cylinder: 6 Bore x 18 Stroke - 3 Rod</t>
  </si>
  <si>
    <t>Standard hyd. Cylinder</t>
  </si>
  <si>
    <t>Central Hydraulics</t>
  </si>
  <si>
    <t>baileyhydraulics</t>
  </si>
  <si>
    <t>1" Carbon Steel Plate A36 Hot Rolled - 12″ X 36″ (1 X 3 ft.)</t>
  </si>
  <si>
    <t>spherical bearing mount to be water jet cut</t>
  </si>
  <si>
    <t>Socket Head Screw, 5/8"-18 Thread Size, 2" Long</t>
  </si>
  <si>
    <t>Fastenal</t>
  </si>
  <si>
    <t>5/8" bolt for spherical bearing mount</t>
  </si>
  <si>
    <t>Washer for 5/8" Screw Size, 0.656" ID, 1.312" OD</t>
  </si>
  <si>
    <t>500mm Draw Wire Encoder</t>
  </si>
  <si>
    <t>CALT</t>
  </si>
  <si>
    <t>https://www.amazon.com/Encoder-24Vdc-Supply-500mm-Output/dp/B0C48X9SXK/ref=sr_1_2_sspa?crid=3FTJ21BDIRAF6&amp;keywords=string%2Bpotentiometer&amp;qid=1699396941&amp;sprefix=string%2Bpotentiometer%2Caps%2C120&amp;sr=8-2-spons&amp;sp_csd=d2lkZ2V0TmFtZT1zcF9hdGY&amp;th=1</t>
  </si>
  <si>
    <t>Torque wrench, 500ft.lb capacity</t>
  </si>
  <si>
    <t>WEC-driven pump</t>
  </si>
  <si>
    <t>Stainless Steel Cylinder</t>
  </si>
  <si>
    <t>custom, per print</t>
  </si>
  <si>
    <t>#12 ORB male to 1" JIC male fitting. Stainless steel</t>
  </si>
  <si>
    <t>SS-6400-16-12</t>
  </si>
  <si>
    <t>https://www.hydraulicsdirect.com/SS-6400-Stainless-Steel-SAE-O-Ring-Boss-p/ss-6400.htm</t>
  </si>
  <si>
    <t>Hose assem. 1" JIC female swivel, stainless steel</t>
  </si>
  <si>
    <t xml:space="preserve">Fitting #1: SS-FJX-16-16W | Fitting #2: SS-MP-16-16W </t>
  </si>
  <si>
    <t>2 1/2-12 stel nut, for clevis</t>
  </si>
  <si>
    <t>90490A275</t>
  </si>
  <si>
    <t>1" steel plate for clevis</t>
  </si>
  <si>
    <t>to be cut from same stock as actuator mount</t>
  </si>
  <si>
    <t>Check valve rectifier</t>
  </si>
  <si>
    <t>Check valves, Check valve rectifier</t>
  </si>
  <si>
    <t>CV6-F-16N-10-S316</t>
  </si>
  <si>
    <t>Switching Valve Module</t>
  </si>
  <si>
    <t>Normally closed 2-way switching valve</t>
  </si>
  <si>
    <t>ASCO Redhat</t>
  </si>
  <si>
    <t>8223G010</t>
  </si>
  <si>
    <t>https://www.grainger.com/product/REDHAT-Solenoid-Valve-1-2-in-Pipe-4KY38?searchQuery=8223G010&amp;searchBar=true&amp;xRefMatch=true&amp;tier=Tier+8</t>
  </si>
  <si>
    <t>Check valves, switching valve subsystem</t>
  </si>
  <si>
    <t>CV5-F-12N-10-S316</t>
  </si>
  <si>
    <t>Orifice plate</t>
  </si>
  <si>
    <t>12"x12"x0.048" Stainless Steel 316 sheet (18ga)</t>
  </si>
  <si>
    <t>For orifice plate</t>
  </si>
  <si>
    <t>Parker 1in code 61 flange to NPTF, 16GQ1B</t>
  </si>
  <si>
    <t>Parker</t>
  </si>
  <si>
    <t>3/8-16 2.75in socket cap bolt</t>
  </si>
  <si>
    <t>3/8"-16 HoloKrome® Allenut</t>
  </si>
  <si>
    <t>Sensors</t>
  </si>
  <si>
    <t>Temperature Transmitter</t>
  </si>
  <si>
    <t>IFM</t>
  </si>
  <si>
    <t>SA6014</t>
  </si>
  <si>
    <t>Pressure Transmitter</t>
  </si>
  <si>
    <t>3196K57</t>
  </si>
  <si>
    <t>Conductivity Transmitter Asm</t>
  </si>
  <si>
    <t>Cole Parmer</t>
  </si>
  <si>
    <t>EW-19505-20, EW-19500-45</t>
  </si>
  <si>
    <t>Oakton, Cole-Parmer</t>
  </si>
  <si>
    <t>ECCONCTP0500 COND 500,  C621-2-1-1</t>
  </si>
  <si>
    <t>Conductivity Meter</t>
  </si>
  <si>
    <t>Power Transducer</t>
  </si>
  <si>
    <t>Ohio Semitronics</t>
  </si>
  <si>
    <t>WT7-22-100-D</t>
  </si>
  <si>
    <t>Torque Meter w/ encoder</t>
  </si>
  <si>
    <t>Futek</t>
  </si>
  <si>
    <t>FSH02056</t>
  </si>
  <si>
    <t>Flow rate</t>
  </si>
  <si>
    <t>imf SA6014, thermal flow meter</t>
  </si>
  <si>
    <t>Inline Reducing Tee, 3/4 Socket Female x 1/2 NPT Female, Thick wall plastic</t>
  </si>
  <si>
    <t>4596K211</t>
  </si>
  <si>
    <t>Sch. 80 plastic pipe, 5ft</t>
  </si>
  <si>
    <t>48855K22</t>
  </si>
  <si>
    <t>Shipping</t>
  </si>
  <si>
    <t>Reasontek Freight</t>
  </si>
  <si>
    <t>1.500" Alloy Steel Round Bar 4140 Cold Finished Heat Treated, 1ft</t>
  </si>
  <si>
    <t>Socket Head Screw, 5/8"-18 Thread Size, 2.5" Long</t>
  </si>
  <si>
    <t>3/4in NPT to #12 JIC</t>
  </si>
  <si>
    <t>custom</t>
  </si>
  <si>
    <t>fittings???</t>
  </si>
  <si>
    <t>Banjo CV100MT</t>
  </si>
  <si>
    <t>Central Hydraulics S&amp;H</t>
  </si>
  <si>
    <t>PO request 2/6/2024</t>
  </si>
  <si>
    <t>CV100</t>
  </si>
  <si>
    <t>Banjo RN125-100</t>
  </si>
  <si>
    <t>amazon</t>
  </si>
  <si>
    <t>CWP-S500V1</t>
  </si>
  <si>
    <t>SUERCUP Torque Wrench 3/4-inch, Dual-Direction Adjustable 48 tooth 100-700ft.lb/135.5-948.5Nm, ±3% High Accuracy Drive Click Torque Wrench with Buckle for Car/Truck Maintenance and Product Assembly</t>
  </si>
  <si>
    <t>length</t>
  </si>
  <si>
    <t>HP</t>
  </si>
  <si>
    <t>LP</t>
  </si>
  <si>
    <t>Strut channel, 1-5/8 x 1-5/8 12ga painted, 10ft</t>
  </si>
  <si>
    <t>Strut channel, 1-5/8 x 1-5/8 12ga painted, 2ft</t>
  </si>
  <si>
    <t>steel bar, 2"x3'x0.125"`</t>
  </si>
  <si>
    <t>High-Pressure Manifold, upstream of  orifice plate</t>
  </si>
  <si>
    <t>High-Pressure Manifold, downstream of  orifice plate</t>
  </si>
  <si>
    <t>Low-Pressure Manifold</t>
  </si>
  <si>
    <t>Coremark Metals</t>
  </si>
  <si>
    <t>1.500" Alloy Steel Round Bar 4140 Cold Finished Heat Treated, 18inch</t>
  </si>
  <si>
    <t>orderd in anealed state</t>
  </si>
  <si>
    <t>SS-5652-08-08-08-08 - 1/2" Female Pipe Cross</t>
  </si>
  <si>
    <t>SS-5500-16-16 - 1" Male Pipe x 1" Male Pipe 90°</t>
  </si>
  <si>
    <t>SS-5404-16-16 - 1" Male Pipe x 1" Male Pipe</t>
  </si>
  <si>
    <t>SS-5404-08-08 - 1/2" Male Pipe x 1/2" Male Pipe</t>
  </si>
  <si>
    <t>SS-5500-08-08 - 1/2" Male Pipe x 1/2" Male Pipe 90°</t>
  </si>
  <si>
    <t>SS-5406-12-08 - 3/4" Male Pipe x 1/2" Female Pipe</t>
  </si>
  <si>
    <t>SS-5406-16-08 - 1" Male Pipe x 1/2" Female Pipe</t>
  </si>
  <si>
    <t>SS-5406-08-04 - 1/2" Male Pipe x 1/4" Female Pipe</t>
  </si>
  <si>
    <t>for pressure transducer</t>
  </si>
  <si>
    <t>SS-5605-16-16-16 - 1" Female Pipe Tee</t>
  </si>
  <si>
    <t>Banjo TEE100</t>
  </si>
  <si>
    <t>Banjo HB100</t>
  </si>
  <si>
    <t>SS-2404-08-12 - 1/2" JIC (3/4"-16 thread) 37° x 3/4" Male Pipe</t>
  </si>
  <si>
    <t>Banjo NIP100-SH</t>
  </si>
  <si>
    <t>SS-5652-16-16-16-16 - 1" Female Pipe Cross</t>
  </si>
  <si>
    <t>SS-5652-12-12-12-12 - 3/4" Female Pipe Cross</t>
  </si>
  <si>
    <t>SS-5404-16-12 - 1" Male Pipe x 3/4" Male Pipe</t>
  </si>
  <si>
    <t>SS-5404-12-08 - 3/4" Male Pipe x 1/2" Male Pipe</t>
  </si>
  <si>
    <t>SS-2404-12-12 - 3/4" JIC (1 1/16"-12 thread) 37° x 3/4" Male Pipe</t>
  </si>
  <si>
    <t>SS-2404-16-16 - 1" JIC (1 5/16"-12 thread) 37° x 1" Male Pipe</t>
  </si>
  <si>
    <t>SS-2404-08-08 - 1/2" JIC (3/4"-16 thread) 37° x 1/2" Male Pipe</t>
  </si>
  <si>
    <t>SS-5406-12-06 - 3/4" Male Pipe x 3/8" Female Pipe</t>
  </si>
  <si>
    <t>SS-2404-06-06 - 3/8" JIC (9/16"-18 thread) 37° x 3/8" Male Pipe</t>
  </si>
  <si>
    <t>SS-5404-08-06 - 1/2" Male Pipe x 3/8" Male Pipe</t>
  </si>
  <si>
    <t>SS-5404-06-06 - 3/8" Male Pipe x 3/8" Male Pipe</t>
  </si>
  <si>
    <t>Thick-Wall 316/316L Stainless Steel Pipe Nipple, Threaded on Both Ends, 1 Pipe Size, 4" Long</t>
  </si>
  <si>
    <t>4475K56</t>
  </si>
  <si>
    <t>SS-2501-12-12 - 3/4" JIC (1 1/16"-12 thread) 37° x 3/4" Male Pipe 90°</t>
  </si>
  <si>
    <t>SS-5406-16-12 - 1" Male Pipe x 3/4" Female Pipe</t>
  </si>
  <si>
    <t>SS-2501-08-08 - 1/2" JIC (3/4"-16 thread) 37° x 1/2" Male Pipe 90</t>
  </si>
  <si>
    <t>SS-5406-16-08 - 1" Male Pipe to 1/2" Female Pipe</t>
  </si>
  <si>
    <t>SS-5406-20-08 - 1-1/4" Male Pipe to 1/2" Female Pipe</t>
  </si>
  <si>
    <t>SS-5406-32-16 - 2" Male Pipe to 1" NPT Female Pipe</t>
  </si>
  <si>
    <t>Banjo HB075/100-90</t>
  </si>
  <si>
    <t>Acquired qty 4 from Novus Technical parts lot, only using 1</t>
  </si>
  <si>
    <t>Threaded-Rod-Mount Clamping Hanger, 3.5" ID for 3" pipe</t>
  </si>
  <si>
    <t>2615T24</t>
  </si>
  <si>
    <t>Threaded-Rod-Mount Clamping Hanger, 1.5" ID for 1.5" pipe</t>
  </si>
  <si>
    <t>2615T17</t>
  </si>
  <si>
    <t>Banjo HB125-075</t>
  </si>
  <si>
    <t>Banjo RB125-075</t>
  </si>
  <si>
    <t>Banjo HB075-90</t>
  </si>
  <si>
    <t>Pressure Relief Valves</t>
  </si>
  <si>
    <t>Banjo V150-SL</t>
  </si>
  <si>
    <t>Banjo RB150-125</t>
  </si>
  <si>
    <t>Banjo RN150-100</t>
  </si>
  <si>
    <t>Banjo RN125-075</t>
  </si>
  <si>
    <t>Sch. 80 PVC adaptor 3/4"socket to 3/4"NPT female</t>
  </si>
  <si>
    <t>Sch, 80 PVC inline reducing tee, 3/4" socket w/ 1/2" NPT branch</t>
  </si>
  <si>
    <t>Banjo HBF075-100</t>
  </si>
  <si>
    <t>Banjo SL100-45</t>
  </si>
  <si>
    <t>Permeate manifold</t>
  </si>
  <si>
    <t>Banjo CR100</t>
  </si>
  <si>
    <t>Banjo HB100/075-90</t>
  </si>
  <si>
    <t>Banjo NIP075-SH</t>
  </si>
  <si>
    <t>Brine Pass-through</t>
  </si>
  <si>
    <t>SS-5605-12-12-12 - 3/4" Female Pipe Tee</t>
  </si>
  <si>
    <t>Banjo HB038-050</t>
  </si>
  <si>
    <t>Banjo HB075/050-90</t>
  </si>
  <si>
    <t>SS-5404-12-12 - 3/4" Male Pipe x 3/4" Male Pipe</t>
  </si>
  <si>
    <t>Banjo TEE075</t>
  </si>
  <si>
    <t>Banjo HB075-050</t>
  </si>
  <si>
    <t>SS-2404-08-12 - 1/2" JIC 37° x 3/4" Male Pipe</t>
  </si>
  <si>
    <t>SS-2404-06-06 - 3/8" JIC 37° x 3/8" Male Pipe</t>
  </si>
  <si>
    <t>Banjo SL038-90</t>
  </si>
  <si>
    <t>Clamping U-Bolt, 2 3/8in ID</t>
  </si>
  <si>
    <t>3042T91</t>
  </si>
  <si>
    <t>33125T55</t>
  </si>
  <si>
    <t>High-pressure Manifold Mounting</t>
  </si>
  <si>
    <t>Backplate</t>
  </si>
  <si>
    <t>Banjo RN100-050</t>
  </si>
  <si>
    <t>Banjo HB100-90</t>
  </si>
  <si>
    <t>Banjo HB100-075</t>
  </si>
  <si>
    <t>Banjo HB075</t>
  </si>
  <si>
    <t>Banjo RB075-025</t>
  </si>
  <si>
    <t>Banjo RB100-050</t>
  </si>
  <si>
    <t>Clamping U-Bolt, 1 7/8in ID</t>
  </si>
  <si>
    <t>U-bolt, 1.5in ID</t>
  </si>
  <si>
    <t>3043T646</t>
  </si>
  <si>
    <t>Strut Channel Bracket, U-shaped</t>
  </si>
  <si>
    <t>SS-2404-04-04 - 1/4" NPT male to 1/4" JIC male, stainless steel</t>
  </si>
  <si>
    <t>SS-6500-04-04 - 1/4" JIC female swivel to 1/4" JIC Male, 90deg, stainless steel</t>
  </si>
  <si>
    <t>SS-2404-06-04 - 1/4" NPT male to 3/8" JIC male, stainless steel</t>
  </si>
  <si>
    <t>SS-6600-06-06-06 - 3/8" JIC tee, m-f-m, female swivel, stainless steel</t>
  </si>
  <si>
    <t>SS-6500-06-06 - 3/8" JIC female swivel to 3/8" JIC Male, 90deg, stainless steel</t>
  </si>
  <si>
    <t>SS-2403-06-06 - 3/8" NPT male to 3/8" JIC male, stainless steel</t>
  </si>
  <si>
    <t>SS-2503-04-04 - 1/4" NPT male to 1/4" JIC male, 45deg, stainless steel</t>
  </si>
  <si>
    <t>SS-9035-12-12 - 3/4" Male BSPP x 3/4" Female NPTF</t>
  </si>
  <si>
    <t>SS-2501-12-12 - 3/4" JIC 37° x 3/4" Male Pipe 90°</t>
  </si>
  <si>
    <t>SS-9005-12-12 - 3/4" Male JIC x 3/4" Male BSPP</t>
  </si>
  <si>
    <t>Banjo RB150-100</t>
  </si>
  <si>
    <t>SS-5602-08-08-08 - 1/2" m-f-f Pipe Tee</t>
  </si>
  <si>
    <t>SS-5604-08-08-08 - 1/2" f-m-f Pipe Tee</t>
  </si>
  <si>
    <t>SS-6400-16-12 - 1" JIC 37° x 3/4" ORB Male (#12 thread)</t>
  </si>
  <si>
    <t>SS-2404-08-08 - 1/2" JIC 37° x 1/2" Male Pipe</t>
  </si>
  <si>
    <t>SS-2404-12-12 - 3/4" JIC 37° x 3/4" Male Pipe</t>
  </si>
  <si>
    <t>SS-2404-16-16 - 1" JIC 37° x 1" Male Pipe</t>
  </si>
  <si>
    <t>SS-2501-08-08 - 1/2" JIC 37° x 1/2" Male Pipe 90</t>
  </si>
  <si>
    <t>Part Name and Desc.</t>
  </si>
  <si>
    <t>Cost per Unit</t>
  </si>
  <si>
    <t>SS-2404-06-06 - 3/8" JIC 37° x 3/8" Male Pipe, stainless steel</t>
  </si>
  <si>
    <t>SS-2404-08-08 - 1/2" JIC 37° x 1/2" Male Pipe, stainless steel</t>
  </si>
  <si>
    <t>SS-2404-08-12 - 1/2" JIC 37° x 3/4" Male Pipe, stainless steel</t>
  </si>
  <si>
    <t>SS-2404-12-12 - 3/4" JIC 37° x 3/4" Male Pipe, stainless steel</t>
  </si>
  <si>
    <t>SS-2404-16-16 - 1" JIC 37° x 1" Male Pipe, stainless steel</t>
  </si>
  <si>
    <t>SS-2501-12-12 - 3/4" JIC 37° x 3/4" Male Pipe 90°, stainless steel</t>
  </si>
  <si>
    <t>SS-5404-06-06 - 3/8" Male Pipe x 3/8" Male Pipe, stainless steel</t>
  </si>
  <si>
    <t>SS-5404-08-06 - 1/2" Male Pipe x 3/8" Male Pipe, stainless steel</t>
  </si>
  <si>
    <t>SS-5404-08-08 - 1/2" Male Pipe x 1/2" Male Pipe, stainless steel</t>
  </si>
  <si>
    <t>SS-5404-12-08 - 3/4" Male Pipe x 1/2" Male Pipe, stainless steel</t>
  </si>
  <si>
    <t>SS-5404-12-12 - 3/4" Male Pipe x 3/4" Male Pipe, stainless steel</t>
  </si>
  <si>
    <t>SS-5404-16-12 - 1" Male Pipe x 3/4" Male Pipe, stainless steel</t>
  </si>
  <si>
    <t>SS-5404-16-16 - 1" Male Pipe x 1" Male Pipe, stainless steel</t>
  </si>
  <si>
    <t>SS-5406-08-04 - 1/2" Male Pipe x 1/4" Female Pipe, stainless steel</t>
  </si>
  <si>
    <t>SS-5406-12-06 - 3/4" Male Pipe x 3/8" Female Pipe, stainless steel</t>
  </si>
  <si>
    <t>SS-5406-12-08 - 3/4" Male Pipe x 1/2" Female Pipe, stainless steel</t>
  </si>
  <si>
    <t>SS-5406-16-08 - 1" Male Pipe to 1/2" Female Pipe, stainless steel</t>
  </si>
  <si>
    <t>SS-5406-16-12 - 1" Male Pipe x 3/4" Female Pipe, stainless steel</t>
  </si>
  <si>
    <t>SS-5500-08-08 - 1/2" Male Pipe x 1/2" Male Pipe 90°, stainless steel</t>
  </si>
  <si>
    <t>SS-5500-16-16 - 1" Male Pipe x 1" Male Pipe 90°, stainless steel</t>
  </si>
  <si>
    <t>SS-5602-08-08-08 - 1/2" m-f-f Pipe Tee, stainless steel</t>
  </si>
  <si>
    <t>SS-5604-08-08-08 - 1/2" f-m-f Pipe Tee, stainless steel</t>
  </si>
  <si>
    <t>SS-5605-12-12-12 - 3/4" Female Pipe Tee, stainless steel</t>
  </si>
  <si>
    <t>SS-5605-16-16-16 - 1" Female Pipe Tee, stainless steel</t>
  </si>
  <si>
    <t>SS-5652-08-08-08-08 - 1/2" Female Pipe Cross, stainless steel</t>
  </si>
  <si>
    <t>SS-5652-12-12-12-12 - 3/4" Female Pipe Cross, stainless steel</t>
  </si>
  <si>
    <t>SS-5652-16-16-16-16 - 1" Female Pipe Cross, stainless steel</t>
  </si>
  <si>
    <t>SS-6400-16-12 - 1" JIC 37° x 3/4" ORB Male (#12 thread), stainless steel</t>
  </si>
  <si>
    <t>SS-9005-12-12 - 3/4" Male JIC x 3/4" Male BSPP, stainless steel</t>
  </si>
  <si>
    <t>SS-9035-12-12 - 3/4" Male BSPP x 3/4" Female NPTF, stainless steel</t>
  </si>
  <si>
    <t>x</t>
  </si>
  <si>
    <t>xA</t>
  </si>
  <si>
    <t>oA</t>
  </si>
  <si>
    <t>RB125-100 &amp; RB100-075</t>
  </si>
  <si>
    <t>oC</t>
  </si>
  <si>
    <t>C</t>
  </si>
  <si>
    <t>HB075-100 &amp; CPLG075</t>
  </si>
  <si>
    <t>Vendor</t>
  </si>
  <si>
    <t>Parker 16GQ1B, 1" code 61 flange (O-ring face) to NPTF, stainless steel</t>
  </si>
  <si>
    <t>???</t>
  </si>
  <si>
    <t>SS-2404-04-04 - 1/4" JIC 37° x 1/4" Male Pipe, stainless steel</t>
  </si>
  <si>
    <t>SS-2404-06-04 - 3/8" JIC 37° x 1/4" Male Pipe, stainless steel</t>
  </si>
  <si>
    <t>SS-2501-08-08 - 1/2" JIC 37° x 1/2" Male Pipe 90°, stainless steel</t>
  </si>
  <si>
    <t>SS-2503-04-04 - 1/4" NPT male to 1/4" JIC male, 45°, stainless steel</t>
  </si>
  <si>
    <t>SS-6500-04-04 - 1/4" JIC female swivel to 1/4" JIC Male, 90°, stainless steel</t>
  </si>
  <si>
    <t>SS-6500-06-06 - 3/8" JIC female swivel to 3/8" JIC Male, 90°, stainless steel</t>
  </si>
  <si>
    <t>Banjo SL150-90</t>
  </si>
  <si>
    <t>Banjo RN150-125</t>
  </si>
  <si>
    <t>Banjo UV-125-FP</t>
  </si>
  <si>
    <t>Banjo HB125-100</t>
  </si>
  <si>
    <t>Banjo CV100, Low pressure check valve, cooling circulator outlet</t>
  </si>
  <si>
    <t>Intake Manifold</t>
  </si>
  <si>
    <t>Banjo V-150-SL</t>
  </si>
  <si>
    <t>Banjo HB150-100</t>
  </si>
  <si>
    <t>Banjo CV100, Check valves, boost pump outlet</t>
  </si>
  <si>
    <t>Banjo HB125/100-90</t>
  </si>
  <si>
    <t>Plastic Hydraulic Breather Cap 3/4" NPT HBF12P</t>
  </si>
  <si>
    <t>4596K845</t>
  </si>
  <si>
    <t>Sch, 80 PVC 3/4" pipe (5ft)</t>
  </si>
  <si>
    <t>Z-shaped Uni-strut bracket, for ball-valve bracket, 2-7/16" unistrut, 2-3/4' offset, 1/4" thick</t>
  </si>
  <si>
    <t>Banjo CPLG075</t>
  </si>
  <si>
    <t>A</t>
  </si>
  <si>
    <t>Banjo V-075-SL</t>
  </si>
  <si>
    <t>Banjo V075-SL</t>
  </si>
  <si>
    <t>X</t>
  </si>
  <si>
    <t>Banjo RB100-075</t>
  </si>
  <si>
    <t>Banjo RB125-100</t>
  </si>
  <si>
    <t xml:space="preserve">42 Gallon RV Concession Fresh and Gray Water Holding Tank | T-4200 </t>
  </si>
  <si>
    <t xml:space="preserve">2 Parker 16GQ1BSSK , 1" code 61 flange (O-ring face) to NPTF, stainless steel 16GQ1BSSK </t>
  </si>
  <si>
    <t xml:space="preserve">4 SS-2404-04-04 - 1/4" JIC 37° x 1/4" Male Pipe, stainless steel SS-2404-04-04-FG </t>
  </si>
  <si>
    <t xml:space="preserve">4 SS-2404-06-04 - 3/8" JIC 37° x 1/4" Male Pipe, stainless steel SS-2404-06-04-FG </t>
  </si>
  <si>
    <t xml:space="preserve">2 SS-2404-06-06 - 3/8" JIC 37° x 3/8" Male Pipe, stainless steel SS-2404-06-06-FG </t>
  </si>
  <si>
    <t xml:space="preserve">1 SS-2404-08-08 - 1/2" JIC 37° x 1/2" Male Pipe, stainless steel SS-2404-08-08-FG </t>
  </si>
  <si>
    <t xml:space="preserve">5 SS-2404-08-12 - 1/2" JIC 37° x 3/4" Male Pipe, stainless steel SS-2404-08-12-FG </t>
  </si>
  <si>
    <t xml:space="preserve">2 SS-2404-12-12 - 3/4" JIC 37° x 3/4" Male Pipe, stainless steel SS-2404-12-12-FG </t>
  </si>
  <si>
    <t xml:space="preserve">1 SS-2404-16-16 - 1" JIC 37° x 1" Male Pipe, stainless steel SS-2404-16-16-FG </t>
  </si>
  <si>
    <t xml:space="preserve">4 SS-2501-08-08 - 1/2" JIC 37° x 1/2" Male Pipe 90°, stainless steel SS-2501-08-08-FG </t>
  </si>
  <si>
    <t xml:space="preserve">1 SS-2501-12-12 - 3/4" JIC 37° x 3/4" Male Pipe 90°, stainless steel SS-2501-12-12-FG </t>
  </si>
  <si>
    <t xml:space="preserve">4 SS-2503-04-04 - 1/4" NPT male to 1/4" JIC male, 45°, stainless steel SS-2503-04-04-FG </t>
  </si>
  <si>
    <t xml:space="preserve">2 SS-5404-06-06 - 3/8" Male Pipe x 3/8" Male Pipe, stainless steel SS-5404-06-06-FG </t>
  </si>
  <si>
    <t xml:space="preserve">1 SS-5404-08-06 - 1/2" Male Pipe x 3/8" Male Pipe, stainless steel SS-5404-08-06-FG </t>
  </si>
  <si>
    <t xml:space="preserve">5 SS-5404-08-08 - 1/2" Male Pipe x 1/2" Male Pipe, stainless steel SS-5404-08-08-FG </t>
  </si>
  <si>
    <t xml:space="preserve">1 SS-5404-12-08 - 3/4" Male Pipe x 1/2" Male Pipe, stainless steel SS-5404-12-08-FG </t>
  </si>
  <si>
    <t xml:space="preserve">2 SS-5404-12-12 - 3/4" Male Pipe x 3/4" Male Pipe, stainless steel SS-5404-12-12-FG </t>
  </si>
  <si>
    <t xml:space="preserve">2 SS-5404-16-12 - 1" Male Pipe x 3/4" Male Pipe, stainless steel SS-5404-16-12-FG </t>
  </si>
  <si>
    <t xml:space="preserve">2 SS-5404-16-16 - 1" Male Pipe x 1" Male Pipe, stainless steel SS-5404-16-16-FG </t>
  </si>
  <si>
    <t xml:space="preserve">4 SS-5406-08-04 - 1/2" Male Pipe x 1/4" Female Pipe, stainless steel SS-5406-08-04-FG </t>
  </si>
  <si>
    <t xml:space="preserve">4 SS-5406-12-06 - 3/4" Male Pipe x 3/8" Female Pipe, stainless steel SS-5406-12-06-FG </t>
  </si>
  <si>
    <t xml:space="preserve">2 SS-5406-12-08 - 3/4" Male Pipe x 1/2" Female Pipe, stainless steel SS-5406-12-08-FG </t>
  </si>
  <si>
    <t xml:space="preserve">7 SS-5406-16-08 - 1" Male Pipe to 1/2" Female Pipe, stainless steel SS-5406-16-08-FG </t>
  </si>
  <si>
    <t xml:space="preserve">1 SS-5406-16-12 - 1" Male Pipe x 3/4" Female Pipe, stainless steel SS-5406-16-12-FG </t>
  </si>
  <si>
    <t xml:space="preserve">2 SS-5500-08-08 - 1/2" Male Pipe x 1/2" Male Pipe 90°, stainless steel SS-5500-08-08-FG </t>
  </si>
  <si>
    <t xml:space="preserve">4 SS-5500-16-16 - 1" Male Pipe x 1" Male Pipe 90°, stainless steel SS-5500-16-16-FG </t>
  </si>
  <si>
    <t xml:space="preserve">2 SS-5602-08-08-08 - 1/2" m-f-f Pipe Tee, stainless steel SS-5602-08-08-08-FG </t>
  </si>
  <si>
    <t xml:space="preserve">1 SS-5604-08-08-08 - 1/2" f-m-f Pipe Tee, stainless steel SS-5604-08-08-08-FG </t>
  </si>
  <si>
    <t xml:space="preserve">1 SS-5605-12-12-12 - 3/4" Female Pipe Tee, stainless steel SS-5605-12-12-12-FG </t>
  </si>
  <si>
    <t xml:space="preserve">1 SS-5605-16-16-16 - 1" Female Pipe Tee, stainless steel SS-5605-16-16-16-FG </t>
  </si>
  <si>
    <t xml:space="preserve">2 SS-5652-08-08-08-08 - 1/2" Female Pipe Cross, stainless steel SS-5652-08-08-08-08-FG </t>
  </si>
  <si>
    <t xml:space="preserve">2 SS-6400-16-12 - 1" JIC 37° x 3/4" ORB Male (#12 thread), stainless steel SS-6400-16-12-FG </t>
  </si>
  <si>
    <t xml:space="preserve">4 SS-6500-04-04 - 1/4" JIC female swivel to 1/4" JIC Male, 90°, stainless steel SS-6500-04-04-FG </t>
  </si>
  <si>
    <t xml:space="preserve">2 SS-6500-06-06 - 3/8" JIC female swivel to 3/8" JIC Male, 90°, stainless steel SS-6500-06-06-FG </t>
  </si>
  <si>
    <t xml:space="preserve">2 SS-6600-06-06-06 - 3/8" JIC tee, m-f-m, female swivel, stainless steel SS-6600-06-06-06-FG </t>
  </si>
  <si>
    <t>SS-2404-06-04-FG- 3/8" JIC 37° x 1/4" Male Pipe, stainless steel</t>
  </si>
  <si>
    <t>SS-2404-06-06-FG - 3/8" JIC 37° x 3/8" Male Pipe, stainless steel</t>
  </si>
  <si>
    <t>SS-2404-08-08-FG - 1/2" JIC 37° x 1/2" Male Pipe, stainless steel</t>
  </si>
  <si>
    <t>SS-2404-08-12-FG - 1/2" JIC 37° x 3/4" Male Pipe, stainless steel</t>
  </si>
  <si>
    <t>SS-2404-12-12-FG - 3/4" JIC 37° x 3/4" Male Pipe, stainless steel</t>
  </si>
  <si>
    <t>SS-2404-16-16-FG - 1" JIC 37° x 1" Male Pipe, stainless steel</t>
  </si>
  <si>
    <t>SS-2501-08-08-FG - 1/2" JIC 37° x 1/2" Male Pipe 90°, stainless steel</t>
  </si>
  <si>
    <t>SS-2501-12-12-FG - 3/4" JIC 37° x 3/4" Male Pipe 90°, stainless steel</t>
  </si>
  <si>
    <t>SS-2503-04-04-FG - 1/4" NPT male to 1/4" JIC male, 45°, stainless steel</t>
  </si>
  <si>
    <t>SS-5404-06-06-FG - 3/8" Male Pipe x 3/8" Male Pipe, stainless steel</t>
  </si>
  <si>
    <t>SS-5404-08-06-FG - 1/2" Male Pipe x 3/8" Male Pipe, stainless steel</t>
  </si>
  <si>
    <t>SS-5404-08-08-FG - 1/2" Male Pipe x 1/2" Male Pipe, stainless steel</t>
  </si>
  <si>
    <t>SS-5404-12-08-FG - 3/4" Male Pipe x 1/2" Male Pipe, stainless steel</t>
  </si>
  <si>
    <t>SS-5404-12-12-FG - 3/4" Male Pipe x 3/4" Male Pipe, stainless steel</t>
  </si>
  <si>
    <t>SS-5404-16-16-FG - 1" Male Pipe x 1" Male Pipe, stainless steel</t>
  </si>
  <si>
    <t>SS-5406-08-04-FG - 1/2" Male Pipe x 1/4" Female Pipe, stainless steel</t>
  </si>
  <si>
    <t>SS-5406-12-06-FG - 3/4" Male Pipe x 3/8" Female Pipe, stainless steel</t>
  </si>
  <si>
    <t>SS-5406-12-08-FG - 3/4" Male Pipe x 1/2" Female Pipe, stainless steel</t>
  </si>
  <si>
    <t>SS-5406-16-08-FG - 1" Male Pipe to 1/2" Female Pipe, stainless steel</t>
  </si>
  <si>
    <t>SS-5406-16-12-FG - 1" Male Pipe x 3/4" Female Pipe, stainless steel</t>
  </si>
  <si>
    <t>SS-5500-08-08-FG - 1/2" Male Pipe x 1/2" Male Pipe 90°, stainless steel</t>
  </si>
  <si>
    <t>SS-5500-16-16-FG - 1" Male Pipe x 1" Male Pipe 90°, stainless steel</t>
  </si>
  <si>
    <t>SS-5602-08-08-08-FG - 1/2" m-f-f Pipe Tee, stainless steel</t>
  </si>
  <si>
    <t>SS-5604-08-08-08-FG - 1/2" f-m-f Pipe Tee, stainless steel</t>
  </si>
  <si>
    <t>SS-5605-12-12-12-FG - 3/4" Female Pipe Tee, stainless steel</t>
  </si>
  <si>
    <t>SS-5605-16-16-16-FG - 1" Female Pipe Tee, stainless steel</t>
  </si>
  <si>
    <t>SS-5652-08-08-08-08-FG - 1/2" Female Pipe Cross, stainless steel</t>
  </si>
  <si>
    <t>SS-5652-12-12-12-12-FG - 3/4" Female Pipe Cross, stainless steel</t>
  </si>
  <si>
    <t>SS-5652-16-16-16-16-FG - 1" Female Pipe Cross, stainless steel</t>
  </si>
  <si>
    <t>SS-6400-16-12-FG - 1" JIC 37° x 3/4" ORB Male (#12 thread), stainless steel</t>
  </si>
  <si>
    <t>SS-6500-04-04-FG - 1/4" JIC female swivel to 1/4" JIC Male, 90°, stainless steel</t>
  </si>
  <si>
    <t>SS-6500-06-06-FG - 3/8" JIC female swivel to 3/8" JIC Male, 90°, stainless steel</t>
  </si>
  <si>
    <t>SS-6600-06-06-06-FG - 3/8" JIC tee, m-f-m, female swivel, stainless steel</t>
  </si>
  <si>
    <t>SS-2404-04-04-FG - 1/4" JIC 37° x 1/4" Male Pipe, stainless steel</t>
  </si>
  <si>
    <t>H</t>
  </si>
  <si>
    <t>M</t>
  </si>
  <si>
    <t>ordered 1 extra</t>
  </si>
  <si>
    <t>Central Hydaulics</t>
  </si>
  <si>
    <t>vendor/ordered</t>
  </si>
  <si>
    <t>recorded in BOM</t>
  </si>
  <si>
    <t>v</t>
  </si>
  <si>
    <t>Alloy Steel Socket Nut 3/8"-16 Thread Size</t>
  </si>
  <si>
    <t>92066A031</t>
  </si>
  <si>
    <t xml:space="preserve">GEARWRENCH 1/2" Chrome Hex Bit 1/2" Drive Socket </t>
  </si>
  <si>
    <t>90492A210</t>
  </si>
  <si>
    <t>Hairpin Cotter Pins for 1-1/4"-1-1/2" Pin Diameter, 1/4" Wire Diameter, 5 Pack</t>
  </si>
  <si>
    <t>Banjo RN075-050</t>
  </si>
  <si>
    <t>strut channel, 1/8" plate, bracket</t>
  </si>
  <si>
    <t>strut channel, bracket</t>
  </si>
  <si>
    <t>strut through-hole, bracket</t>
  </si>
  <si>
    <t>Req. bolt length</t>
  </si>
  <si>
    <t>total joint thickness</t>
  </si>
  <si>
    <t>nut thickness</t>
  </si>
  <si>
    <t>Washer 2</t>
  </si>
  <si>
    <t>Washer 1</t>
  </si>
  <si>
    <t>Plate thickness</t>
  </si>
  <si>
    <t>Bracket thickness</t>
  </si>
  <si>
    <t>Joint desc</t>
  </si>
  <si>
    <t>qty HP</t>
  </si>
  <si>
    <t>qty LP</t>
  </si>
  <si>
    <t>strut channel, strut through-hole</t>
  </si>
  <si>
    <t>strut through-hole, strut through-hole</t>
  </si>
  <si>
    <t>Strut 1</t>
  </si>
  <si>
    <t>Strut 2</t>
  </si>
  <si>
    <t>strut channel, 1/8" plate</t>
  </si>
  <si>
    <t>strut through-hole, 1/8" plate</t>
  </si>
  <si>
    <t>qty washers</t>
  </si>
  <si>
    <t>qty bolts</t>
  </si>
  <si>
    <t>Nom. Bolt length</t>
  </si>
  <si>
    <t>1"</t>
  </si>
  <si>
    <t>1.25"</t>
  </si>
  <si>
    <t>no. washers</t>
  </si>
  <si>
    <t>1.5"</t>
  </si>
  <si>
    <t>Bolt</t>
  </si>
  <si>
    <t>total</t>
  </si>
  <si>
    <t>1/2" x 1.062" OD  Yellow Zinc SAE Washer, Pack of 50</t>
  </si>
  <si>
    <t>Fasteners for Accumulator Racks</t>
  </si>
  <si>
    <t>Low-pressure accumulator and Power Electronics rack</t>
  </si>
  <si>
    <t>Socket Head Cap Screws, 1/2"-13 1in, pack of 10</t>
  </si>
  <si>
    <t>1/4"-20 x 1/2" Hex Drive Button Socket Cap Screw</t>
  </si>
  <si>
    <t>hex nut</t>
  </si>
  <si>
    <t>unitstrut nut</t>
  </si>
  <si>
    <t>Total</t>
  </si>
  <si>
    <t>qty hex nut</t>
  </si>
  <si>
    <t>qty unitstrut nut</t>
  </si>
  <si>
    <t>washers for mounting low-pressure return manifold</t>
  </si>
  <si>
    <t>bolts for mounting low-pressure return manifold</t>
  </si>
  <si>
    <t>1/2"-13 x 5-1/2" L 3/8" Hex Drive Socket Head Cap Screw</t>
  </si>
  <si>
    <t>Spring Nut Anti-Rotation: 1/2"-13 Thread Size, 1/2 in Bolt Size, Steel, 25pk Electroplated</t>
  </si>
  <si>
    <t>4A986</t>
  </si>
  <si>
    <t xml:space="preserve">1/2"-13 Yellow Zinc Finish Grade 8 Finished Hex Nut </t>
  </si>
  <si>
    <t>Socket Head Cap Screws, 1/2"-13 1-1/2in, pack of 10</t>
  </si>
  <si>
    <t>29DU64</t>
  </si>
  <si>
    <t>22TR59</t>
  </si>
  <si>
    <t>1/2"-13 Yellow Zinc Finish Grade 8 Finished Hex Nut, 50pk</t>
  </si>
  <si>
    <t>3HED8</t>
  </si>
  <si>
    <t>1/2" x 1.062" OD  Yellow Zinc SAE Washer, Pack of 25</t>
  </si>
  <si>
    <t>6YPJ9</t>
  </si>
  <si>
    <t>1MKE2</t>
  </si>
  <si>
    <t>1MKA1</t>
  </si>
  <si>
    <t xml:space="preserve">Rubber strip, adhesive-backed, 3/4"x10'x3/32" </t>
  </si>
  <si>
    <t>56DC59</t>
  </si>
  <si>
    <t>Tools</t>
  </si>
  <si>
    <t>5/8"-18 tap, taper with 1-13/16 thread length</t>
  </si>
  <si>
    <t>50CC05</t>
  </si>
  <si>
    <t>steel flat bar, 2"x0.125", 90" lengths</t>
  </si>
  <si>
    <t>steel flat bar, 12"x0.125", 58" lengths</t>
  </si>
  <si>
    <t>Req.: steel bar, 2"x58'x0.125" (qty 3) &amp; steel bar, 2"x3'x0.125" (qty 1),  ordered as:  90" 3x (covers material req. for "Low-pressure accumulator and Power Electronics rack"</t>
  </si>
  <si>
    <t>Req: 3' (qty 2), covered by 90" stock under "High-pressure accumulator and RO module rack"</t>
  </si>
  <si>
    <t>req: 32" lengths (qty 2), ordered as 64" qty 1</t>
  </si>
  <si>
    <t>steel bar, 6"x0.125", 64" lengths</t>
  </si>
  <si>
    <t>Accumulator racks</t>
  </si>
  <si>
    <t>Spotting drill bits</t>
  </si>
  <si>
    <t>https://www.amazon.com/gp/product/B09NKZMT19/ref=ox_sc_act_title_1?smid=A1DOA4F0QJWJ8F&amp;psc=1</t>
  </si>
  <si>
    <t>M182682AA</t>
  </si>
  <si>
    <t>Magnalloy</t>
  </si>
  <si>
    <t>SAE-AA to 184TC 6.81inch face-to-face</t>
  </si>
  <si>
    <t>Applied Industrial Technologies</t>
  </si>
  <si>
    <t>JIAWONG210317004</t>
  </si>
  <si>
    <t>Bonsicoky</t>
  </si>
  <si>
    <t>B08Z72YBZ2</t>
  </si>
  <si>
    <t>For Oil cooler water fittings</t>
  </si>
  <si>
    <t>3/4" 90deg street elbow, 304SS, LOW-PRESSURE</t>
  </si>
  <si>
    <t>Hydraulics Direct, 4/24/2024</t>
  </si>
  <si>
    <t>heavydutydepot.com</t>
  </si>
  <si>
    <t xml:space="preserve">Novus Technical </t>
  </si>
  <si>
    <t>Low-pressure Manifold Mounting</t>
  </si>
  <si>
    <t>in lab stock</t>
  </si>
  <si>
    <t>missed 1 on first order</t>
  </si>
  <si>
    <t>1 missing from order, reorder</t>
  </si>
  <si>
    <t>U-bolt, 1 1/8" ID, 2.25in Lg</t>
  </si>
  <si>
    <t>8875T852</t>
  </si>
  <si>
    <t>SAE Washer: For Screw Size 1/4 in, Steel, Grade 8, Zinc Yellow, 0.281 in In Dia, 100 PK</t>
  </si>
  <si>
    <t>6YPJ5</t>
  </si>
  <si>
    <t>4A974</t>
  </si>
  <si>
    <t>Strut channel, 1-5/8 x 13/16 14ga painted, 10ft</t>
  </si>
  <si>
    <t>33125T54</t>
  </si>
  <si>
    <t>4UJ42</t>
  </si>
  <si>
    <t>Multi-Purpose Bearing Grease</t>
  </si>
  <si>
    <t>Grease Gun</t>
  </si>
  <si>
    <t>33RL90</t>
  </si>
  <si>
    <t>Grease Fittings</t>
  </si>
  <si>
    <t>52NZ29</t>
  </si>
  <si>
    <t>Electrical hardware</t>
  </si>
  <si>
    <t>VELCRO Cable Ties</t>
  </si>
  <si>
    <t>WAGO 221 Lever-Nuts</t>
  </si>
  <si>
    <t>Junction box 5.9x5.9x2.8 inch</t>
  </si>
  <si>
    <t>4-pin Deutch DT Connectors, set of 12</t>
  </si>
  <si>
    <t>E-Stop switches with box</t>
  </si>
  <si>
    <t>Cable gland kit, 72 pcs</t>
  </si>
  <si>
    <t>Wiring duct, 6ft</t>
  </si>
  <si>
    <t>3EXV7</t>
  </si>
  <si>
    <t>Wiring duct cover, 6ft</t>
  </si>
  <si>
    <t>3EYE3</t>
  </si>
  <si>
    <t>Wood screws, sz 8 1/2in length</t>
  </si>
  <si>
    <t>1KU96</t>
  </si>
  <si>
    <t>T-Slot Nut</t>
  </si>
  <si>
    <t>824TJ8</t>
  </si>
  <si>
    <t>ordered one extra</t>
  </si>
  <si>
    <t>not used</t>
  </si>
  <si>
    <t>not used, used HB075-90 instead</t>
  </si>
  <si>
    <t>Banjo HBF100</t>
  </si>
  <si>
    <t>SOCKET ADAPTER SOT-23 TO 6DIP</t>
  </si>
  <si>
    <t>A879AR-ND</t>
  </si>
  <si>
    <t>DigiKey</t>
  </si>
  <si>
    <t>505-LTC6992HS6-1#WTRMPBFCT-ND</t>
  </si>
  <si>
    <t>LTC6992 voltage controlled PWM generator</t>
  </si>
  <si>
    <t>3/16 in spacer for ball-valve bracket</t>
  </si>
  <si>
    <t>1/8 in spacer for z shaped bracket</t>
  </si>
  <si>
    <t>Grainger, 3/15/2024. Invoice 157696166</t>
  </si>
  <si>
    <t>Grainger, 10/2/2024. Invoice 168413854</t>
  </si>
  <si>
    <t>Grainger, 6/12/2024. Invoice 162572030</t>
  </si>
  <si>
    <t>not in use</t>
  </si>
  <si>
    <t>SS-5600-08-08-08 - 1/2" Male Pipe Tee</t>
  </si>
  <si>
    <t>SS-2405-08-08 - 1/2" JIC (3/4"-16 thread) 37° x 1/2" Female Pipe</t>
  </si>
  <si>
    <t>Not in use</t>
  </si>
  <si>
    <t>Banjo HB050/075-90</t>
  </si>
  <si>
    <t>Banjo HBT075</t>
  </si>
  <si>
    <t>ASCO 8212A020L0100F2 ½” 2-WAY, NORMALLY OPEN COMPOSITE SOLENOID, 120VAC</t>
  </si>
  <si>
    <t>Duncan Co</t>
  </si>
  <si>
    <t>ASCO 8223G010 120/60,110/50, ½” NPT PORTS, 3/8” ORIFICE, 2-WAY NORMALLY CLOSED SS SOLENOID VALVE, Cv 3.2, ½” NPT CONDUIT W/ 18” LEAD WIRES</t>
  </si>
  <si>
    <t>design changed, not to be used</t>
  </si>
  <si>
    <t>SS-6400-12-12 - 3/4" JIC 37° x 3/4" ORB Male (#12 thread)</t>
  </si>
  <si>
    <t>SS-6501-12-12 - 3/4" Male Pipe x 3/4" JIC (1 1/16"-12 thread) 37° Swivel 90°</t>
  </si>
  <si>
    <t>ST6-16-0.065-2-feet - 1" Seamless Tubing 0.065 Thickness - 316 Stainless SN: S64ST6065010 - 2 Feet Cut Length</t>
  </si>
  <si>
    <t>Yor-Lok Straight Adapters, 1" Tube × 3/4" Female Threaded Pipe, 316SS</t>
  </si>
  <si>
    <t>5182K831</t>
  </si>
  <si>
    <t>Yor-Lok 90° Elbow Connectors, 1" Tube,  316SS</t>
  </si>
  <si>
    <t>Yor-Lok Straight Adapters, 1" Tube × 1" Male Threaded Pipe, 316SS</t>
  </si>
  <si>
    <t>5182K838</t>
  </si>
  <si>
    <t>5182K833</t>
  </si>
  <si>
    <t>use with 0.065" wall thickness tube for 1500psi rating</t>
  </si>
  <si>
    <t>Electronic components</t>
  </si>
  <si>
    <t>Digikey, 10/3/2024. Invoice 168398522</t>
  </si>
  <si>
    <t>Bulk hose</t>
  </si>
  <si>
    <t>Discount hydraulic hose</t>
  </si>
  <si>
    <t>R16-08 | 1/2" SAE 100R16 Hydraulic Hose (by the foot)</t>
  </si>
  <si>
    <t>SS-304C-06 | 3/8" JIC Cap (Stainless)</t>
  </si>
  <si>
    <t>SS-304C-08 | 1/2" JIC Cap (Stainless)</t>
  </si>
  <si>
    <t>SS-304C-12 | 3/4" JIC Cap (Stainless)</t>
  </si>
  <si>
    <t>R16-12 | 3/4" SAE 100R16 Hydraulic Hose (by the foot)</t>
  </si>
  <si>
    <t>Misc. fittings</t>
  </si>
  <si>
    <t>Glycerine, food grade</t>
  </si>
  <si>
    <t>B097LTHS4S</t>
  </si>
  <si>
    <t xml:space="preserve">Fork Terminal Connectors </t>
  </si>
  <si>
    <t xml:space="preserve">Fork Terminal Connectors, #4,#8,#10,1/4 Inch Fork Spade Connectors 22-16/16-14/12-10 AWG </t>
  </si>
  <si>
    <t>B0CHR8FFZB</t>
  </si>
  <si>
    <t>Mounting</t>
  </si>
  <si>
    <t>Strut channel, 1-5/8 x 1-5/8 12ga painted, 18in</t>
  </si>
  <si>
    <t>Strut Channel Bracket, 3-bolt flat elbow</t>
  </si>
  <si>
    <t>54FV90</t>
  </si>
  <si>
    <t>45YV21</t>
  </si>
  <si>
    <t>2HAK4</t>
  </si>
  <si>
    <t>Banjo SL100-90</t>
  </si>
  <si>
    <t>Unused, Ordered by mistake</t>
  </si>
  <si>
    <t>2 unused</t>
  </si>
  <si>
    <t>U-bolt, 1.75in ID</t>
  </si>
  <si>
    <t>4443K734</t>
  </si>
  <si>
    <t>74605A24</t>
  </si>
  <si>
    <t>Pipe Cement for Plastic Pipe</t>
  </si>
  <si>
    <t>3043T647</t>
  </si>
  <si>
    <t>Hex nuts, Grade 8, 1/4"-20, 100pk</t>
  </si>
  <si>
    <t>94895A029</t>
  </si>
  <si>
    <t>7879N43</t>
  </si>
  <si>
    <t>Water Hose, 3/4" ID, 1-1/8" OD (by the foot)</t>
  </si>
  <si>
    <t>Water Hose, 1/2" ID, 13/16" OD (by the foot)</t>
  </si>
  <si>
    <t>7879N29</t>
  </si>
  <si>
    <t>5415K14</t>
  </si>
  <si>
    <t>Worm-Drive Clamps, 1/2" Band Width, 11/16" to 1-1/4" Clamp ID, 10pk</t>
  </si>
  <si>
    <t>52375K17</t>
  </si>
  <si>
    <t>High-Pressure Soft PVC Plastic Tubing, 1" ID, 1-19/64" OD</t>
  </si>
  <si>
    <t>R4-16 | 1" SAE 100R4 Suction Hose (by the foot) (1.43" OD)</t>
  </si>
  <si>
    <t>Hydraulic Hose Support Clamp, 1-1/2" max OD</t>
  </si>
  <si>
    <t>Hydraulic Hose Support Clamp, 1-3/16" max OD</t>
  </si>
  <si>
    <t xml:space="preserve">Hose assem. 1", stainless steel, 85" (WEC driven pump) </t>
  </si>
  <si>
    <t>Hose assem. 3/4", stainless steel, 68" (Hyd. motor/generator)</t>
  </si>
  <si>
    <t>19inches, R16-12-ASB with SS-FJX-12-12 both ends</t>
  </si>
  <si>
    <t>36inches, R17-08-ASB with SS-FJX-08-08 both ends</t>
  </si>
  <si>
    <t>Missing one? Missed in order?</t>
  </si>
  <si>
    <t>29inches, R17-08-ASB with SS-FJX-08-08 both ends</t>
  </si>
  <si>
    <t>23inches, R17-06-ASB with  SS-FJX-06-06 both ends</t>
  </si>
  <si>
    <t>Hose assem. 3/8", stainless steel, 23" (Feed intake)</t>
  </si>
  <si>
    <t>Hose assem. 3/8", stainless steel, 18" (Feed connector)</t>
  </si>
  <si>
    <t>Hose assem. 3/8", stainless steel, 18" (Brine connector)</t>
  </si>
  <si>
    <t>Hose assem. 1/2", stainless steel, 38" (brine outlet)</t>
  </si>
  <si>
    <t>Hose assem. 1/4", stainless steel, 14" (Intermediate, 1)</t>
  </si>
  <si>
    <t>Hose assem. 1/4", stainless steel, 24" (Intermediate, 2)</t>
  </si>
  <si>
    <t>Hose assem. 1/4", stainless steel, 12" (Intermediate, 3)</t>
  </si>
  <si>
    <t>18inches, R17-06-ASB with SS-FJX-06-06 both ends</t>
  </si>
  <si>
    <t>24inches, R17-04-ASB with SS-FJX-04-04 both ends</t>
  </si>
  <si>
    <t>12inches, R17-04-ASB with SS-FJX-04-04 both ends</t>
  </si>
  <si>
    <t>14inches, R17-04-ASB with SS-FJX-04-04 both ends</t>
  </si>
  <si>
    <t>34inches, R17-06-ASB with SS-FJX-06-06 and SS-FJX90-06-06</t>
  </si>
  <si>
    <t>Hose assem. 1/2", stainless steel, 21" (switching valve, 1)</t>
  </si>
  <si>
    <t>21inches, R17-08-ASB with SS-MP-08-08 and SS-FJX90-08-08</t>
  </si>
  <si>
    <t>Hose assem. 1/2", stainless steel, 26" (switching valve, 2)</t>
  </si>
  <si>
    <t>26inches, R17-08-ASB with SS-MP-08-08 and SS-FJX90-08-08</t>
  </si>
  <si>
    <t>added with design change</t>
  </si>
  <si>
    <t>not used after design change</t>
  </si>
  <si>
    <t>NEMA L15-30P, 3P, 4W, Locking Plug</t>
  </si>
  <si>
    <t>B0015O77OW</t>
  </si>
  <si>
    <t>Leviton</t>
  </si>
  <si>
    <t>Discount Hydraulic Hose, 12/2/2024</t>
  </si>
  <si>
    <t>Hose assem. 3/4", stainless steel, 19" (10gal accumulator, upstream of orifice)</t>
  </si>
  <si>
    <t>Hose assem. 1/2", stainless steel, 36" (5gal accumulator, upstream of orifice)</t>
  </si>
  <si>
    <t>Hose assem. 1/2", stainless steel, 29" (5gal accum., downstream of orifice)</t>
  </si>
  <si>
    <t>Hose assem. 1/2", stainless steel, 23" (10gal accum., downstream of orifice)</t>
  </si>
  <si>
    <t>Instant Ocean Sea Salt</t>
  </si>
  <si>
    <t>38YR71</t>
  </si>
  <si>
    <t>38YR73</t>
  </si>
  <si>
    <t>3DTR9</t>
  </si>
  <si>
    <t>1MJZ5</t>
  </si>
  <si>
    <t>Power cord, 15A/250V, 14/3 AWG, 2ft</t>
  </si>
  <si>
    <t>B078RVS19R</t>
  </si>
  <si>
    <t>Junction box 3.1x3.1x1.9 inch</t>
  </si>
  <si>
    <t>B09VDBN9BL</t>
  </si>
  <si>
    <t>Project box, 3.3x2.3x1.37, w/ ears, 4pc</t>
  </si>
  <si>
    <t>B0CC9TSSH2</t>
  </si>
  <si>
    <t>Power cable, 18/3 AWG, 25ft</t>
  </si>
  <si>
    <t>B0D8KRKL4B</t>
  </si>
  <si>
    <t>3DTP9</t>
  </si>
  <si>
    <t>Rod gland repair, Central Hydraulics Labor</t>
  </si>
  <si>
    <t>Requested 2/28/25</t>
  </si>
  <si>
    <t>68inches, R16-12-ASB with SS-FJX-12-12 and SS-FJX90-12-12, 1.07"OD</t>
  </si>
  <si>
    <t>85inches, R17-16-ASB with SS-MP-16-16W and SS-FJX-16-16W, 1.48"OD</t>
  </si>
  <si>
    <t>Hydraulic Hose Support Clamp, 1-1/2" max OD, 10pk</t>
  </si>
  <si>
    <t>mcmaster</t>
  </si>
  <si>
    <t>8863T21</t>
  </si>
  <si>
    <t>Hydraulic Hose Support Clamp, 1-1/4" max OD, 10pk</t>
  </si>
  <si>
    <t>3225T14</t>
  </si>
  <si>
    <t>Hydraulic Hose Support Clamp, multi line 1-1/8" max OD, 5pk</t>
  </si>
  <si>
    <t>3225T215</t>
  </si>
  <si>
    <t>PBA150, RELAY SPST-NO/NC 250MA 0-250V</t>
  </si>
  <si>
    <t>requested 3/5/2025</t>
  </si>
  <si>
    <t>5656-PBA150-ND</t>
  </si>
  <si>
    <t>to replace one that was stripped</t>
  </si>
  <si>
    <t>48805K527</t>
  </si>
  <si>
    <t>4443K654</t>
  </si>
  <si>
    <t>48805K451</t>
  </si>
  <si>
    <t>1/2 NPT Tap, Uncoated High-Speed Steel, Plug Chamfer</t>
  </si>
  <si>
    <t>2525A175</t>
  </si>
  <si>
    <t>System fill and drain</t>
  </si>
  <si>
    <t>Flexzilla Garden Hose 5/8 in. x 75 ft, Heavy Duty, Lightweight, Durable, ZillaGreen - HFZG575YW-E</t>
  </si>
  <si>
    <t>Hibbent Faucet to Garden Hose Adapter Kit</t>
  </si>
  <si>
    <t>B09SG6LLRD</t>
  </si>
  <si>
    <t>(Pack of 5) 5/8"-18 x 4" L 1/2" Hex Drive ASTM A574 Black Oxide Alloy Steel Socket Head Cap Screw</t>
  </si>
  <si>
    <t>(Package of 20) Washer for 5/8" Screw Size, 0.656" ID, 1.312" OD</t>
  </si>
  <si>
    <t>Requested 11/13/2025</t>
  </si>
  <si>
    <t>91251A486</t>
  </si>
  <si>
    <t>(5-pack) Black-Oxide Alloy Steel Socket Head Screw, 5/8"-18 Thread Size, 3" Long</t>
  </si>
  <si>
    <t>Requested 11/26/2025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</si>
</sst>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\$#,##0"/>
    <numFmt numFmtId="165" formatCode="\$#,##0\ ;[Red]&quot;($&quot;#,##0\)"/>
    <numFmt numFmtId="166" formatCode="\$#,##0.00"/>
    <numFmt numFmtId="167" formatCode="&quot;$&quot;#,##0.00"/>
    <numFmt numFmtId="168" formatCode="&quot;$&quot;#,##0"/>
    <numFmt numFmtId="169" formatCode="m/d/yy"/>
  </numFmts>
  <fonts count="19" x14ac:knownFonts="1">
    <font>
      <sz val="10"/>
      <color rgb="FF000000"/>
      <name val="Times New Roman"/>
      <scheme val="minor"/>
    </font>
    <font>
      <sz val="11"/>
      <color theme="1"/>
      <name val="Times New Roman"/>
      <family val="2"/>
      <scheme val="minor"/>
    </font>
    <font>
      <sz val="11"/>
      <color theme="1"/>
      <name val="Times New Roman"/>
      <family val="2"/>
      <scheme val="minor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  <scheme val="minor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Times New Roman"/>
      <family val="1"/>
      <scheme val="minor"/>
    </font>
    <font>
      <sz val="8"/>
      <name val="Times New Roman"/>
      <family val="1"/>
      <scheme val="minor"/>
    </font>
    <font>
      <u/>
      <sz val="10"/>
      <color theme="10"/>
      <name val="Times New Roman"/>
      <family val="1"/>
      <scheme val="minor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16" fillId="0" borderId="0" applyNumberFormat="0" applyFill="0" applyBorder="0" applyAlignment="0" applyProtection="0"/>
    <xf numFmtId="0" fontId="1" fillId="0" borderId="0"/>
  </cellStyleXfs>
  <cellXfs count="58">
    <xf numFmtId="0" fontId="0" fillId="0" borderId="0" xfId="0"/>
    <xf numFmtId="0" fontId="3" fillId="0" borderId="0" xfId="0" applyFont="1" applyAlignment="1">
      <alignment wrapText="1"/>
    </xf>
    <xf numFmtId="164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0" fontId="3" fillId="0" borderId="0" xfId="0" applyFont="1"/>
    <xf numFmtId="0" fontId="4" fillId="0" borderId="0" xfId="0" applyFont="1" applyAlignment="1">
      <alignment wrapText="1"/>
    </xf>
    <xf numFmtId="166" fontId="5" fillId="0" borderId="0" xfId="0" applyNumberFormat="1" applyFont="1" applyAlignment="1">
      <alignment wrapText="1"/>
    </xf>
    <xf numFmtId="167" fontId="6" fillId="0" borderId="0" xfId="0" applyNumberFormat="1" applyFont="1"/>
    <xf numFmtId="0" fontId="5" fillId="0" borderId="0" xfId="0" applyFont="1"/>
    <xf numFmtId="168" fontId="5" fillId="0" borderId="0" xfId="0" applyNumberFormat="1" applyFont="1"/>
    <xf numFmtId="169" fontId="5" fillId="0" borderId="0" xfId="0" applyNumberFormat="1" applyFont="1"/>
    <xf numFmtId="166" fontId="5" fillId="0" borderId="0" xfId="0" applyNumberFormat="1" applyFont="1"/>
    <xf numFmtId="0" fontId="7" fillId="0" borderId="0" xfId="0" applyFont="1"/>
    <xf numFmtId="49" fontId="5" fillId="0" borderId="0" xfId="0" applyNumberFormat="1" applyFont="1" applyAlignment="1">
      <alignment wrapText="1"/>
    </xf>
    <xf numFmtId="14" fontId="5" fillId="0" borderId="0" xfId="0" applyNumberFormat="1" applyFont="1"/>
    <xf numFmtId="49" fontId="4" fillId="0" borderId="0" xfId="0" applyNumberFormat="1" applyFont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/>
    <xf numFmtId="0" fontId="8" fillId="0" borderId="0" xfId="0" applyFont="1"/>
    <xf numFmtId="0" fontId="9" fillId="0" borderId="0" xfId="0" applyFont="1" applyAlignment="1">
      <alignment wrapText="1"/>
    </xf>
    <xf numFmtId="0" fontId="5" fillId="0" borderId="0" xfId="0" applyFont="1" applyAlignment="1">
      <alignment wrapText="1"/>
    </xf>
    <xf numFmtId="3" fontId="5" fillId="0" borderId="0" xfId="0" applyNumberFormat="1" applyFont="1"/>
    <xf numFmtId="167" fontId="7" fillId="0" borderId="0" xfId="0" applyNumberFormat="1" applyFont="1"/>
    <xf numFmtId="0" fontId="10" fillId="0" borderId="0" xfId="0" applyFont="1" applyAlignment="1">
      <alignment wrapText="1"/>
    </xf>
    <xf numFmtId="14" fontId="7" fillId="0" borderId="0" xfId="0" applyNumberFormat="1" applyFont="1"/>
    <xf numFmtId="168" fontId="6" fillId="0" borderId="0" xfId="0" applyNumberFormat="1" applyFont="1"/>
    <xf numFmtId="0" fontId="11" fillId="0" borderId="0" xfId="0" applyFont="1"/>
    <xf numFmtId="8" fontId="7" fillId="0" borderId="0" xfId="0" applyNumberFormat="1" applyFont="1"/>
    <xf numFmtId="167" fontId="12" fillId="0" borderId="0" xfId="0" applyNumberFormat="1" applyFont="1"/>
    <xf numFmtId="0" fontId="9" fillId="0" borderId="0" xfId="0" applyFont="1"/>
    <xf numFmtId="165" fontId="9" fillId="0" borderId="0" xfId="0" applyNumberFormat="1" applyFont="1"/>
    <xf numFmtId="0" fontId="13" fillId="0" borderId="0" xfId="0" applyFont="1" applyAlignment="1">
      <alignment wrapText="1"/>
    </xf>
    <xf numFmtId="14" fontId="0" fillId="0" borderId="0" xfId="0" applyNumberFormat="1"/>
    <xf numFmtId="0" fontId="14" fillId="0" borderId="0" xfId="0" applyFont="1"/>
    <xf numFmtId="168" fontId="7" fillId="0" borderId="0" xfId="0" applyNumberFormat="1" applyFont="1"/>
    <xf numFmtId="165" fontId="5" fillId="0" borderId="0" xfId="0" applyNumberFormat="1" applyFont="1"/>
    <xf numFmtId="49" fontId="7" fillId="0" borderId="0" xfId="0" applyNumberFormat="1" applyFont="1" applyAlignment="1">
      <alignment wrapText="1"/>
    </xf>
    <xf numFmtId="3" fontId="7" fillId="0" borderId="0" xfId="0" applyNumberFormat="1" applyFont="1"/>
    <xf numFmtId="0" fontId="7" fillId="0" borderId="0" xfId="0" applyFont="1" applyAlignment="1">
      <alignment wrapText="1"/>
    </xf>
    <xf numFmtId="167" fontId="7" fillId="0" borderId="0" xfId="0" applyNumberFormat="1" applyFont="1" applyAlignment="1">
      <alignment horizontal="right"/>
    </xf>
    <xf numFmtId="167" fontId="0" fillId="0" borderId="0" xfId="0" applyNumberFormat="1"/>
    <xf numFmtId="166" fontId="7" fillId="0" borderId="0" xfId="0" applyNumberFormat="1" applyFont="1" applyAlignment="1">
      <alignment wrapText="1"/>
    </xf>
    <xf numFmtId="169" fontId="7" fillId="0" borderId="0" xfId="0" applyNumberFormat="1" applyFont="1"/>
    <xf numFmtId="166" fontId="7" fillId="0" borderId="0" xfId="0" applyNumberFormat="1" applyFont="1"/>
    <xf numFmtId="0" fontId="2" fillId="0" borderId="0" xfId="1"/>
    <xf numFmtId="14" fontId="6" fillId="0" borderId="0" xfId="0" applyNumberFormat="1" applyFont="1" applyAlignment="1">
      <alignment wrapText="1"/>
    </xf>
    <xf numFmtId="0" fontId="17" fillId="0" borderId="0" xfId="0" applyFont="1" applyAlignment="1">
      <alignment wrapText="1"/>
    </xf>
    <xf numFmtId="164" fontId="17" fillId="0" borderId="0" xfId="0" applyNumberFormat="1" applyFont="1"/>
    <xf numFmtId="3" fontId="17" fillId="0" borderId="0" xfId="0" applyNumberFormat="1" applyFont="1"/>
    <xf numFmtId="165" fontId="17" fillId="0" borderId="0" xfId="0" applyNumberFormat="1" applyFont="1"/>
    <xf numFmtId="0" fontId="17" fillId="0" borderId="0" xfId="0" applyFont="1"/>
    <xf numFmtId="0" fontId="18" fillId="0" borderId="0" xfId="0" applyFont="1" applyAlignment="1">
      <alignment wrapText="1"/>
    </xf>
    <xf numFmtId="14" fontId="14" fillId="0" borderId="0" xfId="0" applyNumberFormat="1" applyFont="1"/>
    <xf numFmtId="49" fontId="18" fillId="0" borderId="0" xfId="0" applyNumberFormat="1" applyFont="1" applyAlignment="1">
      <alignment wrapText="1"/>
    </xf>
    <xf numFmtId="165" fontId="7" fillId="0" borderId="0" xfId="0" applyNumberFormat="1" applyFont="1"/>
    <xf numFmtId="0" fontId="16" fillId="0" borderId="0" xfId="2"/>
    <xf numFmtId="0" fontId="16" fillId="0" borderId="0" xfId="2" applyAlignment="1">
      <alignment vertical="center" wrapText="1"/>
    </xf>
  </cellXfs>
  <cellStyles count="4">
    <cellStyle name="Hyperlink" xfId="2" builtinId="8"/>
    <cellStyle name="Normal" xfId="0" builtinId="0"/>
    <cellStyle name="Normal 2" xfId="1" xr:uid="{9DAFFF90-6765-43EB-8BA5-F15F3D0BE85D}"/>
    <cellStyle name="Normal 2 2" xfId="3" xr:uid="{D5863D2B-D840-411C-80C7-007D4E092A6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avydutydepot.com/product/lo-vejoy-68514437937-l225-coupling-hub-with-spline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ydraulicsdirect.com/SS-6400-Stainless-Steel-SAE-O-Ring-Boss-p/ss-6400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7"/>
  <sheetViews>
    <sheetView tabSelected="1" zoomScaleNormal="100" workbookViewId="0">
      <pane xSplit="1" ySplit="1" topLeftCell="B347" activePane="bottomRight" state="frozen"/>
      <selection pane="topRight" activeCell="B1" sqref="B1"/>
      <selection pane="bottomLeft" activeCell="A2" sqref="A2"/>
      <selection pane="bottomRight" activeCell="E368" sqref="E368"/>
    </sheetView>
  </sheetViews>
  <sheetFormatPr defaultColWidth="14.33203125" defaultRowHeight="15" customHeight="1" x14ac:dyDescent="0.2"/>
  <cols>
    <col min="1" max="1" width="58.33203125" style="34" customWidth="1"/>
    <col min="2" max="2" width="19.33203125" style="34" customWidth="1"/>
    <col min="3" max="3" width="10.1640625" style="34" customWidth="1"/>
    <col min="4" max="4" width="9.83203125" style="34" customWidth="1"/>
    <col min="5" max="5" width="27.33203125" style="34" customWidth="1"/>
    <col min="6" max="6" width="20.6640625" style="34" customWidth="1"/>
    <col min="7" max="7" width="23.33203125" style="34" customWidth="1"/>
    <col min="8" max="8" width="13.33203125" style="34" customWidth="1"/>
    <col min="9" max="9" width="30.83203125" style="34" customWidth="1"/>
    <col min="10" max="11" width="11.33203125" style="34" customWidth="1"/>
    <col min="12" max="26" width="13.33203125" style="34" customWidth="1"/>
    <col min="27" max="16384" width="14.33203125" style="34"/>
  </cols>
  <sheetData>
    <row r="1" spans="1:10" ht="12.75" customHeight="1" x14ac:dyDescent="0.2">
      <c r="A1" s="47" t="s">
        <v>0</v>
      </c>
      <c r="B1" s="48" t="s">
        <v>1</v>
      </c>
      <c r="C1" s="49" t="s">
        <v>2</v>
      </c>
      <c r="D1" s="50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</row>
    <row r="2" spans="1:10" ht="12.75" customHeight="1" x14ac:dyDescent="0.2">
      <c r="A2" s="47" t="s">
        <v>10</v>
      </c>
      <c r="B2" s="50">
        <f>SUM(D3:D192)</f>
        <v>4681.6199999999981</v>
      </c>
      <c r="C2" s="49"/>
      <c r="E2" s="51"/>
      <c r="F2" s="51"/>
      <c r="G2" s="51"/>
      <c r="H2" s="51"/>
      <c r="I2" s="51"/>
      <c r="J2" s="51"/>
    </row>
    <row r="3" spans="1:10" ht="12.75" customHeight="1" x14ac:dyDescent="0.2">
      <c r="A3" s="52" t="s">
        <v>707</v>
      </c>
      <c r="B3" s="50">
        <f>SUM(D4:D10)</f>
        <v>602.85</v>
      </c>
      <c r="C3" s="49"/>
      <c r="E3" s="51"/>
      <c r="F3" s="51"/>
      <c r="G3" s="51"/>
      <c r="H3" s="51"/>
      <c r="I3" s="51"/>
      <c r="J3" s="51"/>
    </row>
    <row r="4" spans="1:10" ht="12.75" customHeight="1" x14ac:dyDescent="0.2">
      <c r="A4" s="42" t="s">
        <v>744</v>
      </c>
      <c r="B4" s="8">
        <v>8.9499999999999993</v>
      </c>
      <c r="C4" s="13">
        <v>20</v>
      </c>
      <c r="D4" s="35">
        <f>C4*B4</f>
        <v>179</v>
      </c>
      <c r="E4" s="43">
        <v>45631</v>
      </c>
      <c r="F4" s="44" t="s">
        <v>708</v>
      </c>
      <c r="G4" s="13"/>
      <c r="H4" s="13"/>
      <c r="I4" s="13"/>
      <c r="J4" s="13"/>
    </row>
    <row r="5" spans="1:10" ht="12.6" customHeight="1" x14ac:dyDescent="0.2">
      <c r="A5" s="17" t="s">
        <v>713</v>
      </c>
      <c r="B5" s="8">
        <v>4.5599999999999996</v>
      </c>
      <c r="C5" s="18">
        <v>20</v>
      </c>
      <c r="D5" s="26">
        <f t="shared" ref="D5:D21" si="0">B5*C5</f>
        <v>91.199999999999989</v>
      </c>
      <c r="E5" s="43">
        <v>45631</v>
      </c>
      <c r="F5" s="44" t="s">
        <v>708</v>
      </c>
      <c r="G5" s="19"/>
      <c r="H5" s="18"/>
      <c r="I5" s="18"/>
      <c r="J5" s="13"/>
    </row>
    <row r="6" spans="1:10" ht="12.6" customHeight="1" x14ac:dyDescent="0.2">
      <c r="A6" s="17" t="s">
        <v>709</v>
      </c>
      <c r="B6" s="8">
        <v>3.12</v>
      </c>
      <c r="C6" s="18">
        <v>20</v>
      </c>
      <c r="D6" s="26">
        <f t="shared" si="0"/>
        <v>62.400000000000006</v>
      </c>
      <c r="E6" s="43">
        <v>45631</v>
      </c>
      <c r="F6" s="44" t="s">
        <v>708</v>
      </c>
      <c r="G6" s="19"/>
      <c r="H6" s="18"/>
      <c r="I6" s="18"/>
      <c r="J6" s="18"/>
    </row>
    <row r="7" spans="1:10" ht="12.6" customHeight="1" x14ac:dyDescent="0.2">
      <c r="A7" s="17" t="s">
        <v>743</v>
      </c>
      <c r="B7" s="8">
        <v>3.77</v>
      </c>
      <c r="C7" s="18">
        <v>25</v>
      </c>
      <c r="D7" s="26">
        <v>94.25</v>
      </c>
      <c r="E7" s="43">
        <v>45700</v>
      </c>
      <c r="F7" s="44" t="s">
        <v>141</v>
      </c>
      <c r="G7" s="34" t="s">
        <v>742</v>
      </c>
      <c r="H7" s="18"/>
      <c r="I7" s="18"/>
      <c r="J7" s="18"/>
    </row>
    <row r="8" spans="1:10" ht="12.6" customHeight="1" x14ac:dyDescent="0.2">
      <c r="A8" s="17" t="s">
        <v>737</v>
      </c>
      <c r="B8" s="8">
        <v>3.3</v>
      </c>
      <c r="C8" s="18">
        <v>20</v>
      </c>
      <c r="D8" s="26">
        <f t="shared" si="0"/>
        <v>66</v>
      </c>
      <c r="E8" s="43">
        <v>45670</v>
      </c>
      <c r="F8" s="44" t="s">
        <v>141</v>
      </c>
      <c r="G8" t="s">
        <v>736</v>
      </c>
      <c r="H8" s="18"/>
      <c r="I8" s="18"/>
      <c r="J8" s="18"/>
    </row>
    <row r="9" spans="1:10" ht="12.6" customHeight="1" x14ac:dyDescent="0.2">
      <c r="A9" s="17" t="s">
        <v>737</v>
      </c>
      <c r="B9" s="8">
        <v>3.3</v>
      </c>
      <c r="C9" s="18">
        <v>20</v>
      </c>
      <c r="D9" s="26">
        <f t="shared" ref="D9" si="1">B9*C9</f>
        <v>66</v>
      </c>
      <c r="E9" s="43"/>
      <c r="F9" s="44" t="s">
        <v>141</v>
      </c>
      <c r="G9" t="s">
        <v>736</v>
      </c>
      <c r="H9" s="18"/>
      <c r="I9" s="18"/>
      <c r="J9" s="18"/>
    </row>
    <row r="10" spans="1:10" ht="12.6" customHeight="1" x14ac:dyDescent="0.2">
      <c r="A10" t="s">
        <v>738</v>
      </c>
      <c r="B10" s="8">
        <v>2.2000000000000002</v>
      </c>
      <c r="C10" s="18">
        <v>20</v>
      </c>
      <c r="D10" s="26">
        <f t="shared" si="0"/>
        <v>44</v>
      </c>
      <c r="E10" s="43">
        <v>45670</v>
      </c>
      <c r="F10" s="44" t="s">
        <v>141</v>
      </c>
      <c r="G10" t="s">
        <v>739</v>
      </c>
      <c r="H10" s="18"/>
      <c r="I10" s="18"/>
      <c r="J10" s="18"/>
    </row>
    <row r="11" spans="1:10" ht="12.6" customHeight="1" x14ac:dyDescent="0.2">
      <c r="A11" t="s">
        <v>741</v>
      </c>
      <c r="B11">
        <v>12.07</v>
      </c>
      <c r="C11" s="18">
        <v>4</v>
      </c>
      <c r="D11" s="26">
        <f t="shared" si="0"/>
        <v>48.28</v>
      </c>
      <c r="E11" s="43">
        <v>45670</v>
      </c>
      <c r="F11" s="44" t="s">
        <v>141</v>
      </c>
      <c r="G11" t="s">
        <v>740</v>
      </c>
      <c r="H11" s="57"/>
      <c r="I11" s="18"/>
      <c r="J11" s="18"/>
    </row>
    <row r="12" spans="1:10" ht="12.6" customHeight="1" x14ac:dyDescent="0.2">
      <c r="A12" s="17" t="s">
        <v>745</v>
      </c>
      <c r="B12" s="8">
        <v>4.1500000000000004</v>
      </c>
      <c r="C12" s="18">
        <v>4</v>
      </c>
      <c r="D12" s="26">
        <f t="shared" si="0"/>
        <v>16.600000000000001</v>
      </c>
      <c r="E12" s="25">
        <v>45706</v>
      </c>
      <c r="F12" s="18" t="s">
        <v>122</v>
      </c>
      <c r="G12" t="s">
        <v>782</v>
      </c>
      <c r="H12" s="57"/>
      <c r="I12" s="18"/>
      <c r="J12" s="18"/>
    </row>
    <row r="13" spans="1:10" ht="12.6" customHeight="1" x14ac:dyDescent="0.2">
      <c r="A13" s="17" t="s">
        <v>798</v>
      </c>
      <c r="B13" s="8">
        <v>8.5399999999999991</v>
      </c>
      <c r="C13" s="18">
        <v>1</v>
      </c>
      <c r="D13" s="26">
        <f t="shared" ref="D13" si="2">B13*C13</f>
        <v>8.5399999999999991</v>
      </c>
      <c r="E13" s="25"/>
      <c r="F13" s="18" t="s">
        <v>799</v>
      </c>
      <c r="G13" s="34" t="s">
        <v>800</v>
      </c>
      <c r="H13" s="57"/>
      <c r="I13" s="18"/>
      <c r="J13" s="18"/>
    </row>
    <row r="14" spans="1:10" ht="12.6" customHeight="1" x14ac:dyDescent="0.2">
      <c r="A14" s="17" t="s">
        <v>746</v>
      </c>
      <c r="B14" s="8">
        <v>3.56</v>
      </c>
      <c r="C14" s="18">
        <v>3</v>
      </c>
      <c r="D14" s="26">
        <f t="shared" si="0"/>
        <v>10.68</v>
      </c>
      <c r="E14" s="25">
        <v>45706</v>
      </c>
      <c r="F14" s="18" t="s">
        <v>122</v>
      </c>
      <c r="G14" t="s">
        <v>781</v>
      </c>
      <c r="H14" s="57"/>
      <c r="I14" s="18"/>
      <c r="J14" s="18"/>
    </row>
    <row r="15" spans="1:10" ht="12.6" customHeight="1" x14ac:dyDescent="0.2">
      <c r="A15" s="17" t="s">
        <v>801</v>
      </c>
      <c r="B15" s="8">
        <v>12.57</v>
      </c>
      <c r="C15" s="18">
        <v>1</v>
      </c>
      <c r="D15" s="26">
        <f t="shared" si="0"/>
        <v>12.57</v>
      </c>
      <c r="E15" s="25"/>
      <c r="F15" s="18" t="s">
        <v>799</v>
      </c>
      <c r="G15" s="34" t="s">
        <v>802</v>
      </c>
      <c r="H15" s="57"/>
      <c r="I15" s="18"/>
      <c r="J15" s="18"/>
    </row>
    <row r="16" spans="1:10" ht="12.6" customHeight="1" x14ac:dyDescent="0.2">
      <c r="A16" s="17" t="s">
        <v>803</v>
      </c>
      <c r="B16" s="8">
        <v>10.55</v>
      </c>
      <c r="C16" s="18">
        <v>1</v>
      </c>
      <c r="D16" s="26">
        <f t="shared" ref="D16" si="3">B16*C16</f>
        <v>10.55</v>
      </c>
      <c r="E16" s="25"/>
      <c r="F16" s="18" t="s">
        <v>799</v>
      </c>
      <c r="G16" t="s">
        <v>804</v>
      </c>
      <c r="H16" s="57"/>
      <c r="I16" s="18"/>
      <c r="J16" s="18"/>
    </row>
    <row r="17" spans="1:10" ht="12.6" customHeight="1" x14ac:dyDescent="0.2">
      <c r="A17"/>
      <c r="B17" s="8"/>
      <c r="C17" s="18"/>
      <c r="D17" s="26"/>
      <c r="E17" s="25"/>
      <c r="F17" s="44"/>
      <c r="G17"/>
      <c r="H17" s="57"/>
      <c r="I17" s="18"/>
      <c r="J17" s="18"/>
    </row>
    <row r="18" spans="1:10" ht="12.75" customHeight="1" x14ac:dyDescent="0.2">
      <c r="A18" s="52" t="s">
        <v>714</v>
      </c>
      <c r="B18" s="50">
        <f>SUM(D19:D22)</f>
        <v>130.69999999999999</v>
      </c>
      <c r="C18" s="49"/>
      <c r="E18" s="51"/>
      <c r="F18" s="51"/>
      <c r="G18" s="51"/>
      <c r="H18" s="51"/>
      <c r="I18" s="51"/>
      <c r="J18" s="51"/>
    </row>
    <row r="19" spans="1:10" ht="12.6" customHeight="1" x14ac:dyDescent="0.2">
      <c r="A19" s="17" t="s">
        <v>710</v>
      </c>
      <c r="B19" s="8">
        <v>7.61</v>
      </c>
      <c r="C19" s="18">
        <v>2</v>
      </c>
      <c r="D19" s="26">
        <f t="shared" si="0"/>
        <v>15.22</v>
      </c>
      <c r="E19" s="43">
        <v>45631</v>
      </c>
      <c r="F19" s="44" t="s">
        <v>708</v>
      </c>
      <c r="G19" s="19"/>
      <c r="H19" s="18"/>
      <c r="I19" s="18"/>
      <c r="J19" s="18"/>
    </row>
    <row r="20" spans="1:10" ht="12.6" customHeight="1" x14ac:dyDescent="0.2">
      <c r="A20" s="17" t="s">
        <v>711</v>
      </c>
      <c r="B20" s="8">
        <v>9.1</v>
      </c>
      <c r="C20" s="18">
        <v>8</v>
      </c>
      <c r="D20" s="26">
        <f t="shared" si="0"/>
        <v>72.8</v>
      </c>
      <c r="E20" s="43">
        <v>45631</v>
      </c>
      <c r="F20" s="44" t="s">
        <v>708</v>
      </c>
      <c r="G20" s="19"/>
      <c r="H20" s="18"/>
      <c r="I20" s="18"/>
      <c r="J20" s="18"/>
    </row>
    <row r="21" spans="1:10" ht="12.6" customHeight="1" x14ac:dyDescent="0.2">
      <c r="A21" s="17" t="s">
        <v>712</v>
      </c>
      <c r="B21" s="8">
        <v>21.34</v>
      </c>
      <c r="C21" s="18">
        <v>2</v>
      </c>
      <c r="D21" s="26">
        <f t="shared" si="0"/>
        <v>42.68</v>
      </c>
      <c r="E21" s="43">
        <v>45631</v>
      </c>
      <c r="F21" s="44" t="s">
        <v>708</v>
      </c>
      <c r="G21" s="19"/>
      <c r="H21" s="18"/>
      <c r="I21" s="18"/>
      <c r="J21" s="18"/>
    </row>
    <row r="22" spans="1:10" ht="12.6" customHeight="1" x14ac:dyDescent="0.2">
      <c r="A22" s="17"/>
      <c r="B22" s="8"/>
      <c r="C22" s="18"/>
      <c r="D22" s="26"/>
      <c r="E22" s="25"/>
      <c r="F22" s="18"/>
      <c r="G22" s="19"/>
      <c r="H22" s="18"/>
      <c r="I22" s="18"/>
      <c r="J22" s="18"/>
    </row>
    <row r="23" spans="1:10" ht="12.75" customHeight="1" x14ac:dyDescent="0.2">
      <c r="A23" s="52" t="s">
        <v>11</v>
      </c>
      <c r="B23" s="50">
        <f>SUM(D24:D41)</f>
        <v>476.8</v>
      </c>
      <c r="C23" s="49"/>
      <c r="E23" s="51"/>
      <c r="F23" s="51"/>
      <c r="G23" s="51"/>
      <c r="H23" s="51"/>
      <c r="I23" s="51"/>
      <c r="J23" s="51"/>
    </row>
    <row r="24" spans="1:10" ht="12.75" customHeight="1" x14ac:dyDescent="0.2">
      <c r="A24" s="42" t="s">
        <v>12</v>
      </c>
      <c r="B24" s="8">
        <v>250</v>
      </c>
      <c r="C24" s="13">
        <v>1</v>
      </c>
      <c r="D24" s="35">
        <f>C24*B24</f>
        <v>250</v>
      </c>
      <c r="E24" s="43">
        <v>45142</v>
      </c>
      <c r="F24" s="44" t="s">
        <v>13</v>
      </c>
      <c r="G24" s="13" t="s">
        <v>14</v>
      </c>
      <c r="H24" s="13" t="s">
        <v>14</v>
      </c>
      <c r="I24" s="13"/>
      <c r="J24" s="13" t="s">
        <v>15</v>
      </c>
    </row>
    <row r="25" spans="1:10" ht="12.6" customHeight="1" x14ac:dyDescent="0.2">
      <c r="A25" s="17" t="s">
        <v>459</v>
      </c>
      <c r="B25" s="8">
        <v>0</v>
      </c>
      <c r="C25" s="18">
        <v>1</v>
      </c>
      <c r="D25" s="26">
        <f t="shared" ref="D25:D31" si="4">B25*C25</f>
        <v>0</v>
      </c>
      <c r="E25" s="43">
        <v>45142</v>
      </c>
      <c r="F25" s="18" t="s">
        <v>638</v>
      </c>
      <c r="G25" s="19"/>
      <c r="H25" s="18"/>
      <c r="I25" s="18"/>
      <c r="J25" s="13" t="s">
        <v>15</v>
      </c>
    </row>
    <row r="26" spans="1:10" ht="12.6" customHeight="1" x14ac:dyDescent="0.2">
      <c r="A26" s="17" t="s">
        <v>458</v>
      </c>
      <c r="B26" s="8">
        <v>8.02</v>
      </c>
      <c r="C26" s="18">
        <v>1</v>
      </c>
      <c r="D26" s="26">
        <f t="shared" si="4"/>
        <v>8.02</v>
      </c>
      <c r="E26" s="25">
        <v>45394</v>
      </c>
      <c r="F26" s="18" t="s">
        <v>29</v>
      </c>
      <c r="G26" s="19"/>
      <c r="H26" s="18"/>
      <c r="I26" s="18"/>
      <c r="J26" s="18"/>
    </row>
    <row r="27" spans="1:10" ht="12.6" customHeight="1" x14ac:dyDescent="0.2">
      <c r="A27" s="17" t="s">
        <v>460</v>
      </c>
      <c r="B27" s="8">
        <v>2.36</v>
      </c>
      <c r="C27" s="18">
        <v>1</v>
      </c>
      <c r="D27" s="26">
        <f t="shared" si="4"/>
        <v>2.36</v>
      </c>
      <c r="E27" s="25">
        <v>45394</v>
      </c>
      <c r="F27" s="18" t="s">
        <v>122</v>
      </c>
      <c r="G27" s="19"/>
      <c r="H27" s="18"/>
      <c r="I27" s="18"/>
      <c r="J27" s="18"/>
    </row>
    <row r="28" spans="1:10" ht="12.6" customHeight="1" x14ac:dyDescent="0.2">
      <c r="A28" s="17" t="s">
        <v>382</v>
      </c>
      <c r="B28" s="8">
        <v>2.2799999999999998</v>
      </c>
      <c r="C28" s="18">
        <v>2</v>
      </c>
      <c r="D28" s="26">
        <f t="shared" si="4"/>
        <v>4.5599999999999996</v>
      </c>
      <c r="E28" s="25">
        <v>45394</v>
      </c>
      <c r="F28" s="18" t="s">
        <v>122</v>
      </c>
      <c r="G28" s="19"/>
      <c r="H28" s="18"/>
      <c r="I28" s="18"/>
      <c r="J28" s="18"/>
    </row>
    <row r="29" spans="1:10" ht="12.6" customHeight="1" x14ac:dyDescent="0.2">
      <c r="A29" s="17" t="s">
        <v>364</v>
      </c>
      <c r="B29" s="8">
        <v>2.2400000000000002</v>
      </c>
      <c r="C29" s="18">
        <v>1</v>
      </c>
      <c r="D29" s="26">
        <f t="shared" si="4"/>
        <v>2.2400000000000002</v>
      </c>
      <c r="E29" s="25">
        <v>45394</v>
      </c>
      <c r="F29" s="18" t="s">
        <v>122</v>
      </c>
      <c r="G29" s="19"/>
      <c r="H29" s="18"/>
      <c r="I29" s="18"/>
      <c r="J29" s="18"/>
    </row>
    <row r="30" spans="1:10" ht="12.6" customHeight="1" x14ac:dyDescent="0.2">
      <c r="A30" s="17" t="s">
        <v>478</v>
      </c>
      <c r="B30" s="8">
        <f>123.25+33.5</f>
        <v>156.75</v>
      </c>
      <c r="C30" s="18">
        <v>1</v>
      </c>
      <c r="D30" s="26">
        <f t="shared" si="4"/>
        <v>156.75</v>
      </c>
      <c r="E30" s="25">
        <v>45394</v>
      </c>
      <c r="F30" s="18" t="s">
        <v>29</v>
      </c>
      <c r="G30" s="19"/>
      <c r="H30" s="18"/>
      <c r="I30" s="18"/>
      <c r="J30" s="18"/>
    </row>
    <row r="31" spans="1:10" ht="12.6" customHeight="1" x14ac:dyDescent="0.2">
      <c r="A31" s="17" t="s">
        <v>467</v>
      </c>
      <c r="B31" s="8">
        <v>11.99</v>
      </c>
      <c r="C31" s="18">
        <v>1</v>
      </c>
      <c r="D31" s="26">
        <f t="shared" si="4"/>
        <v>11.99</v>
      </c>
      <c r="E31" s="25">
        <v>45394</v>
      </c>
      <c r="F31" s="18" t="s">
        <v>29</v>
      </c>
      <c r="G31" s="19"/>
      <c r="H31" s="18"/>
      <c r="I31" s="18"/>
      <c r="J31" s="18"/>
    </row>
    <row r="32" spans="1:10" ht="12.6" customHeight="1" x14ac:dyDescent="0.2">
      <c r="A32" s="17" t="s">
        <v>459</v>
      </c>
      <c r="B32" s="8">
        <v>0</v>
      </c>
      <c r="C32" s="18">
        <v>1</v>
      </c>
      <c r="D32" s="26">
        <f t="shared" ref="D32:D38" si="5">B32*C32</f>
        <v>0</v>
      </c>
      <c r="E32" s="43">
        <v>45142</v>
      </c>
      <c r="F32" s="18" t="s">
        <v>638</v>
      </c>
      <c r="G32" s="19"/>
      <c r="H32" s="18"/>
      <c r="I32" s="18"/>
      <c r="J32" s="13" t="s">
        <v>15</v>
      </c>
    </row>
    <row r="33" spans="1:10" ht="12.6" customHeight="1" x14ac:dyDescent="0.2">
      <c r="A33" s="17" t="s">
        <v>401</v>
      </c>
      <c r="B33" s="8">
        <v>9.3800000000000008</v>
      </c>
      <c r="C33" s="18">
        <v>1</v>
      </c>
      <c r="D33" s="26">
        <f t="shared" si="5"/>
        <v>9.3800000000000008</v>
      </c>
      <c r="E33" s="25">
        <v>45394</v>
      </c>
      <c r="F33" s="18" t="s">
        <v>29</v>
      </c>
      <c r="G33" s="19"/>
      <c r="H33" s="18"/>
      <c r="I33" s="18"/>
      <c r="J33" s="18"/>
    </row>
    <row r="34" spans="1:10" ht="12.6" customHeight="1" x14ac:dyDescent="0.2">
      <c r="A34" s="17" t="s">
        <v>458</v>
      </c>
      <c r="B34" s="8">
        <v>8.02</v>
      </c>
      <c r="C34" s="18">
        <v>1</v>
      </c>
      <c r="D34" s="26">
        <f t="shared" si="5"/>
        <v>8.02</v>
      </c>
      <c r="E34" s="25">
        <v>45394</v>
      </c>
      <c r="F34" s="18" t="s">
        <v>29</v>
      </c>
      <c r="G34" s="19"/>
      <c r="H34" s="18"/>
      <c r="I34" s="18"/>
      <c r="J34" s="18"/>
    </row>
    <row r="35" spans="1:10" ht="12.6" customHeight="1" x14ac:dyDescent="0.2">
      <c r="A35" s="17" t="s">
        <v>457</v>
      </c>
      <c r="B35" s="8">
        <v>8.2200000000000006</v>
      </c>
      <c r="C35" s="18">
        <v>1</v>
      </c>
      <c r="D35" s="26">
        <f t="shared" si="5"/>
        <v>8.2200000000000006</v>
      </c>
      <c r="E35" s="25">
        <v>45394</v>
      </c>
      <c r="F35" s="18" t="s">
        <v>29</v>
      </c>
      <c r="G35" s="19"/>
      <c r="H35" s="18"/>
      <c r="I35" s="18"/>
      <c r="J35" s="18"/>
    </row>
    <row r="36" spans="1:10" ht="12.6" customHeight="1" x14ac:dyDescent="0.2">
      <c r="A36" s="17" t="s">
        <v>460</v>
      </c>
      <c r="B36" s="8">
        <v>2.36</v>
      </c>
      <c r="C36" s="18">
        <v>1</v>
      </c>
      <c r="D36" s="26">
        <f t="shared" si="5"/>
        <v>2.36</v>
      </c>
      <c r="E36" s="25">
        <v>45394</v>
      </c>
      <c r="F36" s="18" t="s">
        <v>122</v>
      </c>
      <c r="G36" s="19"/>
      <c r="H36" s="18"/>
      <c r="I36" s="18"/>
      <c r="J36" s="18"/>
    </row>
    <row r="37" spans="1:10" ht="12.6" customHeight="1" x14ac:dyDescent="0.2">
      <c r="A37" s="17" t="s">
        <v>364</v>
      </c>
      <c r="B37" s="8">
        <v>2.2400000000000002</v>
      </c>
      <c r="C37" s="18">
        <v>1</v>
      </c>
      <c r="D37" s="26">
        <f t="shared" si="5"/>
        <v>2.2400000000000002</v>
      </c>
      <c r="E37" s="25">
        <v>45411</v>
      </c>
      <c r="F37" s="18" t="s">
        <v>122</v>
      </c>
      <c r="G37" s="19"/>
      <c r="H37" s="18"/>
      <c r="I37" s="18"/>
      <c r="J37" s="18"/>
    </row>
    <row r="38" spans="1:10" ht="12.6" customHeight="1" x14ac:dyDescent="0.2">
      <c r="A38" s="17" t="s">
        <v>111</v>
      </c>
      <c r="B38" s="8">
        <v>4.2</v>
      </c>
      <c r="C38" s="18">
        <v>1</v>
      </c>
      <c r="D38" s="26">
        <f t="shared" si="5"/>
        <v>4.2</v>
      </c>
      <c r="E38" s="53">
        <v>45405</v>
      </c>
      <c r="F38" s="18" t="s">
        <v>122</v>
      </c>
      <c r="G38" s="34" t="s">
        <v>612</v>
      </c>
      <c r="H38" s="18"/>
      <c r="I38" s="18"/>
      <c r="J38" s="18"/>
    </row>
    <row r="39" spans="1:10" ht="12.75" customHeight="1" x14ac:dyDescent="0.2">
      <c r="A39" s="17" t="s">
        <v>59</v>
      </c>
      <c r="B39" s="23">
        <v>3.45</v>
      </c>
      <c r="C39" s="13">
        <v>1</v>
      </c>
      <c r="D39" s="35">
        <f>C39*B39</f>
        <v>3.45</v>
      </c>
      <c r="E39" s="25">
        <v>45329</v>
      </c>
      <c r="F39" s="18" t="s">
        <v>296</v>
      </c>
      <c r="H39" s="13"/>
      <c r="I39" s="13"/>
      <c r="J39" s="13"/>
    </row>
    <row r="40" spans="1:10" ht="12.6" customHeight="1" x14ac:dyDescent="0.2">
      <c r="A40" s="17" t="s">
        <v>559</v>
      </c>
      <c r="B40" s="8">
        <v>3.01</v>
      </c>
      <c r="C40" s="18">
        <v>1</v>
      </c>
      <c r="D40" s="35">
        <f>C40*B40</f>
        <v>3.01</v>
      </c>
      <c r="E40" s="53">
        <v>45405</v>
      </c>
      <c r="F40" s="18" t="s">
        <v>122</v>
      </c>
      <c r="G40" s="34" t="s">
        <v>611</v>
      </c>
      <c r="H40" s="18"/>
      <c r="I40" s="18"/>
      <c r="J40" s="18"/>
    </row>
    <row r="41" spans="1:10" ht="12.6" customHeight="1" x14ac:dyDescent="0.2">
      <c r="A41" s="17"/>
      <c r="B41" s="8"/>
      <c r="C41" s="18"/>
      <c r="D41" s="26"/>
      <c r="E41" s="13"/>
      <c r="F41" s="18"/>
      <c r="G41" s="19"/>
      <c r="H41" s="18"/>
      <c r="I41" s="18"/>
      <c r="J41" s="18"/>
    </row>
    <row r="42" spans="1:10" ht="12.75" customHeight="1" x14ac:dyDescent="0.2">
      <c r="A42" s="52" t="s">
        <v>462</v>
      </c>
      <c r="B42" s="50">
        <f>SUM(D43:D50)</f>
        <v>22.770000000000003</v>
      </c>
      <c r="C42" s="49"/>
      <c r="E42" s="51"/>
      <c r="F42" s="51"/>
      <c r="G42" s="51"/>
      <c r="H42" s="51"/>
      <c r="I42" s="51"/>
      <c r="J42" s="51"/>
    </row>
    <row r="43" spans="1:10" ht="12.75" customHeight="1" x14ac:dyDescent="0.2">
      <c r="A43" s="42" t="s">
        <v>463</v>
      </c>
      <c r="B43" s="8">
        <v>0</v>
      </c>
      <c r="C43" s="13">
        <v>1</v>
      </c>
      <c r="D43" s="26">
        <f t="shared" ref="D43:D49" si="6">B43*C43</f>
        <v>0</v>
      </c>
      <c r="E43" s="43">
        <v>45142</v>
      </c>
      <c r="F43" s="44" t="s">
        <v>638</v>
      </c>
      <c r="G43" s="13"/>
      <c r="H43" s="13"/>
      <c r="I43" s="13"/>
      <c r="J43" s="13" t="s">
        <v>15</v>
      </c>
    </row>
    <row r="44" spans="1:10" ht="12.6" customHeight="1" x14ac:dyDescent="0.2">
      <c r="A44" s="17" t="s">
        <v>321</v>
      </c>
      <c r="B44" s="8">
        <v>6.02</v>
      </c>
      <c r="C44" s="18">
        <v>1</v>
      </c>
      <c r="D44" s="26">
        <f t="shared" si="6"/>
        <v>6.02</v>
      </c>
      <c r="E44" s="25">
        <v>45394</v>
      </c>
      <c r="F44" s="18" t="s">
        <v>29</v>
      </c>
      <c r="G44" s="19"/>
      <c r="H44" s="18"/>
      <c r="I44" s="18"/>
      <c r="J44" s="18"/>
    </row>
    <row r="45" spans="1:10" ht="12.6" customHeight="1" x14ac:dyDescent="0.2">
      <c r="A45" s="17" t="s">
        <v>356</v>
      </c>
      <c r="B45" s="8">
        <v>3.38</v>
      </c>
      <c r="C45" s="18">
        <v>1</v>
      </c>
      <c r="D45" s="26">
        <f t="shared" si="6"/>
        <v>3.38</v>
      </c>
      <c r="E45" s="43">
        <v>45425</v>
      </c>
      <c r="F45" s="18" t="s">
        <v>29</v>
      </c>
      <c r="G45" s="19"/>
      <c r="H45" s="18"/>
      <c r="I45" s="18"/>
      <c r="J45" s="18"/>
    </row>
    <row r="46" spans="1:10" ht="12.6" customHeight="1" x14ac:dyDescent="0.2">
      <c r="A46" s="17" t="s">
        <v>324</v>
      </c>
      <c r="B46" s="8">
        <v>2.37</v>
      </c>
      <c r="C46" s="18">
        <v>1</v>
      </c>
      <c r="D46" s="26">
        <f t="shared" si="6"/>
        <v>2.37</v>
      </c>
      <c r="E46" s="25">
        <v>45394</v>
      </c>
      <c r="F46" s="18" t="s">
        <v>122</v>
      </c>
      <c r="G46" s="19"/>
      <c r="H46" s="18"/>
      <c r="I46" s="18"/>
      <c r="J46" s="18"/>
    </row>
    <row r="47" spans="1:10" ht="12.6" customHeight="1" x14ac:dyDescent="0.2">
      <c r="A47" s="17" t="s">
        <v>464</v>
      </c>
      <c r="B47" s="8">
        <v>3.54</v>
      </c>
      <c r="C47" s="18">
        <v>2</v>
      </c>
      <c r="D47" s="26">
        <f t="shared" si="6"/>
        <v>7.08</v>
      </c>
      <c r="E47" s="25">
        <v>45394</v>
      </c>
      <c r="F47" s="18" t="s">
        <v>122</v>
      </c>
      <c r="G47" s="19"/>
      <c r="H47" s="18"/>
      <c r="I47" s="18"/>
      <c r="J47" s="18"/>
    </row>
    <row r="48" spans="1:10" ht="12.6" customHeight="1" x14ac:dyDescent="0.2">
      <c r="A48" s="17" t="s">
        <v>322</v>
      </c>
      <c r="B48" s="8">
        <v>1.64</v>
      </c>
      <c r="C48" s="18">
        <v>1</v>
      </c>
      <c r="D48" s="26">
        <f t="shared" si="6"/>
        <v>1.64</v>
      </c>
      <c r="E48" s="25">
        <v>45394</v>
      </c>
      <c r="F48" s="18" t="s">
        <v>122</v>
      </c>
      <c r="G48" s="19"/>
      <c r="H48" s="18"/>
      <c r="I48" s="18"/>
      <c r="J48" s="18"/>
    </row>
    <row r="49" spans="1:10" ht="12.6" customHeight="1" x14ac:dyDescent="0.2">
      <c r="A49" s="17" t="s">
        <v>382</v>
      </c>
      <c r="B49" s="8">
        <v>2.2799999999999998</v>
      </c>
      <c r="C49" s="18">
        <v>1</v>
      </c>
      <c r="D49" s="26">
        <f t="shared" si="6"/>
        <v>2.2799999999999998</v>
      </c>
      <c r="E49" s="25">
        <v>45394</v>
      </c>
      <c r="F49" s="18" t="s">
        <v>122</v>
      </c>
      <c r="G49" s="19"/>
      <c r="H49" s="18"/>
      <c r="I49" s="18"/>
      <c r="J49" s="18"/>
    </row>
    <row r="50" spans="1:10" ht="12.75" customHeight="1" x14ac:dyDescent="0.2">
      <c r="A50" s="42"/>
      <c r="B50" s="8"/>
      <c r="C50" s="13"/>
      <c r="D50" s="35"/>
      <c r="E50" s="43"/>
      <c r="F50" s="44"/>
      <c r="G50" s="13"/>
      <c r="H50" s="13"/>
      <c r="I50" s="13"/>
      <c r="J50" s="13"/>
    </row>
    <row r="51" spans="1:10" ht="12.75" customHeight="1" x14ac:dyDescent="0.2">
      <c r="A51" s="52" t="s">
        <v>16</v>
      </c>
      <c r="B51" s="50">
        <f>SUM(D52:D59)</f>
        <v>952.15</v>
      </c>
      <c r="C51" s="49"/>
      <c r="E51" s="51"/>
      <c r="F51" s="51"/>
      <c r="G51" s="51"/>
      <c r="H51" s="51"/>
      <c r="I51" s="51"/>
      <c r="J51" s="51"/>
    </row>
    <row r="52" spans="1:10" ht="12.75" customHeight="1" x14ac:dyDescent="0.2">
      <c r="A52" s="37" t="s">
        <v>17</v>
      </c>
      <c r="B52" s="8">
        <v>586.5</v>
      </c>
      <c r="C52" s="13">
        <v>1</v>
      </c>
      <c r="D52" s="35">
        <f>C52*B52</f>
        <v>586.5</v>
      </c>
      <c r="E52" s="43">
        <v>45142</v>
      </c>
      <c r="F52" s="44" t="s">
        <v>18</v>
      </c>
      <c r="G52" s="13"/>
      <c r="H52" s="13" t="s">
        <v>19</v>
      </c>
      <c r="I52" s="44" t="s">
        <v>20</v>
      </c>
      <c r="J52" s="13" t="s">
        <v>15</v>
      </c>
    </row>
    <row r="53" spans="1:10" ht="12.75" customHeight="1" x14ac:dyDescent="0.2">
      <c r="A53" s="37" t="s">
        <v>21</v>
      </c>
      <c r="B53" s="8">
        <v>319.5</v>
      </c>
      <c r="C53" s="13">
        <v>1</v>
      </c>
      <c r="D53" s="35">
        <f>C53*B53</f>
        <v>319.5</v>
      </c>
      <c r="E53" s="43">
        <v>45142</v>
      </c>
      <c r="F53" s="44" t="s">
        <v>22</v>
      </c>
      <c r="G53" s="13" t="s">
        <v>23</v>
      </c>
      <c r="H53" s="25"/>
      <c r="I53" s="44"/>
      <c r="J53" s="13" t="s">
        <v>15</v>
      </c>
    </row>
    <row r="54" spans="1:10" ht="12.75" customHeight="1" x14ac:dyDescent="0.2">
      <c r="A54" s="17" t="s">
        <v>461</v>
      </c>
      <c r="B54" s="8">
        <v>18.09</v>
      </c>
      <c r="C54" s="18">
        <v>1</v>
      </c>
      <c r="D54" s="35">
        <f>C54*B54</f>
        <v>18.09</v>
      </c>
      <c r="E54" s="25">
        <v>45329</v>
      </c>
      <c r="F54" s="18" t="s">
        <v>122</v>
      </c>
      <c r="G54" s="13"/>
      <c r="H54" s="18" t="s">
        <v>154</v>
      </c>
      <c r="I54" s="13" t="s">
        <v>294</v>
      </c>
      <c r="J54" s="13"/>
    </row>
    <row r="55" spans="1:10" ht="12.6" customHeight="1" x14ac:dyDescent="0.2">
      <c r="A55" s="17" t="s">
        <v>381</v>
      </c>
      <c r="B55" s="8">
        <v>3.88</v>
      </c>
      <c r="C55" s="18">
        <v>1</v>
      </c>
      <c r="D55" s="26">
        <f>B55*C55</f>
        <v>3.88</v>
      </c>
      <c r="E55" s="25">
        <v>45394</v>
      </c>
      <c r="F55" s="18" t="s">
        <v>122</v>
      </c>
      <c r="G55" s="19"/>
      <c r="H55" s="18"/>
      <c r="I55" s="18"/>
      <c r="J55" s="18"/>
    </row>
    <row r="56" spans="1:10" ht="12.6" customHeight="1" x14ac:dyDescent="0.2">
      <c r="A56" s="17" t="s">
        <v>382</v>
      </c>
      <c r="B56" s="8">
        <v>2.2799999999999998</v>
      </c>
      <c r="C56" s="18">
        <v>1</v>
      </c>
      <c r="D56" s="26">
        <f>B56*C56</f>
        <v>2.2799999999999998</v>
      </c>
      <c r="E56" s="25">
        <v>45394</v>
      </c>
      <c r="F56" s="18" t="s">
        <v>122</v>
      </c>
      <c r="G56" s="19"/>
      <c r="H56" s="18"/>
      <c r="I56" s="18"/>
      <c r="J56" s="18"/>
    </row>
    <row r="57" spans="1:10" ht="12.6" customHeight="1" x14ac:dyDescent="0.2">
      <c r="A57" s="17" t="s">
        <v>60</v>
      </c>
      <c r="B57" s="8">
        <v>1.92</v>
      </c>
      <c r="C57" s="18">
        <v>1</v>
      </c>
      <c r="D57" s="26">
        <f>B57*C57</f>
        <v>1.92</v>
      </c>
      <c r="E57" s="25">
        <v>45394</v>
      </c>
      <c r="F57" s="18" t="s">
        <v>122</v>
      </c>
      <c r="G57" s="19"/>
      <c r="H57" s="18"/>
      <c r="I57" s="18"/>
      <c r="J57" s="18"/>
    </row>
    <row r="58" spans="1:10" ht="12.6" customHeight="1" x14ac:dyDescent="0.2">
      <c r="A58" s="17" t="s">
        <v>635</v>
      </c>
      <c r="B58" s="8">
        <v>9.99</v>
      </c>
      <c r="C58" s="18">
        <v>2</v>
      </c>
      <c r="D58" s="26">
        <f>B58*C58</f>
        <v>19.98</v>
      </c>
      <c r="E58" s="43">
        <v>45425</v>
      </c>
      <c r="F58" s="19" t="s">
        <v>29</v>
      </c>
      <c r="G58" s="34" t="s">
        <v>633</v>
      </c>
      <c r="H58" s="34" t="s">
        <v>632</v>
      </c>
      <c r="I58" s="34" t="s">
        <v>631</v>
      </c>
      <c r="J58" s="18" t="s">
        <v>634</v>
      </c>
    </row>
    <row r="59" spans="1:10" ht="12.75" customHeight="1" x14ac:dyDescent="0.2">
      <c r="A59" s="37"/>
      <c r="B59" s="8"/>
      <c r="C59" s="13"/>
      <c r="D59" s="35"/>
      <c r="E59" s="43"/>
      <c r="F59" s="44"/>
      <c r="G59" s="13"/>
      <c r="H59" s="25"/>
      <c r="I59" s="44"/>
      <c r="J59" s="13"/>
    </row>
    <row r="60" spans="1:10" ht="12.75" customHeight="1" x14ac:dyDescent="0.2">
      <c r="A60" s="54" t="s">
        <v>24</v>
      </c>
      <c r="B60" s="50">
        <f>SUM(D61:D66)</f>
        <v>208.22</v>
      </c>
      <c r="C60" s="13"/>
      <c r="D60" s="35"/>
      <c r="E60" s="43"/>
      <c r="F60" s="44"/>
      <c r="G60" s="13"/>
      <c r="H60" s="25"/>
      <c r="I60" s="44"/>
      <c r="J60" s="13"/>
    </row>
    <row r="61" spans="1:10" ht="12.75" customHeight="1" x14ac:dyDescent="0.2">
      <c r="A61" s="37" t="s">
        <v>25</v>
      </c>
      <c r="B61" s="8">
        <v>204.5</v>
      </c>
      <c r="C61" s="13">
        <v>1</v>
      </c>
      <c r="D61" s="35">
        <f>C61*B61</f>
        <v>204.5</v>
      </c>
      <c r="E61" s="43">
        <v>45142</v>
      </c>
      <c r="F61" s="44" t="s">
        <v>22</v>
      </c>
      <c r="G61" s="13" t="s">
        <v>26</v>
      </c>
      <c r="H61" s="25"/>
      <c r="I61" s="44"/>
      <c r="J61" s="13" t="s">
        <v>15</v>
      </c>
    </row>
    <row r="62" spans="1:10" ht="12.75" customHeight="1" x14ac:dyDescent="0.2">
      <c r="A62" s="37" t="s">
        <v>344</v>
      </c>
      <c r="B62" s="8">
        <v>1.86</v>
      </c>
      <c r="C62" s="13">
        <v>2</v>
      </c>
      <c r="D62" s="35">
        <f>C62*B62</f>
        <v>3.72</v>
      </c>
      <c r="E62" s="25">
        <v>45394</v>
      </c>
      <c r="F62" s="44" t="s">
        <v>122</v>
      </c>
      <c r="G62" s="13"/>
      <c r="H62" s="25"/>
      <c r="I62" s="44"/>
      <c r="J62" s="13"/>
    </row>
    <row r="63" spans="1:10" ht="12.75" customHeight="1" x14ac:dyDescent="0.2">
      <c r="A63" s="37" t="s">
        <v>346</v>
      </c>
      <c r="B63" s="8">
        <v>0</v>
      </c>
      <c r="C63" s="13">
        <v>2</v>
      </c>
      <c r="D63" s="35">
        <f>C63*B63</f>
        <v>0</v>
      </c>
      <c r="E63" s="43">
        <v>45142</v>
      </c>
      <c r="F63" s="44" t="s">
        <v>22</v>
      </c>
      <c r="G63" s="34" t="s">
        <v>347</v>
      </c>
      <c r="H63" s="25"/>
      <c r="I63" s="44"/>
      <c r="J63" s="13" t="s">
        <v>15</v>
      </c>
    </row>
    <row r="64" spans="1:10" ht="12.75" customHeight="1" x14ac:dyDescent="0.2">
      <c r="A64" s="37" t="s">
        <v>390</v>
      </c>
      <c r="B64" s="8">
        <v>0</v>
      </c>
      <c r="C64" s="13">
        <v>2</v>
      </c>
      <c r="D64" s="35">
        <f>C64*B64</f>
        <v>0</v>
      </c>
      <c r="E64" s="43">
        <v>45142</v>
      </c>
      <c r="F64" s="44" t="s">
        <v>22</v>
      </c>
      <c r="G64" s="13"/>
      <c r="H64" s="25"/>
      <c r="I64" s="44"/>
      <c r="J64" s="13" t="s">
        <v>15</v>
      </c>
    </row>
    <row r="65" spans="1:10" ht="12.75" customHeight="1" x14ac:dyDescent="0.2">
      <c r="A65" s="37"/>
      <c r="B65" s="8"/>
      <c r="C65" s="13"/>
      <c r="D65" s="35"/>
      <c r="E65" s="43"/>
      <c r="F65" s="44"/>
      <c r="G65" s="13"/>
      <c r="H65" s="25"/>
      <c r="I65" s="44"/>
      <c r="J65" s="13"/>
    </row>
    <row r="66" spans="1:10" ht="12.75" customHeight="1" x14ac:dyDescent="0.2">
      <c r="A66" s="37"/>
      <c r="B66" s="8"/>
      <c r="C66" s="13"/>
      <c r="D66" s="35"/>
      <c r="E66" s="43"/>
      <c r="F66" s="44"/>
      <c r="G66" s="13"/>
      <c r="H66" s="25"/>
      <c r="I66" s="44"/>
      <c r="J66" s="13"/>
    </row>
    <row r="67" spans="1:10" ht="12.6" customHeight="1" x14ac:dyDescent="0.2">
      <c r="A67" s="24" t="s">
        <v>307</v>
      </c>
      <c r="B67" s="50">
        <f>SUM(D68:D91)</f>
        <v>187.80999999999995</v>
      </c>
      <c r="C67" s="18"/>
      <c r="D67" s="35"/>
      <c r="E67" s="13"/>
      <c r="F67" s="18"/>
      <c r="G67" s="19"/>
      <c r="H67" s="18"/>
      <c r="I67" s="18"/>
      <c r="J67" s="18"/>
    </row>
    <row r="68" spans="1:10" ht="12.6" customHeight="1" x14ac:dyDescent="0.2">
      <c r="A68" s="17" t="s">
        <v>363</v>
      </c>
      <c r="B68" s="55">
        <v>24.18</v>
      </c>
      <c r="C68" s="18">
        <v>4</v>
      </c>
      <c r="D68" s="26">
        <f>B68*C68</f>
        <v>96.72</v>
      </c>
      <c r="E68" s="25">
        <v>45394</v>
      </c>
      <c r="F68" s="18" t="s">
        <v>122</v>
      </c>
      <c r="G68" s="19"/>
      <c r="H68" s="18"/>
      <c r="I68" s="18"/>
      <c r="J68" s="18"/>
    </row>
    <row r="69" spans="1:10" ht="12.6" customHeight="1" x14ac:dyDescent="0.2">
      <c r="A69" s="17" t="s">
        <v>371</v>
      </c>
      <c r="B69" s="55">
        <v>5.36</v>
      </c>
      <c r="C69" s="18">
        <v>3</v>
      </c>
      <c r="D69" s="26">
        <f t="shared" ref="D69:D81" si="7">B69*C69</f>
        <v>16.080000000000002</v>
      </c>
      <c r="E69" s="25">
        <v>45394</v>
      </c>
      <c r="F69" s="18" t="s">
        <v>122</v>
      </c>
      <c r="G69" s="19"/>
      <c r="H69" s="18"/>
      <c r="I69" s="18"/>
      <c r="J69" s="18"/>
    </row>
    <row r="70" spans="1:10" ht="12.6" customHeight="1" x14ac:dyDescent="0.2">
      <c r="A70" s="17" t="s">
        <v>324</v>
      </c>
      <c r="B70" s="55">
        <v>2.37</v>
      </c>
      <c r="C70" s="18">
        <v>3</v>
      </c>
      <c r="D70" s="26">
        <f t="shared" si="7"/>
        <v>7.11</v>
      </c>
      <c r="E70" s="25">
        <v>45394</v>
      </c>
      <c r="F70" s="18" t="s">
        <v>122</v>
      </c>
      <c r="G70" s="19"/>
      <c r="H70" s="18"/>
      <c r="I70" s="18"/>
      <c r="J70" s="18"/>
    </row>
    <row r="71" spans="1:10" ht="12.6" customHeight="1" x14ac:dyDescent="0.2">
      <c r="A71" s="17" t="s">
        <v>365</v>
      </c>
      <c r="B71" s="55">
        <v>2.12</v>
      </c>
      <c r="C71" s="18">
        <v>3</v>
      </c>
      <c r="D71" s="26">
        <f t="shared" si="7"/>
        <v>6.36</v>
      </c>
      <c r="E71" s="25">
        <v>45394</v>
      </c>
      <c r="F71" s="18" t="s">
        <v>122</v>
      </c>
      <c r="G71" s="19"/>
      <c r="H71" s="18"/>
      <c r="I71" s="18"/>
      <c r="J71" s="18"/>
    </row>
    <row r="72" spans="1:10" ht="12.6" customHeight="1" x14ac:dyDescent="0.2">
      <c r="A72" s="17" t="s">
        <v>386</v>
      </c>
      <c r="B72" s="8">
        <v>3.91</v>
      </c>
      <c r="C72" s="18">
        <v>1</v>
      </c>
      <c r="D72" s="26">
        <f t="shared" si="7"/>
        <v>3.91</v>
      </c>
      <c r="E72" s="25">
        <v>45394</v>
      </c>
      <c r="F72" s="18" t="s">
        <v>122</v>
      </c>
      <c r="G72" s="19"/>
      <c r="H72" s="18"/>
      <c r="I72" s="18"/>
      <c r="J72" s="18"/>
    </row>
    <row r="73" spans="1:10" ht="12.6" customHeight="1" x14ac:dyDescent="0.2">
      <c r="A73" s="17" t="s">
        <v>385</v>
      </c>
      <c r="B73" s="8">
        <v>2.91</v>
      </c>
      <c r="C73" s="18">
        <v>1</v>
      </c>
      <c r="D73" s="26">
        <f t="shared" si="7"/>
        <v>2.91</v>
      </c>
      <c r="E73" s="25">
        <v>45394</v>
      </c>
      <c r="F73" s="18" t="s">
        <v>29</v>
      </c>
      <c r="G73" s="19"/>
      <c r="H73" s="18"/>
      <c r="I73" s="18"/>
      <c r="J73" s="18"/>
    </row>
    <row r="74" spans="1:10" ht="12.6" customHeight="1" x14ac:dyDescent="0.2">
      <c r="A74" s="17" t="s">
        <v>113</v>
      </c>
      <c r="B74" s="8">
        <v>3.54</v>
      </c>
      <c r="C74" s="18">
        <v>1</v>
      </c>
      <c r="D74" s="26">
        <f t="shared" si="7"/>
        <v>3.54</v>
      </c>
      <c r="E74" s="25">
        <v>45394</v>
      </c>
      <c r="F74" s="18" t="s">
        <v>122</v>
      </c>
      <c r="G74" s="19"/>
      <c r="H74" s="18"/>
      <c r="I74" s="18"/>
      <c r="J74" s="18" t="s">
        <v>549</v>
      </c>
    </row>
    <row r="75" spans="1:10" ht="12.6" customHeight="1" x14ac:dyDescent="0.2">
      <c r="A75" s="17" t="s">
        <v>381</v>
      </c>
      <c r="B75" s="8">
        <v>3.88</v>
      </c>
      <c r="C75" s="18">
        <v>1</v>
      </c>
      <c r="D75" s="26">
        <f t="shared" si="7"/>
        <v>3.88</v>
      </c>
      <c r="E75" s="25">
        <v>45394</v>
      </c>
      <c r="F75" s="18" t="s">
        <v>122</v>
      </c>
      <c r="G75" s="19"/>
      <c r="H75" s="18"/>
      <c r="I75" s="18"/>
      <c r="J75" s="18"/>
    </row>
    <row r="76" spans="1:10" ht="12.6" customHeight="1" x14ac:dyDescent="0.2">
      <c r="A76" s="17" t="s">
        <v>322</v>
      </c>
      <c r="B76" s="8">
        <v>1.64</v>
      </c>
      <c r="C76" s="18">
        <v>1</v>
      </c>
      <c r="D76" s="26">
        <f t="shared" si="7"/>
        <v>1.64</v>
      </c>
      <c r="E76" s="25">
        <v>45394</v>
      </c>
      <c r="F76" s="18" t="s">
        <v>122</v>
      </c>
      <c r="G76" s="19"/>
      <c r="H76" s="18"/>
      <c r="I76" s="18"/>
      <c r="J76" s="18"/>
    </row>
    <row r="77" spans="1:10" ht="12.6" customHeight="1" x14ac:dyDescent="0.2">
      <c r="A77" s="17" t="s">
        <v>382</v>
      </c>
      <c r="B77" s="8">
        <v>2.2799999999999998</v>
      </c>
      <c r="C77" s="18">
        <v>1</v>
      </c>
      <c r="D77" s="26">
        <f>B77*C77</f>
        <v>2.2799999999999998</v>
      </c>
      <c r="E77" s="25">
        <v>45394</v>
      </c>
      <c r="F77" s="18" t="s">
        <v>122</v>
      </c>
      <c r="G77" s="19"/>
      <c r="H77" s="18"/>
      <c r="I77" s="18"/>
      <c r="J77" s="18"/>
    </row>
    <row r="78" spans="1:10" ht="12.6" customHeight="1" x14ac:dyDescent="0.2">
      <c r="A78" s="17" t="s">
        <v>383</v>
      </c>
      <c r="B78" s="8">
        <v>1.92</v>
      </c>
      <c r="C78" s="18">
        <v>3</v>
      </c>
      <c r="D78" s="26">
        <f>B78*C78</f>
        <v>5.76</v>
      </c>
      <c r="E78" s="25">
        <v>45394</v>
      </c>
      <c r="F78" s="18" t="s">
        <v>122</v>
      </c>
      <c r="G78" s="19"/>
      <c r="H78" s="18"/>
      <c r="I78" s="18"/>
      <c r="J78" s="18"/>
    </row>
    <row r="79" spans="1:10" ht="12.6" customHeight="1" x14ac:dyDescent="0.2">
      <c r="A79" s="17" t="s">
        <v>364</v>
      </c>
      <c r="B79" s="8">
        <v>2.2400000000000002</v>
      </c>
      <c r="C79" s="18">
        <v>2</v>
      </c>
      <c r="D79" s="26">
        <f>B79*C79</f>
        <v>4.4800000000000004</v>
      </c>
      <c r="E79" s="25">
        <v>45394</v>
      </c>
      <c r="F79" s="18" t="s">
        <v>122</v>
      </c>
      <c r="G79" s="19"/>
      <c r="H79" s="18"/>
      <c r="I79" s="18"/>
      <c r="J79" s="18"/>
    </row>
    <row r="80" spans="1:10" ht="12.75" customHeight="1" x14ac:dyDescent="0.2">
      <c r="A80" s="17" t="s">
        <v>384</v>
      </c>
      <c r="B80" s="8">
        <v>1.58</v>
      </c>
      <c r="C80" s="18">
        <v>3</v>
      </c>
      <c r="D80" s="26">
        <f>B80*C80</f>
        <v>4.74</v>
      </c>
      <c r="E80" s="25">
        <v>45394</v>
      </c>
      <c r="F80" s="18" t="s">
        <v>122</v>
      </c>
      <c r="G80" s="19"/>
      <c r="H80" s="18"/>
      <c r="I80" s="18"/>
      <c r="J80" s="18"/>
    </row>
    <row r="81" spans="1:10" ht="12.75" customHeight="1" x14ac:dyDescent="0.2">
      <c r="A81" s="17" t="s">
        <v>352</v>
      </c>
      <c r="B81" s="8">
        <v>1.89</v>
      </c>
      <c r="C81" s="18">
        <v>1</v>
      </c>
      <c r="D81" s="26">
        <f t="shared" si="7"/>
        <v>1.89</v>
      </c>
      <c r="E81" s="25">
        <v>45394</v>
      </c>
      <c r="F81" s="18" t="s">
        <v>122</v>
      </c>
      <c r="G81" s="19"/>
      <c r="H81" s="18"/>
      <c r="I81" s="18"/>
      <c r="J81" s="18"/>
    </row>
    <row r="82" spans="1:10" ht="12.75" customHeight="1" x14ac:dyDescent="0.2">
      <c r="A82" s="17" t="s">
        <v>115</v>
      </c>
      <c r="B82" s="8">
        <v>1.61</v>
      </c>
      <c r="C82" s="18">
        <v>1</v>
      </c>
      <c r="D82" s="26">
        <f t="shared" ref="D82:D88" si="8">B82*C82</f>
        <v>1.61</v>
      </c>
      <c r="E82" s="25">
        <v>45394</v>
      </c>
      <c r="F82" s="18" t="s">
        <v>122</v>
      </c>
      <c r="G82" s="19"/>
      <c r="H82" s="18"/>
      <c r="I82" s="18"/>
      <c r="J82" s="18"/>
    </row>
    <row r="83" spans="1:10" ht="12.75" customHeight="1" x14ac:dyDescent="0.2">
      <c r="A83" s="17" t="s">
        <v>371</v>
      </c>
      <c r="B83" s="8">
        <v>5.31</v>
      </c>
      <c r="C83" s="18">
        <v>2</v>
      </c>
      <c r="D83" s="26">
        <f t="shared" si="8"/>
        <v>10.62</v>
      </c>
      <c r="E83" s="53">
        <v>45610</v>
      </c>
      <c r="F83" s="18" t="s">
        <v>122</v>
      </c>
      <c r="G83" s="19"/>
      <c r="H83" s="18"/>
      <c r="I83" s="18"/>
      <c r="J83" s="18"/>
    </row>
    <row r="84" spans="1:10" ht="12.75" customHeight="1" x14ac:dyDescent="0.2">
      <c r="A84" s="17" t="s">
        <v>365</v>
      </c>
      <c r="B84" s="8">
        <v>2.1</v>
      </c>
      <c r="C84" s="18">
        <v>2</v>
      </c>
      <c r="D84" s="26">
        <f t="shared" si="8"/>
        <v>4.2</v>
      </c>
      <c r="E84" s="53">
        <v>45610</v>
      </c>
      <c r="F84" s="18" t="s">
        <v>122</v>
      </c>
      <c r="G84" s="19"/>
      <c r="H84" s="18"/>
      <c r="I84" s="18"/>
      <c r="J84" s="18"/>
    </row>
    <row r="85" spans="1:10" ht="12.75" customHeight="1" x14ac:dyDescent="0.2">
      <c r="A85" s="17" t="s">
        <v>559</v>
      </c>
      <c r="B85" s="8">
        <v>2.99</v>
      </c>
      <c r="C85" s="18">
        <v>1</v>
      </c>
      <c r="D85" s="26">
        <f t="shared" si="8"/>
        <v>2.99</v>
      </c>
      <c r="E85" s="53">
        <v>45610</v>
      </c>
      <c r="F85" s="18" t="s">
        <v>122</v>
      </c>
      <c r="G85" s="19"/>
      <c r="H85" s="18"/>
      <c r="I85" s="18"/>
      <c r="J85" s="18"/>
    </row>
    <row r="86" spans="1:10" ht="12.75" customHeight="1" x14ac:dyDescent="0.2">
      <c r="A86" s="17" t="s">
        <v>352</v>
      </c>
      <c r="B86" s="8">
        <v>1.89</v>
      </c>
      <c r="C86" s="18">
        <v>1</v>
      </c>
      <c r="D86" s="26">
        <f t="shared" si="8"/>
        <v>1.89</v>
      </c>
      <c r="E86" s="53">
        <v>45610</v>
      </c>
      <c r="F86" s="18" t="s">
        <v>122</v>
      </c>
      <c r="G86" s="19"/>
      <c r="H86" s="18"/>
      <c r="I86" s="18"/>
      <c r="J86" s="18"/>
    </row>
    <row r="87" spans="1:10" ht="12.75" customHeight="1" x14ac:dyDescent="0.2">
      <c r="A87" s="34" t="s">
        <v>369</v>
      </c>
      <c r="B87" s="8">
        <v>1.94</v>
      </c>
      <c r="C87" s="18">
        <v>1</v>
      </c>
      <c r="D87" s="26">
        <f t="shared" si="8"/>
        <v>1.94</v>
      </c>
      <c r="E87" s="53">
        <v>45610</v>
      </c>
      <c r="F87" s="18" t="s">
        <v>122</v>
      </c>
      <c r="G87" s="19"/>
      <c r="H87" s="18"/>
      <c r="I87" s="18"/>
      <c r="J87" s="18" t="s">
        <v>727</v>
      </c>
    </row>
    <row r="88" spans="1:10" ht="12.75" customHeight="1" x14ac:dyDescent="0.2">
      <c r="A88" s="17" t="s">
        <v>689</v>
      </c>
      <c r="B88" s="8">
        <v>1.57</v>
      </c>
      <c r="C88" s="18">
        <v>1</v>
      </c>
      <c r="D88" s="26">
        <f t="shared" si="8"/>
        <v>1.57</v>
      </c>
      <c r="E88" s="25">
        <v>45644</v>
      </c>
      <c r="F88" s="18" t="s">
        <v>122</v>
      </c>
      <c r="G88" t="s">
        <v>793</v>
      </c>
      <c r="J88" s="18"/>
    </row>
    <row r="89" spans="1:10" ht="12.6" customHeight="1" x14ac:dyDescent="0.2">
      <c r="A89" s="17" t="s">
        <v>352</v>
      </c>
      <c r="B89" s="8">
        <v>1.69</v>
      </c>
      <c r="C89" s="18">
        <v>1</v>
      </c>
      <c r="D89" s="35">
        <f>C89*B89</f>
        <v>1.69</v>
      </c>
      <c r="E89" s="25">
        <v>45706</v>
      </c>
      <c r="F89" s="13" t="s">
        <v>122</v>
      </c>
      <c r="G89" t="s">
        <v>783</v>
      </c>
      <c r="H89" s="18"/>
      <c r="I89" s="18"/>
      <c r="J89" s="18"/>
    </row>
    <row r="90" spans="1:10" s="17" customFormat="1" ht="12.75" customHeight="1" x14ac:dyDescent="0.2"/>
    <row r="91" spans="1:10" ht="12.75" customHeight="1" x14ac:dyDescent="0.2">
      <c r="A91" s="17"/>
      <c r="B91" s="8"/>
      <c r="C91" s="18"/>
      <c r="D91" s="26"/>
      <c r="E91" s="13"/>
      <c r="F91" s="18"/>
      <c r="G91" s="19"/>
      <c r="H91" s="18"/>
      <c r="I91" s="18"/>
      <c r="J91" s="18"/>
    </row>
    <row r="92" spans="1:10" ht="12.75" customHeight="1" x14ac:dyDescent="0.2">
      <c r="A92" s="54" t="s">
        <v>27</v>
      </c>
      <c r="B92" s="50">
        <f>SUM(D93:D110)</f>
        <v>337.38</v>
      </c>
      <c r="C92" s="13"/>
      <c r="D92" s="35"/>
      <c r="E92" s="43"/>
      <c r="F92" s="44"/>
      <c r="G92" s="13"/>
      <c r="H92" s="25"/>
      <c r="I92" s="44"/>
      <c r="J92" s="13"/>
    </row>
    <row r="93" spans="1:10" ht="12.75" customHeight="1" x14ac:dyDescent="0.2">
      <c r="A93" s="17" t="s">
        <v>28</v>
      </c>
      <c r="B93" s="8">
        <v>177.89</v>
      </c>
      <c r="C93" s="18">
        <v>1</v>
      </c>
      <c r="D93" s="35">
        <f t="shared" ref="D93:D109" si="9">C93*B93</f>
        <v>177.89</v>
      </c>
      <c r="E93" s="25">
        <v>45329</v>
      </c>
      <c r="F93" s="18" t="s">
        <v>29</v>
      </c>
      <c r="G93" s="18"/>
      <c r="H93" s="18" t="s">
        <v>30</v>
      </c>
      <c r="I93" s="18" t="s">
        <v>31</v>
      </c>
      <c r="J93" s="18"/>
    </row>
    <row r="94" spans="1:10" ht="12.6" customHeight="1" x14ac:dyDescent="0.2">
      <c r="A94" s="17" t="s">
        <v>473</v>
      </c>
      <c r="B94" s="8">
        <v>45.77</v>
      </c>
      <c r="C94" s="18">
        <v>1</v>
      </c>
      <c r="D94" s="35">
        <f t="shared" si="9"/>
        <v>45.77</v>
      </c>
      <c r="E94" s="25">
        <v>45394</v>
      </c>
      <c r="F94" s="18" t="s">
        <v>122</v>
      </c>
      <c r="G94" s="19"/>
      <c r="H94" s="18"/>
      <c r="I94" s="18"/>
      <c r="J94" s="18"/>
    </row>
    <row r="95" spans="1:10" ht="12.6" customHeight="1" x14ac:dyDescent="0.2">
      <c r="A95" s="17" t="s">
        <v>321</v>
      </c>
      <c r="B95" s="8">
        <v>6.02</v>
      </c>
      <c r="C95" s="18">
        <v>1</v>
      </c>
      <c r="D95" s="35">
        <f t="shared" si="9"/>
        <v>6.02</v>
      </c>
      <c r="E95" s="25">
        <v>45394</v>
      </c>
      <c r="F95" s="18" t="s">
        <v>29</v>
      </c>
      <c r="G95" s="19"/>
      <c r="H95" s="18"/>
      <c r="I95" s="18"/>
      <c r="J95" s="18"/>
    </row>
    <row r="96" spans="1:10" ht="12.6" customHeight="1" x14ac:dyDescent="0.2">
      <c r="A96" s="17" t="s">
        <v>365</v>
      </c>
      <c r="B96" s="8">
        <v>2.12</v>
      </c>
      <c r="C96" s="18">
        <v>1</v>
      </c>
      <c r="D96" s="35">
        <f t="shared" si="9"/>
        <v>2.12</v>
      </c>
      <c r="E96" s="25">
        <v>45394</v>
      </c>
      <c r="F96" s="18" t="s">
        <v>122</v>
      </c>
      <c r="G96" s="19"/>
      <c r="H96" s="18"/>
      <c r="I96" s="18"/>
      <c r="J96" s="18"/>
    </row>
    <row r="97" spans="1:10" ht="12.6" customHeight="1" x14ac:dyDescent="0.2">
      <c r="A97" s="17" t="s">
        <v>113</v>
      </c>
      <c r="B97" s="8">
        <v>3.54</v>
      </c>
      <c r="C97" s="18">
        <v>3</v>
      </c>
      <c r="D97" s="35">
        <f t="shared" si="9"/>
        <v>10.620000000000001</v>
      </c>
      <c r="E97" s="25">
        <v>45394</v>
      </c>
      <c r="F97" s="18" t="s">
        <v>122</v>
      </c>
      <c r="G97" s="19"/>
      <c r="H97" s="18"/>
      <c r="I97" s="18" t="s">
        <v>671</v>
      </c>
      <c r="J97" s="18"/>
    </row>
    <row r="98" spans="1:10" ht="12.6" customHeight="1" x14ac:dyDescent="0.2">
      <c r="A98" s="17" t="s">
        <v>364</v>
      </c>
      <c r="B98" s="8">
        <v>2.2400000000000002</v>
      </c>
      <c r="C98" s="18">
        <v>2</v>
      </c>
      <c r="D98" s="35">
        <f t="shared" si="9"/>
        <v>4.4800000000000004</v>
      </c>
      <c r="E98" s="25">
        <v>45394</v>
      </c>
      <c r="F98" s="18" t="s">
        <v>122</v>
      </c>
      <c r="G98" s="19"/>
      <c r="H98" s="18"/>
      <c r="I98" s="18" t="s">
        <v>671</v>
      </c>
      <c r="J98" s="18"/>
    </row>
    <row r="99" spans="1:10" ht="12.6" customHeight="1" x14ac:dyDescent="0.2">
      <c r="A99" s="17" t="s">
        <v>344</v>
      </c>
      <c r="B99" s="8">
        <v>1.86</v>
      </c>
      <c r="C99" s="18">
        <v>1</v>
      </c>
      <c r="D99" s="35">
        <f t="shared" si="9"/>
        <v>1.86</v>
      </c>
      <c r="E99" s="25">
        <v>45394</v>
      </c>
      <c r="F99" s="18" t="s">
        <v>122</v>
      </c>
      <c r="G99" s="19"/>
      <c r="H99" s="18"/>
      <c r="I99" s="18" t="s">
        <v>673</v>
      </c>
      <c r="J99" s="18"/>
    </row>
    <row r="100" spans="1:10" ht="12.6" customHeight="1" x14ac:dyDescent="0.2">
      <c r="A100" s="17" t="s">
        <v>352</v>
      </c>
      <c r="B100" s="8">
        <v>1.89</v>
      </c>
      <c r="C100" s="18">
        <v>1</v>
      </c>
      <c r="D100" s="35">
        <f t="shared" si="9"/>
        <v>1.89</v>
      </c>
      <c r="E100" s="25">
        <v>45394</v>
      </c>
      <c r="F100" s="13" t="s">
        <v>122</v>
      </c>
      <c r="H100" s="18"/>
      <c r="I100" s="18"/>
      <c r="J100" s="18"/>
    </row>
    <row r="101" spans="1:10" ht="12.6" customHeight="1" x14ac:dyDescent="0.2">
      <c r="A101" s="17" t="s">
        <v>352</v>
      </c>
      <c r="B101" s="8">
        <v>1.89</v>
      </c>
      <c r="C101" s="18">
        <v>1</v>
      </c>
      <c r="D101" s="35">
        <f>C101*B101</f>
        <v>1.89</v>
      </c>
      <c r="E101" s="25">
        <v>45568</v>
      </c>
      <c r="F101" s="13" t="s">
        <v>122</v>
      </c>
      <c r="H101" s="18"/>
      <c r="I101" s="18"/>
      <c r="J101" s="18"/>
    </row>
    <row r="102" spans="1:10" ht="12.6" customHeight="1" x14ac:dyDescent="0.2">
      <c r="A102" s="17" t="s">
        <v>471</v>
      </c>
      <c r="B102" s="8">
        <v>5.65</v>
      </c>
      <c r="C102" s="18">
        <v>1</v>
      </c>
      <c r="D102" s="35">
        <f t="shared" si="9"/>
        <v>5.65</v>
      </c>
      <c r="E102" s="25">
        <v>45394</v>
      </c>
      <c r="F102" s="18" t="s">
        <v>122</v>
      </c>
      <c r="G102" s="19"/>
      <c r="H102" s="18"/>
      <c r="I102" s="18"/>
      <c r="J102" s="18"/>
    </row>
    <row r="103" spans="1:10" ht="12.6" customHeight="1" x14ac:dyDescent="0.2">
      <c r="A103" s="17" t="s">
        <v>60</v>
      </c>
      <c r="B103" s="23">
        <v>1.92</v>
      </c>
      <c r="C103" s="18">
        <v>1</v>
      </c>
      <c r="D103" s="35">
        <f t="shared" si="9"/>
        <v>1.92</v>
      </c>
      <c r="E103" s="25">
        <v>45329</v>
      </c>
      <c r="F103" s="18" t="s">
        <v>122</v>
      </c>
      <c r="G103" s="19"/>
      <c r="H103" s="18"/>
      <c r="I103" s="18"/>
      <c r="J103" s="18"/>
    </row>
    <row r="104" spans="1:10" ht="12.6" customHeight="1" x14ac:dyDescent="0.2">
      <c r="A104" s="17" t="s">
        <v>674</v>
      </c>
      <c r="B104" s="23">
        <v>2.63</v>
      </c>
      <c r="C104" s="18">
        <v>1</v>
      </c>
      <c r="D104" s="35">
        <f t="shared" si="9"/>
        <v>2.63</v>
      </c>
      <c r="E104" s="25">
        <v>45568</v>
      </c>
      <c r="F104" s="18" t="s">
        <v>122</v>
      </c>
      <c r="G104" s="19"/>
      <c r="H104" s="18"/>
      <c r="I104" s="18"/>
      <c r="J104" s="18"/>
    </row>
    <row r="105" spans="1:10" ht="12.6" customHeight="1" x14ac:dyDescent="0.2">
      <c r="A105" s="17" t="s">
        <v>358</v>
      </c>
      <c r="B105" s="8">
        <v>5.26</v>
      </c>
      <c r="C105" s="18">
        <v>4</v>
      </c>
      <c r="D105" s="35">
        <f t="shared" si="9"/>
        <v>21.04</v>
      </c>
      <c r="E105" s="25">
        <v>45397</v>
      </c>
      <c r="F105" s="44" t="s">
        <v>125</v>
      </c>
      <c r="G105" s="34" t="s">
        <v>468</v>
      </c>
      <c r="H105" s="18"/>
      <c r="I105" s="18"/>
      <c r="J105" s="18"/>
    </row>
    <row r="106" spans="1:10" ht="12.6" customHeight="1" x14ac:dyDescent="0.2">
      <c r="A106" s="17" t="s">
        <v>469</v>
      </c>
      <c r="B106" s="8">
        <v>11.52</v>
      </c>
      <c r="C106" s="18">
        <v>1</v>
      </c>
      <c r="D106" s="35">
        <f t="shared" si="9"/>
        <v>11.52</v>
      </c>
      <c r="E106" s="25">
        <v>45397</v>
      </c>
      <c r="F106" s="44" t="s">
        <v>125</v>
      </c>
      <c r="G106" s="19" t="s">
        <v>283</v>
      </c>
      <c r="H106" s="18"/>
      <c r="I106" s="18"/>
      <c r="J106" s="18"/>
    </row>
    <row r="107" spans="1:10" ht="12.6" customHeight="1" x14ac:dyDescent="0.2">
      <c r="A107" s="17" t="s">
        <v>359</v>
      </c>
      <c r="B107" s="34">
        <v>12.87</v>
      </c>
      <c r="C107" s="18">
        <v>2</v>
      </c>
      <c r="D107" s="35">
        <f t="shared" si="9"/>
        <v>25.74</v>
      </c>
      <c r="E107" s="25">
        <v>45397</v>
      </c>
      <c r="F107" s="44" t="s">
        <v>125</v>
      </c>
      <c r="G107" s="19" t="s">
        <v>281</v>
      </c>
      <c r="H107" s="18"/>
      <c r="I107" s="18"/>
      <c r="J107" s="18"/>
    </row>
    <row r="108" spans="1:10" ht="12.6" customHeight="1" x14ac:dyDescent="0.2">
      <c r="A108" s="17" t="s">
        <v>732</v>
      </c>
      <c r="B108" s="34">
        <v>10.78</v>
      </c>
      <c r="C108" s="18">
        <v>1</v>
      </c>
      <c r="D108" s="35">
        <f t="shared" si="9"/>
        <v>10.78</v>
      </c>
      <c r="E108" s="43">
        <v>45670</v>
      </c>
      <c r="F108" s="44" t="s">
        <v>125</v>
      </c>
      <c r="G108" t="s">
        <v>731</v>
      </c>
      <c r="H108" s="18"/>
      <c r="I108" s="18"/>
      <c r="J108" s="18"/>
    </row>
    <row r="109" spans="1:10" ht="12.6" customHeight="1" x14ac:dyDescent="0.2">
      <c r="A109" s="17" t="s">
        <v>726</v>
      </c>
      <c r="B109" s="8">
        <v>5.56</v>
      </c>
      <c r="C109" s="18">
        <v>1</v>
      </c>
      <c r="D109" s="35">
        <f t="shared" si="9"/>
        <v>5.56</v>
      </c>
      <c r="E109" s="25">
        <v>45644</v>
      </c>
      <c r="F109" s="18" t="s">
        <v>122</v>
      </c>
      <c r="G109" s="19"/>
      <c r="H109" s="18"/>
      <c r="I109" s="18"/>
      <c r="J109" s="18"/>
    </row>
    <row r="110" spans="1:10" ht="12.6" customHeight="1" x14ac:dyDescent="0.2">
      <c r="A110" s="17"/>
      <c r="B110" s="8"/>
      <c r="C110" s="18"/>
      <c r="D110" s="35"/>
      <c r="E110" s="13"/>
      <c r="F110" s="18"/>
      <c r="G110" s="19"/>
      <c r="H110" s="18"/>
      <c r="I110" s="18"/>
      <c r="J110" s="18"/>
    </row>
    <row r="111" spans="1:10" ht="12.6" customHeight="1" x14ac:dyDescent="0.2">
      <c r="A111" s="24" t="s">
        <v>639</v>
      </c>
      <c r="B111" s="50">
        <f>SUM(D112:D121)</f>
        <v>59.17</v>
      </c>
      <c r="C111" s="18"/>
      <c r="D111" s="35"/>
      <c r="E111" s="13"/>
      <c r="F111" s="18"/>
      <c r="G111" s="19"/>
      <c r="H111" s="18"/>
      <c r="I111" s="18"/>
      <c r="J111" s="18"/>
    </row>
    <row r="112" spans="1:10" ht="12.6" customHeight="1" x14ac:dyDescent="0.2">
      <c r="A112" s="17" t="s">
        <v>380</v>
      </c>
      <c r="B112" s="55">
        <v>0</v>
      </c>
      <c r="C112" s="18">
        <v>1</v>
      </c>
      <c r="D112" s="26">
        <f t="shared" ref="D112:D120" si="10">B112*C112</f>
        <v>0</v>
      </c>
      <c r="E112" s="13"/>
      <c r="F112" s="18" t="s">
        <v>640</v>
      </c>
      <c r="G112" s="19"/>
      <c r="H112" s="18"/>
      <c r="I112" s="18"/>
      <c r="J112" s="18"/>
    </row>
    <row r="113" spans="1:10" ht="12.75" customHeight="1" x14ac:dyDescent="0.2">
      <c r="A113" s="17" t="s">
        <v>387</v>
      </c>
      <c r="B113" s="8">
        <v>2.78</v>
      </c>
      <c r="C113" s="18">
        <v>4</v>
      </c>
      <c r="D113" s="26">
        <f t="shared" si="10"/>
        <v>11.12</v>
      </c>
      <c r="E113" s="25">
        <v>45397</v>
      </c>
      <c r="F113" s="44" t="s">
        <v>125</v>
      </c>
      <c r="G113" s="34" t="s">
        <v>377</v>
      </c>
      <c r="H113" s="18"/>
      <c r="J113" s="19"/>
    </row>
    <row r="114" spans="1:10" ht="12.75" customHeight="1" x14ac:dyDescent="0.2">
      <c r="A114" s="17" t="s">
        <v>613</v>
      </c>
      <c r="B114" s="8">
        <v>19.57</v>
      </c>
      <c r="C114" s="18">
        <v>1</v>
      </c>
      <c r="D114" s="26">
        <f t="shared" si="10"/>
        <v>19.57</v>
      </c>
      <c r="E114" s="53">
        <v>45405</v>
      </c>
      <c r="F114" s="13" t="s">
        <v>122</v>
      </c>
      <c r="G114" s="34" t="s">
        <v>614</v>
      </c>
      <c r="H114" s="18"/>
      <c r="J114" s="19"/>
    </row>
    <row r="115" spans="1:10" ht="12.75" customHeight="1" x14ac:dyDescent="0.2">
      <c r="A115" s="17" t="s">
        <v>388</v>
      </c>
      <c r="B115" s="8">
        <v>1.1000000000000001</v>
      </c>
      <c r="C115" s="18">
        <v>7</v>
      </c>
      <c r="D115" s="26">
        <f t="shared" si="10"/>
        <v>7.7000000000000011</v>
      </c>
      <c r="E115" s="25">
        <v>45397</v>
      </c>
      <c r="F115" s="44" t="s">
        <v>125</v>
      </c>
      <c r="G115" s="34" t="s">
        <v>389</v>
      </c>
      <c r="H115" s="18"/>
      <c r="I115" s="34" t="s">
        <v>728</v>
      </c>
      <c r="J115" s="19"/>
    </row>
    <row r="116" spans="1:10" ht="12.75" customHeight="1" x14ac:dyDescent="0.2">
      <c r="A116" s="17" t="s">
        <v>470</v>
      </c>
      <c r="B116" s="8">
        <v>8.94</v>
      </c>
      <c r="C116" s="18">
        <v>1</v>
      </c>
      <c r="D116" s="26">
        <f t="shared" si="10"/>
        <v>8.94</v>
      </c>
      <c r="E116" s="25">
        <v>45397</v>
      </c>
      <c r="F116" s="44" t="s">
        <v>125</v>
      </c>
      <c r="G116" s="34" t="s">
        <v>378</v>
      </c>
      <c r="H116" s="18"/>
      <c r="J116" s="19"/>
    </row>
    <row r="117" spans="1:10" ht="12.75" customHeight="1" x14ac:dyDescent="0.2">
      <c r="A117" s="17" t="s">
        <v>592</v>
      </c>
      <c r="B117" s="8">
        <v>0.11</v>
      </c>
      <c r="C117" s="18">
        <v>21</v>
      </c>
      <c r="D117" s="26">
        <f t="shared" si="10"/>
        <v>2.31</v>
      </c>
      <c r="E117" s="53">
        <v>45405</v>
      </c>
      <c r="F117" s="44" t="s">
        <v>224</v>
      </c>
      <c r="G117" s="34">
        <v>24049</v>
      </c>
      <c r="H117" s="18"/>
      <c r="J117" s="19"/>
    </row>
    <row r="118" spans="1:10" ht="12.75" customHeight="1" x14ac:dyDescent="0.2">
      <c r="A118" s="17" t="s">
        <v>729</v>
      </c>
      <c r="B118" s="8">
        <v>1.1599999999999999</v>
      </c>
      <c r="C118" s="18">
        <v>2</v>
      </c>
      <c r="D118" s="26">
        <f t="shared" si="10"/>
        <v>2.3199999999999998</v>
      </c>
      <c r="E118" s="43">
        <v>45670</v>
      </c>
      <c r="F118" s="44" t="s">
        <v>125</v>
      </c>
      <c r="G118" s="34" t="s">
        <v>733</v>
      </c>
      <c r="H118" s="18"/>
      <c r="J118" s="19"/>
    </row>
    <row r="119" spans="1:10" ht="12.75" customHeight="1" x14ac:dyDescent="0.2">
      <c r="A119" s="17" t="s">
        <v>734</v>
      </c>
      <c r="B119" s="8">
        <v>7.21</v>
      </c>
      <c r="C119" s="18">
        <v>1</v>
      </c>
      <c r="D119" s="26">
        <f t="shared" si="10"/>
        <v>7.21</v>
      </c>
      <c r="E119" s="43">
        <v>45670</v>
      </c>
      <c r="F119" s="44" t="s">
        <v>125</v>
      </c>
      <c r="G119" t="s">
        <v>735</v>
      </c>
      <c r="H119" s="18"/>
      <c r="J119" s="19"/>
    </row>
    <row r="120" spans="1:10" ht="12.75" customHeight="1" x14ac:dyDescent="0.2">
      <c r="A120" s="17" t="s">
        <v>681</v>
      </c>
      <c r="B120" s="8">
        <v>0</v>
      </c>
      <c r="C120" s="18">
        <v>1</v>
      </c>
      <c r="D120" s="26">
        <f t="shared" si="10"/>
        <v>0</v>
      </c>
      <c r="E120" s="13"/>
      <c r="F120" s="44"/>
      <c r="H120" s="18"/>
      <c r="J120" s="19"/>
    </row>
    <row r="121" spans="1:10" ht="12.75" customHeight="1" x14ac:dyDescent="0.2">
      <c r="A121" s="17"/>
      <c r="B121" s="8"/>
      <c r="C121" s="18"/>
      <c r="D121" s="35"/>
      <c r="E121" s="13"/>
      <c r="F121" s="18"/>
      <c r="G121" s="18"/>
      <c r="H121" s="18"/>
      <c r="I121" s="18"/>
      <c r="J121" s="18"/>
    </row>
    <row r="122" spans="1:10" ht="12.6" customHeight="1" x14ac:dyDescent="0.2">
      <c r="A122" s="24" t="s">
        <v>305</v>
      </c>
      <c r="B122" s="50">
        <f>SUM(D123:D154)</f>
        <v>868.73</v>
      </c>
      <c r="C122" s="18"/>
      <c r="D122" s="35"/>
      <c r="E122" s="13"/>
      <c r="F122" s="18"/>
      <c r="G122" s="19"/>
      <c r="H122" s="18"/>
      <c r="I122" s="18"/>
      <c r="J122" s="18"/>
    </row>
    <row r="123" spans="1:10" ht="12.75" customHeight="1" x14ac:dyDescent="0.2">
      <c r="A123" s="34" t="s">
        <v>325</v>
      </c>
      <c r="B123" s="23">
        <v>134.81</v>
      </c>
      <c r="C123" s="18">
        <v>1</v>
      </c>
      <c r="D123" s="26">
        <f>B123*C123</f>
        <v>134.81</v>
      </c>
      <c r="E123" s="53">
        <v>45397</v>
      </c>
      <c r="F123" s="18" t="s">
        <v>125</v>
      </c>
      <c r="J123" s="19"/>
    </row>
    <row r="124" spans="1:10" ht="12.75" customHeight="1" x14ac:dyDescent="0.2">
      <c r="A124" s="34" t="s">
        <v>326</v>
      </c>
      <c r="B124" s="23">
        <v>100.82</v>
      </c>
      <c r="C124" s="18">
        <v>1</v>
      </c>
      <c r="D124" s="26">
        <f>B124*C124</f>
        <v>100.82</v>
      </c>
      <c r="E124" s="53">
        <v>45397</v>
      </c>
      <c r="F124" s="18" t="s">
        <v>125</v>
      </c>
      <c r="J124" s="19"/>
    </row>
    <row r="125" spans="1:10" ht="12.75" customHeight="1" x14ac:dyDescent="0.2">
      <c r="A125" s="34" t="s">
        <v>402</v>
      </c>
      <c r="B125" s="23">
        <v>54.55</v>
      </c>
      <c r="C125" s="18">
        <v>1</v>
      </c>
      <c r="D125" s="26">
        <f t="shared" ref="D125:D153" si="11">B125*C125</f>
        <v>54.55</v>
      </c>
      <c r="E125" s="53">
        <v>45397</v>
      </c>
      <c r="F125" s="18" t="s">
        <v>219</v>
      </c>
      <c r="J125" s="19"/>
    </row>
    <row r="126" spans="1:10" ht="12.75" customHeight="1" x14ac:dyDescent="0.2">
      <c r="A126" s="34" t="s">
        <v>402</v>
      </c>
      <c r="B126" s="34">
        <v>76.97</v>
      </c>
      <c r="C126" s="18">
        <v>1</v>
      </c>
      <c r="D126" s="26">
        <f>B126*C126</f>
        <v>76.97</v>
      </c>
      <c r="E126" s="25">
        <v>45567</v>
      </c>
      <c r="F126" s="18" t="s">
        <v>52</v>
      </c>
      <c r="J126" s="34" t="s">
        <v>641</v>
      </c>
    </row>
    <row r="127" spans="1:10" ht="12.75" customHeight="1" x14ac:dyDescent="0.2">
      <c r="A127" s="34" t="s">
        <v>403</v>
      </c>
      <c r="B127" s="23">
        <v>74.319999999999993</v>
      </c>
      <c r="C127" s="18">
        <v>1</v>
      </c>
      <c r="D127" s="26">
        <f>B127*C127</f>
        <v>74.319999999999993</v>
      </c>
      <c r="E127" s="53">
        <v>45397</v>
      </c>
      <c r="F127" s="18" t="s">
        <v>219</v>
      </c>
      <c r="J127" s="19"/>
    </row>
    <row r="128" spans="1:10" ht="12.75" customHeight="1" x14ac:dyDescent="0.2">
      <c r="A128" s="34" t="s">
        <v>327</v>
      </c>
      <c r="B128" s="23">
        <v>44.18</v>
      </c>
      <c r="C128" s="18">
        <v>1</v>
      </c>
      <c r="D128" s="26">
        <f t="shared" si="11"/>
        <v>44.18</v>
      </c>
      <c r="E128" s="25">
        <v>45406</v>
      </c>
      <c r="F128" s="18" t="s">
        <v>52</v>
      </c>
      <c r="J128" s="19"/>
    </row>
    <row r="129" spans="1:10" ht="12.75" customHeight="1" x14ac:dyDescent="0.2">
      <c r="A129" s="34" t="s">
        <v>370</v>
      </c>
      <c r="B129" s="23">
        <v>18.329999999999998</v>
      </c>
      <c r="C129" s="18">
        <v>1</v>
      </c>
      <c r="D129" s="26">
        <f>B129*C129</f>
        <v>18.329999999999998</v>
      </c>
      <c r="E129" s="53">
        <v>45397</v>
      </c>
      <c r="F129" s="18" t="s">
        <v>219</v>
      </c>
      <c r="J129" s="19"/>
    </row>
    <row r="130" spans="1:10" ht="12.75" customHeight="1" x14ac:dyDescent="0.2">
      <c r="A130" s="34" t="s">
        <v>328</v>
      </c>
      <c r="B130" s="23">
        <v>18.329999999999998</v>
      </c>
      <c r="C130" s="18">
        <v>1</v>
      </c>
      <c r="D130" s="26">
        <f t="shared" si="11"/>
        <v>18.329999999999998</v>
      </c>
      <c r="E130" s="53">
        <v>45397</v>
      </c>
      <c r="F130" s="18" t="s">
        <v>219</v>
      </c>
      <c r="J130" s="19"/>
    </row>
    <row r="131" spans="1:10" ht="12.75" customHeight="1" x14ac:dyDescent="0.2">
      <c r="A131" s="34" t="s">
        <v>334</v>
      </c>
      <c r="B131" s="23">
        <v>12.85</v>
      </c>
      <c r="C131" s="18">
        <v>1</v>
      </c>
      <c r="D131" s="26">
        <f t="shared" si="11"/>
        <v>12.85</v>
      </c>
      <c r="E131" s="53">
        <v>45397</v>
      </c>
      <c r="F131" s="18" t="s">
        <v>219</v>
      </c>
      <c r="J131" s="19"/>
    </row>
    <row r="132" spans="1:10" ht="12.75" customHeight="1" x14ac:dyDescent="0.2">
      <c r="A132" s="34" t="s">
        <v>335</v>
      </c>
      <c r="B132" s="23">
        <v>7.53</v>
      </c>
      <c r="C132" s="18">
        <v>1</v>
      </c>
      <c r="D132" s="26">
        <f t="shared" si="11"/>
        <v>7.53</v>
      </c>
      <c r="E132" s="53">
        <v>45397</v>
      </c>
      <c r="F132" s="18" t="s">
        <v>219</v>
      </c>
      <c r="J132" s="19"/>
    </row>
    <row r="133" spans="1:10" ht="12.75" customHeight="1" x14ac:dyDescent="0.2">
      <c r="A133" s="34" t="s">
        <v>317</v>
      </c>
      <c r="B133" s="23">
        <v>23.03</v>
      </c>
      <c r="C133" s="18">
        <v>1</v>
      </c>
      <c r="D133" s="26">
        <f>B133*C133</f>
        <v>23.03</v>
      </c>
      <c r="E133" s="53">
        <v>45397</v>
      </c>
      <c r="F133" s="18" t="s">
        <v>219</v>
      </c>
      <c r="J133" s="19"/>
    </row>
    <row r="134" spans="1:10" ht="12.75" customHeight="1" x14ac:dyDescent="0.2">
      <c r="A134" s="34" t="s">
        <v>317</v>
      </c>
      <c r="B134" s="34">
        <v>30.81</v>
      </c>
      <c r="C134" s="18">
        <v>1</v>
      </c>
      <c r="D134" s="26">
        <f>B134*C134</f>
        <v>30.81</v>
      </c>
      <c r="E134" s="25">
        <v>45567</v>
      </c>
      <c r="F134" s="18" t="s">
        <v>52</v>
      </c>
      <c r="J134" s="34" t="s">
        <v>641</v>
      </c>
    </row>
    <row r="135" spans="1:10" ht="12.75" customHeight="1" x14ac:dyDescent="0.2">
      <c r="A135" s="34" t="s">
        <v>332</v>
      </c>
      <c r="B135" s="23">
        <v>13.5</v>
      </c>
      <c r="C135" s="18">
        <v>1</v>
      </c>
      <c r="D135" s="26">
        <f t="shared" si="11"/>
        <v>13.5</v>
      </c>
      <c r="E135" s="53">
        <v>45397</v>
      </c>
      <c r="F135" s="18" t="s">
        <v>219</v>
      </c>
      <c r="J135" s="19"/>
    </row>
    <row r="136" spans="1:10" ht="12.75" customHeight="1" x14ac:dyDescent="0.2">
      <c r="A136" s="34" t="s">
        <v>318</v>
      </c>
      <c r="B136" s="23">
        <v>9.15</v>
      </c>
      <c r="C136" s="18">
        <v>1</v>
      </c>
      <c r="D136" s="26">
        <f t="shared" si="11"/>
        <v>9.15</v>
      </c>
      <c r="E136" s="53">
        <v>45397</v>
      </c>
      <c r="F136" s="18" t="s">
        <v>219</v>
      </c>
      <c r="J136" s="19" t="s">
        <v>319</v>
      </c>
    </row>
    <row r="137" spans="1:10" ht="12.75" customHeight="1" x14ac:dyDescent="0.2">
      <c r="A137" s="34" t="s">
        <v>330</v>
      </c>
      <c r="B137" s="23">
        <v>32.47</v>
      </c>
      <c r="C137" s="18">
        <v>1</v>
      </c>
      <c r="D137" s="26">
        <f t="shared" si="11"/>
        <v>32.47</v>
      </c>
      <c r="E137" s="53">
        <v>45397</v>
      </c>
      <c r="F137" s="18" t="s">
        <v>219</v>
      </c>
      <c r="J137" s="19"/>
    </row>
    <row r="138" spans="1:10" ht="12.75" customHeight="1" x14ac:dyDescent="0.2">
      <c r="A138" s="34" t="s">
        <v>329</v>
      </c>
      <c r="B138" s="23">
        <v>21.65</v>
      </c>
      <c r="C138" s="18">
        <v>2</v>
      </c>
      <c r="D138" s="26">
        <f t="shared" si="11"/>
        <v>43.3</v>
      </c>
      <c r="E138" s="53">
        <v>45397</v>
      </c>
      <c r="F138" s="18" t="s">
        <v>219</v>
      </c>
      <c r="J138" s="19"/>
    </row>
    <row r="139" spans="1:10" ht="12.75" customHeight="1" x14ac:dyDescent="0.2">
      <c r="A139" s="34" t="s">
        <v>323</v>
      </c>
      <c r="B139" s="23">
        <v>23.7</v>
      </c>
      <c r="C139" s="18">
        <v>1</v>
      </c>
      <c r="D139" s="26">
        <f t="shared" si="11"/>
        <v>23.7</v>
      </c>
      <c r="E139" s="53">
        <v>45397</v>
      </c>
      <c r="F139" s="18" t="s">
        <v>219</v>
      </c>
      <c r="J139" s="19" t="s">
        <v>688</v>
      </c>
    </row>
    <row r="140" spans="1:10" ht="12.75" customHeight="1" x14ac:dyDescent="0.2">
      <c r="A140" s="34" t="s">
        <v>686</v>
      </c>
      <c r="B140" s="8">
        <v>62.84</v>
      </c>
      <c r="C140" s="18">
        <v>1</v>
      </c>
      <c r="D140" s="26">
        <f t="shared" si="11"/>
        <v>62.84</v>
      </c>
      <c r="E140" s="53">
        <v>45615</v>
      </c>
      <c r="F140" s="18" t="s">
        <v>52</v>
      </c>
      <c r="J140" s="19"/>
    </row>
    <row r="141" spans="1:10" ht="12.75" customHeight="1" x14ac:dyDescent="0.2">
      <c r="A141" s="34" t="s">
        <v>687</v>
      </c>
      <c r="B141" s="8">
        <v>31.64</v>
      </c>
      <c r="C141" s="18">
        <v>1</v>
      </c>
      <c r="D141" s="26">
        <f t="shared" si="11"/>
        <v>31.64</v>
      </c>
      <c r="E141" s="53">
        <v>45615</v>
      </c>
      <c r="F141" s="18" t="s">
        <v>52</v>
      </c>
      <c r="J141" s="19"/>
    </row>
    <row r="142" spans="1:10" ht="12.75" customHeight="1" x14ac:dyDescent="0.2">
      <c r="A142" s="34" t="s">
        <v>316</v>
      </c>
      <c r="B142" s="23">
        <v>21.38</v>
      </c>
      <c r="C142" s="18">
        <v>1</v>
      </c>
      <c r="D142" s="26">
        <f t="shared" ref="D142" si="12">B142*C142</f>
        <v>21.38</v>
      </c>
      <c r="E142" s="43">
        <v>45670</v>
      </c>
      <c r="F142" s="44" t="s">
        <v>125</v>
      </c>
      <c r="G142" s="34" t="s">
        <v>730</v>
      </c>
      <c r="J142" s="19"/>
    </row>
    <row r="143" spans="1:10" ht="12.75" customHeight="1" x14ac:dyDescent="0.2">
      <c r="A143" s="34" t="s">
        <v>384</v>
      </c>
      <c r="B143" s="23">
        <v>1.58</v>
      </c>
      <c r="C143" s="18">
        <v>2</v>
      </c>
      <c r="D143" s="26">
        <f t="shared" si="11"/>
        <v>3.16</v>
      </c>
      <c r="E143" s="25">
        <v>45394</v>
      </c>
      <c r="F143" s="18" t="s">
        <v>122</v>
      </c>
      <c r="J143" s="19"/>
    </row>
    <row r="144" spans="1:10" ht="12.75" customHeight="1" x14ac:dyDescent="0.2">
      <c r="A144" s="34" t="s">
        <v>365</v>
      </c>
      <c r="B144" s="23">
        <v>2.12</v>
      </c>
      <c r="C144" s="18">
        <v>1</v>
      </c>
      <c r="D144" s="26">
        <f t="shared" si="11"/>
        <v>2.12</v>
      </c>
      <c r="E144" s="25">
        <v>45394</v>
      </c>
      <c r="F144" s="18" t="s">
        <v>122</v>
      </c>
      <c r="J144" s="19"/>
    </row>
    <row r="145" spans="1:10" ht="12.75" customHeight="1" x14ac:dyDescent="0.2">
      <c r="A145" s="34" t="s">
        <v>371</v>
      </c>
      <c r="B145" s="23">
        <v>5.36</v>
      </c>
      <c r="C145" s="18">
        <v>1</v>
      </c>
      <c r="D145" s="26">
        <f t="shared" si="11"/>
        <v>5.36</v>
      </c>
      <c r="E145" s="25">
        <v>45394</v>
      </c>
      <c r="F145" s="18" t="s">
        <v>122</v>
      </c>
      <c r="J145" s="19"/>
    </row>
    <row r="146" spans="1:10" ht="12.75" customHeight="1" x14ac:dyDescent="0.2">
      <c r="A146" s="34" t="s">
        <v>369</v>
      </c>
      <c r="B146" s="23">
        <v>1.94</v>
      </c>
      <c r="C146" s="18">
        <v>1</v>
      </c>
      <c r="D146" s="26">
        <f t="shared" si="11"/>
        <v>1.94</v>
      </c>
      <c r="E146" s="25">
        <v>45394</v>
      </c>
      <c r="F146" s="18" t="s">
        <v>122</v>
      </c>
      <c r="J146" s="19"/>
    </row>
    <row r="147" spans="1:10" ht="12.75" customHeight="1" x14ac:dyDescent="0.2">
      <c r="A147" s="34" t="s">
        <v>369</v>
      </c>
      <c r="B147" s="23">
        <v>1.94</v>
      </c>
      <c r="C147" s="18">
        <v>1</v>
      </c>
      <c r="D147" s="26">
        <f t="shared" si="11"/>
        <v>1.94</v>
      </c>
      <c r="E147" s="53">
        <v>45610</v>
      </c>
      <c r="F147" s="18" t="s">
        <v>122</v>
      </c>
      <c r="J147" s="18" t="s">
        <v>727</v>
      </c>
    </row>
    <row r="148" spans="1:10" ht="12.75" customHeight="1" x14ac:dyDescent="0.2">
      <c r="A148" s="17" t="s">
        <v>689</v>
      </c>
      <c r="B148" s="8">
        <v>1.57</v>
      </c>
      <c r="C148" s="18">
        <v>1</v>
      </c>
      <c r="D148" s="26">
        <f t="shared" si="11"/>
        <v>1.57</v>
      </c>
      <c r="E148" s="25">
        <v>45644</v>
      </c>
      <c r="F148" s="18" t="s">
        <v>122</v>
      </c>
      <c r="G148" t="s">
        <v>793</v>
      </c>
      <c r="J148" s="18"/>
    </row>
    <row r="149" spans="1:10" ht="12.75" customHeight="1" x14ac:dyDescent="0.2">
      <c r="A149" s="34" t="s">
        <v>365</v>
      </c>
      <c r="B149" s="23">
        <v>2.1</v>
      </c>
      <c r="C149" s="18">
        <v>1</v>
      </c>
      <c r="D149" s="26">
        <f t="shared" si="11"/>
        <v>2.1</v>
      </c>
      <c r="E149" s="53">
        <v>45610</v>
      </c>
      <c r="F149" s="18" t="s">
        <v>122</v>
      </c>
    </row>
    <row r="150" spans="1:10" ht="12.75" customHeight="1" x14ac:dyDescent="0.2">
      <c r="A150" s="34" t="s">
        <v>365</v>
      </c>
      <c r="B150" s="23">
        <v>1.89</v>
      </c>
      <c r="C150" s="18">
        <v>1</v>
      </c>
      <c r="D150" s="26">
        <f t="shared" ref="D150" si="13">B150*C150</f>
        <v>1.89</v>
      </c>
      <c r="E150" s="53">
        <v>45706</v>
      </c>
      <c r="F150" s="18" t="s">
        <v>122</v>
      </c>
      <c r="G150" t="s">
        <v>784</v>
      </c>
      <c r="J150" s="34" t="s">
        <v>751</v>
      </c>
    </row>
    <row r="151" spans="1:10" ht="12.75" customHeight="1" x14ac:dyDescent="0.2">
      <c r="A151" s="34" t="s">
        <v>371</v>
      </c>
      <c r="B151" s="23">
        <v>5.31</v>
      </c>
      <c r="C151" s="18">
        <v>1</v>
      </c>
      <c r="D151" s="26">
        <f t="shared" si="11"/>
        <v>5.31</v>
      </c>
      <c r="E151" s="53">
        <v>45610</v>
      </c>
      <c r="F151" s="18" t="s">
        <v>122</v>
      </c>
      <c r="J151" s="19"/>
    </row>
    <row r="152" spans="1:10" ht="12.75" customHeight="1" x14ac:dyDescent="0.2">
      <c r="A152" s="34" t="s">
        <v>690</v>
      </c>
      <c r="B152" s="23">
        <v>6.94</v>
      </c>
      <c r="C152" s="18">
        <v>1</v>
      </c>
      <c r="D152" s="26">
        <f t="shared" si="11"/>
        <v>6.94</v>
      </c>
      <c r="E152" s="53">
        <v>45610</v>
      </c>
      <c r="F152" s="18" t="s">
        <v>29</v>
      </c>
      <c r="J152" s="19"/>
    </row>
    <row r="153" spans="1:10" ht="12.75" customHeight="1" x14ac:dyDescent="0.2">
      <c r="A153" s="34" t="s">
        <v>352</v>
      </c>
      <c r="B153" s="23">
        <v>1.89</v>
      </c>
      <c r="C153" s="18">
        <v>1</v>
      </c>
      <c r="D153" s="26">
        <f t="shared" si="11"/>
        <v>1.89</v>
      </c>
      <c r="E153" s="53">
        <v>45610</v>
      </c>
      <c r="F153" s="18" t="s">
        <v>122</v>
      </c>
      <c r="J153" s="19"/>
    </row>
    <row r="154" spans="1:10" ht="12.75" customHeight="1" x14ac:dyDescent="0.2">
      <c r="A154" s="17"/>
      <c r="B154" s="8"/>
      <c r="C154" s="18"/>
      <c r="D154" s="35"/>
      <c r="E154" s="13"/>
      <c r="F154" s="18"/>
      <c r="G154" s="19"/>
      <c r="H154" s="18"/>
      <c r="I154" s="18"/>
      <c r="J154" s="18"/>
    </row>
    <row r="155" spans="1:10" ht="12.6" customHeight="1" x14ac:dyDescent="0.2">
      <c r="A155" s="24" t="s">
        <v>306</v>
      </c>
      <c r="B155" s="50">
        <f>SUM(D156:D171)</f>
        <v>437.09000000000003</v>
      </c>
      <c r="C155" s="18"/>
      <c r="D155" s="35"/>
      <c r="E155" s="13"/>
      <c r="F155" s="18"/>
      <c r="G155" s="19"/>
      <c r="H155" s="18"/>
      <c r="I155" s="18"/>
      <c r="J155" s="18"/>
    </row>
    <row r="156" spans="1:10" ht="12.75" customHeight="1" x14ac:dyDescent="0.2">
      <c r="A156" s="34" t="s">
        <v>325</v>
      </c>
      <c r="B156" s="23">
        <v>134.81</v>
      </c>
      <c r="C156" s="18">
        <v>1</v>
      </c>
      <c r="D156" s="26">
        <f t="shared" ref="D156:D170" si="14">B156*C156</f>
        <v>134.81</v>
      </c>
      <c r="E156" s="53">
        <v>45397</v>
      </c>
      <c r="F156" s="18" t="s">
        <v>125</v>
      </c>
      <c r="J156" s="19"/>
    </row>
    <row r="157" spans="1:10" ht="12.75" customHeight="1" x14ac:dyDescent="0.2">
      <c r="A157" s="34" t="s">
        <v>402</v>
      </c>
      <c r="B157" s="23">
        <v>54.55</v>
      </c>
      <c r="C157" s="18">
        <v>1</v>
      </c>
      <c r="D157" s="26">
        <f t="shared" si="14"/>
        <v>54.55</v>
      </c>
      <c r="E157" s="53">
        <v>45397</v>
      </c>
      <c r="F157" s="18" t="s">
        <v>219</v>
      </c>
      <c r="J157" s="19"/>
    </row>
    <row r="158" spans="1:10" ht="12.75" customHeight="1" x14ac:dyDescent="0.2">
      <c r="A158" s="34" t="s">
        <v>327</v>
      </c>
      <c r="B158" s="23">
        <v>44.18</v>
      </c>
      <c r="C158" s="18">
        <v>1</v>
      </c>
      <c r="D158" s="26">
        <f t="shared" si="14"/>
        <v>44.18</v>
      </c>
      <c r="E158" s="25">
        <v>45406</v>
      </c>
      <c r="F158" s="18" t="s">
        <v>52</v>
      </c>
      <c r="J158" s="19"/>
    </row>
    <row r="159" spans="1:10" ht="12.75" customHeight="1" x14ac:dyDescent="0.2">
      <c r="A159" s="34" t="s">
        <v>314</v>
      </c>
      <c r="B159" s="23">
        <v>11.8</v>
      </c>
      <c r="C159" s="18">
        <v>1</v>
      </c>
      <c r="D159" s="26">
        <f t="shared" si="14"/>
        <v>11.8</v>
      </c>
      <c r="E159" s="53">
        <v>45397</v>
      </c>
      <c r="F159" s="18" t="s">
        <v>219</v>
      </c>
      <c r="J159" s="19"/>
    </row>
    <row r="160" spans="1:10" ht="12.75" customHeight="1" x14ac:dyDescent="0.2">
      <c r="A160" s="34" t="s">
        <v>317</v>
      </c>
      <c r="B160" s="23">
        <v>23.03</v>
      </c>
      <c r="C160" s="18">
        <v>1</v>
      </c>
      <c r="D160" s="26">
        <f t="shared" si="14"/>
        <v>23.03</v>
      </c>
      <c r="E160" s="53">
        <v>45397</v>
      </c>
      <c r="F160" s="18" t="s">
        <v>219</v>
      </c>
      <c r="J160" s="19"/>
    </row>
    <row r="161" spans="1:10" ht="12.75" customHeight="1" x14ac:dyDescent="0.2">
      <c r="A161" s="34" t="s">
        <v>332</v>
      </c>
      <c r="B161" s="23">
        <v>13.5</v>
      </c>
      <c r="C161" s="18">
        <v>1</v>
      </c>
      <c r="D161" s="26">
        <f t="shared" si="14"/>
        <v>13.5</v>
      </c>
      <c r="E161" s="53">
        <v>45397</v>
      </c>
      <c r="F161" s="18" t="s">
        <v>219</v>
      </c>
      <c r="J161" s="19"/>
    </row>
    <row r="162" spans="1:10" ht="12.75" customHeight="1" x14ac:dyDescent="0.2">
      <c r="A162" s="34" t="s">
        <v>318</v>
      </c>
      <c r="B162" s="23">
        <v>9.15</v>
      </c>
      <c r="C162" s="18">
        <v>1</v>
      </c>
      <c r="D162" s="26">
        <f t="shared" si="14"/>
        <v>9.15</v>
      </c>
      <c r="E162" s="53">
        <v>45397</v>
      </c>
      <c r="F162" s="18" t="s">
        <v>219</v>
      </c>
      <c r="J162" s="19" t="s">
        <v>319</v>
      </c>
    </row>
    <row r="163" spans="1:10" ht="12.75" customHeight="1" x14ac:dyDescent="0.2">
      <c r="A163" s="34" t="s">
        <v>331</v>
      </c>
      <c r="B163" s="23">
        <v>11.68</v>
      </c>
      <c r="C163" s="18">
        <v>1</v>
      </c>
      <c r="D163" s="26">
        <f t="shared" si="14"/>
        <v>11.68</v>
      </c>
      <c r="E163" s="53">
        <v>45397</v>
      </c>
      <c r="F163" s="18" t="s">
        <v>219</v>
      </c>
      <c r="J163" s="19"/>
    </row>
    <row r="164" spans="1:10" ht="12.75" customHeight="1" x14ac:dyDescent="0.2">
      <c r="A164" s="34" t="s">
        <v>333</v>
      </c>
      <c r="B164" s="23">
        <v>7.65</v>
      </c>
      <c r="C164" s="18">
        <v>1</v>
      </c>
      <c r="D164" s="26">
        <f t="shared" si="14"/>
        <v>7.65</v>
      </c>
      <c r="E164" s="53">
        <v>45397</v>
      </c>
      <c r="F164" s="18" t="s">
        <v>219</v>
      </c>
      <c r="J164" s="19"/>
    </row>
    <row r="165" spans="1:10" ht="12.75" customHeight="1" x14ac:dyDescent="0.2">
      <c r="A165" s="34" t="s">
        <v>408</v>
      </c>
      <c r="B165" s="8">
        <v>25.53</v>
      </c>
      <c r="C165" s="18">
        <v>1</v>
      </c>
      <c r="D165" s="26">
        <f t="shared" si="14"/>
        <v>25.53</v>
      </c>
      <c r="E165" s="53">
        <v>45397</v>
      </c>
      <c r="F165" s="18" t="s">
        <v>219</v>
      </c>
      <c r="J165" s="19" t="s">
        <v>685</v>
      </c>
    </row>
    <row r="166" spans="1:10" ht="12.75" customHeight="1" x14ac:dyDescent="0.2">
      <c r="A166" s="34" t="s">
        <v>686</v>
      </c>
      <c r="B166" s="8">
        <v>62.84</v>
      </c>
      <c r="C166" s="18">
        <v>1</v>
      </c>
      <c r="D166" s="26">
        <f t="shared" si="14"/>
        <v>62.84</v>
      </c>
      <c r="E166" s="53">
        <v>45615</v>
      </c>
      <c r="F166" s="18" t="s">
        <v>52</v>
      </c>
      <c r="J166" s="19"/>
    </row>
    <row r="167" spans="1:10" ht="12.75" customHeight="1" x14ac:dyDescent="0.2">
      <c r="A167" s="34" t="s">
        <v>687</v>
      </c>
      <c r="B167" s="8">
        <v>31.64</v>
      </c>
      <c r="C167" s="18">
        <v>1</v>
      </c>
      <c r="D167" s="26">
        <f t="shared" si="14"/>
        <v>31.64</v>
      </c>
      <c r="E167" s="53">
        <v>45615</v>
      </c>
      <c r="F167" s="18" t="s">
        <v>52</v>
      </c>
      <c r="J167" s="19"/>
    </row>
    <row r="168" spans="1:10" ht="12.75" customHeight="1" x14ac:dyDescent="0.2">
      <c r="A168" s="34" t="s">
        <v>372</v>
      </c>
      <c r="B168" s="8">
        <v>1.61</v>
      </c>
      <c r="C168" s="18">
        <v>2</v>
      </c>
      <c r="D168" s="26">
        <f t="shared" si="14"/>
        <v>3.22</v>
      </c>
      <c r="E168" s="25">
        <v>45394</v>
      </c>
      <c r="F168" s="18" t="s">
        <v>122</v>
      </c>
      <c r="J168" s="19" t="s">
        <v>671</v>
      </c>
    </row>
    <row r="169" spans="1:10" ht="12.75" customHeight="1" x14ac:dyDescent="0.2">
      <c r="A169" s="17" t="s">
        <v>369</v>
      </c>
      <c r="B169" s="8">
        <v>1.94</v>
      </c>
      <c r="C169" s="18">
        <v>1</v>
      </c>
      <c r="D169" s="26">
        <f t="shared" si="14"/>
        <v>1.94</v>
      </c>
      <c r="E169" s="53">
        <v>45610</v>
      </c>
      <c r="F169" s="18" t="s">
        <v>122</v>
      </c>
      <c r="J169" s="18" t="s">
        <v>727</v>
      </c>
    </row>
    <row r="170" spans="1:10" ht="12.75" customHeight="1" x14ac:dyDescent="0.2">
      <c r="A170" s="17" t="s">
        <v>689</v>
      </c>
      <c r="B170" s="8">
        <v>1.57</v>
      </c>
      <c r="C170" s="18">
        <v>1</v>
      </c>
      <c r="D170" s="26">
        <f t="shared" si="14"/>
        <v>1.57</v>
      </c>
      <c r="E170" s="25">
        <v>45644</v>
      </c>
      <c r="F170" s="18" t="s">
        <v>122</v>
      </c>
      <c r="G170" t="s">
        <v>793</v>
      </c>
      <c r="J170" s="18"/>
    </row>
    <row r="171" spans="1:10" ht="12.75" customHeight="1" x14ac:dyDescent="0.2">
      <c r="A171" s="17"/>
      <c r="B171" s="8"/>
      <c r="C171" s="18"/>
      <c r="D171" s="35"/>
      <c r="E171" s="13"/>
      <c r="F171" s="18"/>
      <c r="G171" s="19"/>
      <c r="H171" s="18"/>
      <c r="I171" s="18"/>
      <c r="J171" s="18"/>
    </row>
    <row r="172" spans="1:10" ht="12.6" customHeight="1" x14ac:dyDescent="0.2">
      <c r="A172" s="24" t="s">
        <v>366</v>
      </c>
      <c r="B172" s="50">
        <f>SUM(D173:D183)</f>
        <v>205.52</v>
      </c>
      <c r="C172" s="18"/>
      <c r="D172" s="35"/>
      <c r="E172" s="13"/>
      <c r="F172" s="18"/>
      <c r="G172" s="19"/>
      <c r="H172" s="18"/>
      <c r="I172" s="18"/>
      <c r="J172" s="18"/>
    </row>
    <row r="173" spans="1:10" ht="12.6" customHeight="1" x14ac:dyDescent="0.2">
      <c r="A173" s="34" t="s">
        <v>367</v>
      </c>
      <c r="B173" s="55">
        <v>66.900000000000006</v>
      </c>
      <c r="C173" s="18">
        <v>1</v>
      </c>
      <c r="D173" s="26">
        <f t="shared" ref="D173:D182" si="15">B173*C173</f>
        <v>66.900000000000006</v>
      </c>
      <c r="E173" s="25">
        <v>45397</v>
      </c>
      <c r="F173" s="18" t="s">
        <v>125</v>
      </c>
      <c r="G173" s="19"/>
      <c r="H173" s="18"/>
      <c r="I173" s="18"/>
      <c r="J173" s="18"/>
    </row>
    <row r="174" spans="1:10" ht="12.75" customHeight="1" x14ac:dyDescent="0.2">
      <c r="A174" s="34" t="s">
        <v>370</v>
      </c>
      <c r="B174" s="23">
        <v>18.329999999999998</v>
      </c>
      <c r="C174" s="18">
        <v>1</v>
      </c>
      <c r="D174" s="26">
        <f t="shared" si="15"/>
        <v>18.329999999999998</v>
      </c>
      <c r="E174" s="53">
        <v>45397</v>
      </c>
      <c r="F174" s="18" t="s">
        <v>219</v>
      </c>
      <c r="J174" s="19"/>
    </row>
    <row r="175" spans="1:10" ht="12.75" customHeight="1" x14ac:dyDescent="0.2">
      <c r="A175" s="34" t="s">
        <v>370</v>
      </c>
      <c r="B175" s="34">
        <v>25.66</v>
      </c>
      <c r="C175" s="18">
        <v>1</v>
      </c>
      <c r="D175" s="26">
        <f>B175*C175</f>
        <v>25.66</v>
      </c>
      <c r="E175" s="25">
        <v>45567</v>
      </c>
      <c r="F175" s="18" t="s">
        <v>52</v>
      </c>
      <c r="J175" s="34" t="s">
        <v>641</v>
      </c>
    </row>
    <row r="176" spans="1:10" ht="12.75" customHeight="1" x14ac:dyDescent="0.2">
      <c r="A176" s="34" t="s">
        <v>370</v>
      </c>
      <c r="B176" s="23">
        <v>22.47</v>
      </c>
      <c r="C176" s="18">
        <v>1</v>
      </c>
      <c r="D176" s="26">
        <f>B176*C176</f>
        <v>22.47</v>
      </c>
      <c r="E176" s="53">
        <v>45693</v>
      </c>
      <c r="F176" s="18" t="s">
        <v>33</v>
      </c>
      <c r="J176" s="34" t="s">
        <v>770</v>
      </c>
    </row>
    <row r="177" spans="1:10" ht="12.75" customHeight="1" x14ac:dyDescent="0.2">
      <c r="A177" s="34" t="s">
        <v>335</v>
      </c>
      <c r="B177" s="23">
        <v>7.53</v>
      </c>
      <c r="C177" s="18">
        <v>1</v>
      </c>
      <c r="D177" s="26">
        <f t="shared" si="15"/>
        <v>7.53</v>
      </c>
      <c r="E177" s="53">
        <v>45397</v>
      </c>
      <c r="F177" s="18" t="s">
        <v>219</v>
      </c>
      <c r="J177" s="19"/>
    </row>
    <row r="178" spans="1:10" ht="12.75" customHeight="1" x14ac:dyDescent="0.2">
      <c r="A178" s="34" t="s">
        <v>332</v>
      </c>
      <c r="B178" s="8">
        <v>13.5</v>
      </c>
      <c r="C178" s="18">
        <v>2</v>
      </c>
      <c r="D178" s="26">
        <f t="shared" si="15"/>
        <v>27</v>
      </c>
      <c r="E178" s="53">
        <v>45397</v>
      </c>
      <c r="F178" s="18" t="s">
        <v>219</v>
      </c>
      <c r="G178" s="19"/>
      <c r="H178" s="18"/>
      <c r="I178" s="18"/>
      <c r="J178" s="18"/>
    </row>
    <row r="179" spans="1:10" ht="12.75" customHeight="1" x14ac:dyDescent="0.2">
      <c r="A179" s="34" t="s">
        <v>373</v>
      </c>
      <c r="B179" s="8">
        <v>23.7</v>
      </c>
      <c r="C179" s="18">
        <v>1</v>
      </c>
      <c r="D179" s="26">
        <f>B179*C179</f>
        <v>23.7</v>
      </c>
      <c r="E179" s="53">
        <v>45397</v>
      </c>
      <c r="F179" s="18" t="s">
        <v>219</v>
      </c>
      <c r="G179" s="19"/>
      <c r="H179" s="18"/>
      <c r="I179" s="18"/>
      <c r="J179" s="18" t="s">
        <v>771</v>
      </c>
    </row>
    <row r="180" spans="1:10" ht="12.75" customHeight="1" x14ac:dyDescent="0.2">
      <c r="A180" s="34" t="s">
        <v>374</v>
      </c>
      <c r="B180" s="8">
        <v>7.65</v>
      </c>
      <c r="C180" s="18">
        <v>1</v>
      </c>
      <c r="D180" s="26">
        <f>B180*C180</f>
        <v>7.65</v>
      </c>
      <c r="E180" s="53">
        <v>45397</v>
      </c>
      <c r="F180" s="18" t="s">
        <v>219</v>
      </c>
      <c r="G180" s="19"/>
      <c r="H180" s="18"/>
      <c r="I180" s="18"/>
      <c r="J180" s="18"/>
    </row>
    <row r="181" spans="1:10" ht="12.75" customHeight="1" x14ac:dyDescent="0.2">
      <c r="A181" s="34" t="s">
        <v>375</v>
      </c>
      <c r="B181" s="8">
        <v>4.83</v>
      </c>
      <c r="C181" s="18">
        <v>1</v>
      </c>
      <c r="D181" s="26">
        <f>B181*C181</f>
        <v>4.83</v>
      </c>
      <c r="E181" s="25">
        <v>45394</v>
      </c>
      <c r="F181" s="18" t="s">
        <v>122</v>
      </c>
      <c r="G181" s="19"/>
      <c r="H181" s="18"/>
      <c r="I181" s="18"/>
      <c r="J181" s="18"/>
    </row>
    <row r="182" spans="1:10" ht="12.75" customHeight="1" x14ac:dyDescent="0.2">
      <c r="A182" s="34" t="s">
        <v>368</v>
      </c>
      <c r="B182" s="8">
        <v>1.45</v>
      </c>
      <c r="C182" s="18">
        <v>1</v>
      </c>
      <c r="D182" s="26">
        <f t="shared" si="15"/>
        <v>1.45</v>
      </c>
      <c r="E182" s="25">
        <v>45394</v>
      </c>
      <c r="F182" s="18" t="s">
        <v>122</v>
      </c>
      <c r="G182" s="19"/>
      <c r="H182" s="18"/>
      <c r="I182" s="18"/>
      <c r="J182" s="18"/>
    </row>
    <row r="183" spans="1:10" ht="12.75" customHeight="1" x14ac:dyDescent="0.2">
      <c r="A183" s="17"/>
      <c r="B183" s="8"/>
      <c r="C183" s="18"/>
      <c r="D183" s="26"/>
      <c r="E183" s="13"/>
      <c r="F183" s="18"/>
      <c r="G183" s="19"/>
      <c r="H183" s="18"/>
      <c r="I183" s="18"/>
      <c r="J183" s="18"/>
    </row>
    <row r="184" spans="1:10" ht="12.6" customHeight="1" x14ac:dyDescent="0.2">
      <c r="A184" s="24" t="s">
        <v>379</v>
      </c>
      <c r="B184" s="50">
        <f>SUM(D185:D192)</f>
        <v>85.210000000000008</v>
      </c>
      <c r="C184" s="18"/>
      <c r="D184" s="35"/>
      <c r="E184" s="13"/>
      <c r="F184" s="18"/>
      <c r="G184" s="19"/>
      <c r="H184" s="18"/>
      <c r="I184" s="18"/>
      <c r="J184" s="18"/>
    </row>
    <row r="185" spans="1:10" ht="12.6" customHeight="1" x14ac:dyDescent="0.2">
      <c r="A185" s="17" t="s">
        <v>380</v>
      </c>
      <c r="B185" s="55">
        <v>0</v>
      </c>
      <c r="C185" s="18">
        <v>1</v>
      </c>
      <c r="D185" s="26">
        <f t="shared" ref="D185:D191" si="16">B185*C185</f>
        <v>0</v>
      </c>
      <c r="E185" s="13"/>
      <c r="F185" s="18" t="s">
        <v>640</v>
      </c>
      <c r="G185" s="19"/>
      <c r="H185" s="18"/>
      <c r="I185" s="18"/>
      <c r="J185" s="18"/>
    </row>
    <row r="186" spans="1:10" ht="12.6" customHeight="1" x14ac:dyDescent="0.2">
      <c r="A186" s="17" t="s">
        <v>124</v>
      </c>
      <c r="B186" s="8">
        <v>3.5</v>
      </c>
      <c r="C186" s="18">
        <v>4</v>
      </c>
      <c r="D186" s="26">
        <f t="shared" si="16"/>
        <v>14</v>
      </c>
      <c r="E186" s="25">
        <v>45566</v>
      </c>
      <c r="F186" s="13" t="s">
        <v>125</v>
      </c>
      <c r="G186" s="19" t="s">
        <v>126</v>
      </c>
      <c r="H186" s="18"/>
      <c r="I186" s="18"/>
      <c r="J186" s="18"/>
    </row>
    <row r="187" spans="1:10" ht="12.6" customHeight="1" x14ac:dyDescent="0.2">
      <c r="A187" s="17" t="s">
        <v>643</v>
      </c>
      <c r="B187" s="8">
        <v>1.65</v>
      </c>
      <c r="C187" s="18">
        <v>2</v>
      </c>
      <c r="D187" s="26">
        <f t="shared" si="16"/>
        <v>3.3</v>
      </c>
      <c r="E187" s="25">
        <v>45566</v>
      </c>
      <c r="F187" s="13" t="s">
        <v>125</v>
      </c>
      <c r="G187" s="34" t="s">
        <v>644</v>
      </c>
      <c r="H187" s="18"/>
      <c r="I187" s="18"/>
      <c r="J187" s="18"/>
    </row>
    <row r="188" spans="1:10" ht="12.6" customHeight="1" x14ac:dyDescent="0.2">
      <c r="A188" s="17" t="s">
        <v>645</v>
      </c>
      <c r="B188" s="8">
        <v>3.15</v>
      </c>
      <c r="C188" s="18">
        <v>1</v>
      </c>
      <c r="D188" s="26">
        <f t="shared" si="16"/>
        <v>3.15</v>
      </c>
      <c r="E188" s="25">
        <v>45567</v>
      </c>
      <c r="F188" s="13" t="s">
        <v>122</v>
      </c>
      <c r="G188" s="34" t="s">
        <v>646</v>
      </c>
      <c r="H188" s="18"/>
      <c r="I188" s="18"/>
      <c r="J188" s="18"/>
    </row>
    <row r="189" spans="1:10" ht="12.75" customHeight="1" x14ac:dyDescent="0.2">
      <c r="A189" s="17" t="s">
        <v>376</v>
      </c>
      <c r="B189" s="8">
        <v>2.78</v>
      </c>
      <c r="C189" s="18">
        <v>4</v>
      </c>
      <c r="D189" s="26">
        <f t="shared" si="16"/>
        <v>11.12</v>
      </c>
      <c r="E189" s="25">
        <v>45397</v>
      </c>
      <c r="F189" s="44" t="s">
        <v>125</v>
      </c>
      <c r="G189" s="34" t="s">
        <v>377</v>
      </c>
      <c r="H189" s="18"/>
      <c r="J189" s="19"/>
    </row>
    <row r="190" spans="1:10" ht="12.75" customHeight="1" x14ac:dyDescent="0.2">
      <c r="A190" s="17" t="s">
        <v>470</v>
      </c>
      <c r="B190" s="8">
        <v>8.94</v>
      </c>
      <c r="C190" s="18">
        <v>6</v>
      </c>
      <c r="D190" s="26">
        <f t="shared" si="16"/>
        <v>53.64</v>
      </c>
      <c r="E190" s="25">
        <v>45397</v>
      </c>
      <c r="F190" s="44" t="s">
        <v>125</v>
      </c>
      <c r="G190" s="34" t="s">
        <v>378</v>
      </c>
      <c r="H190" s="18"/>
      <c r="J190" s="19"/>
    </row>
    <row r="191" spans="1:10" ht="12.75" customHeight="1" x14ac:dyDescent="0.2">
      <c r="A191" s="17" t="s">
        <v>680</v>
      </c>
      <c r="B191" s="8"/>
      <c r="C191" s="18">
        <v>4</v>
      </c>
      <c r="D191" s="26">
        <f t="shared" si="16"/>
        <v>0</v>
      </c>
      <c r="E191" s="13"/>
      <c r="F191" s="44"/>
      <c r="H191" s="18"/>
      <c r="J191" s="19"/>
    </row>
    <row r="192" spans="1:10" ht="12.75" customHeight="1" x14ac:dyDescent="0.2">
      <c r="A192" s="17"/>
      <c r="B192" s="8"/>
      <c r="C192" s="18"/>
      <c r="D192" s="35"/>
      <c r="E192" s="13"/>
      <c r="F192" s="18"/>
      <c r="G192" s="18"/>
      <c r="H192" s="18"/>
      <c r="I192" s="18"/>
      <c r="J192" s="18"/>
    </row>
    <row r="193" spans="1:10" ht="12.75" customHeight="1" x14ac:dyDescent="0.2">
      <c r="A193" s="20" t="s">
        <v>35</v>
      </c>
      <c r="B193" s="50">
        <f>SUM(D194:D205)</f>
        <v>4474.43</v>
      </c>
      <c r="C193" s="18"/>
      <c r="E193" s="13"/>
      <c r="F193" s="18"/>
      <c r="G193" s="18"/>
      <c r="H193" s="18"/>
      <c r="I193" s="18"/>
      <c r="J193" s="18"/>
    </row>
    <row r="194" spans="1:10" ht="12.75" customHeight="1" x14ac:dyDescent="0.2">
      <c r="A194" s="39" t="s">
        <v>36</v>
      </c>
      <c r="B194" s="8">
        <v>1484.51</v>
      </c>
      <c r="C194" s="38">
        <v>1</v>
      </c>
      <c r="D194" s="35">
        <f>C194*B194</f>
        <v>1484.51</v>
      </c>
      <c r="E194" s="43">
        <v>45142</v>
      </c>
      <c r="F194" s="13" t="s">
        <v>37</v>
      </c>
      <c r="G194" s="13" t="s">
        <v>38</v>
      </c>
      <c r="H194" s="13" t="s">
        <v>37</v>
      </c>
      <c r="I194" s="13" t="s">
        <v>39</v>
      </c>
      <c r="J194" s="13" t="s">
        <v>15</v>
      </c>
    </row>
    <row r="195" spans="1:10" ht="12.75" customHeight="1" x14ac:dyDescent="0.2">
      <c r="A195" s="39" t="s">
        <v>40</v>
      </c>
      <c r="B195" s="8">
        <v>1484.51</v>
      </c>
      <c r="C195" s="38">
        <v>1</v>
      </c>
      <c r="D195" s="35">
        <f>C195*B195</f>
        <v>1484.51</v>
      </c>
      <c r="E195" s="43">
        <v>45142</v>
      </c>
      <c r="F195" s="13" t="s">
        <v>37</v>
      </c>
      <c r="G195" s="13" t="s">
        <v>38</v>
      </c>
      <c r="H195" s="13" t="s">
        <v>37</v>
      </c>
      <c r="I195" s="13" t="s">
        <v>41</v>
      </c>
      <c r="J195" s="13" t="s">
        <v>15</v>
      </c>
    </row>
    <row r="196" spans="1:10" ht="12.75" customHeight="1" x14ac:dyDescent="0.2">
      <c r="A196" s="37" t="s">
        <v>42</v>
      </c>
      <c r="B196" s="8">
        <v>715</v>
      </c>
      <c r="C196" s="13">
        <v>1</v>
      </c>
      <c r="D196" s="35">
        <f>C196*B196</f>
        <v>715</v>
      </c>
      <c r="E196" s="43">
        <v>45142</v>
      </c>
      <c r="F196" s="44" t="s">
        <v>43</v>
      </c>
      <c r="G196" s="13" t="s">
        <v>44</v>
      </c>
      <c r="H196" s="13" t="s">
        <v>45</v>
      </c>
      <c r="I196" s="13" t="s">
        <v>46</v>
      </c>
      <c r="J196" s="13" t="s">
        <v>15</v>
      </c>
    </row>
    <row r="197" spans="1:10" ht="12.75" customHeight="1" x14ac:dyDescent="0.2">
      <c r="A197" s="37" t="s">
        <v>47</v>
      </c>
      <c r="B197" s="8">
        <v>523</v>
      </c>
      <c r="C197" s="13">
        <v>1</v>
      </c>
      <c r="D197" s="35">
        <f>C197*B197</f>
        <v>523</v>
      </c>
      <c r="E197" s="43">
        <v>45142</v>
      </c>
      <c r="F197" s="44" t="s">
        <v>43</v>
      </c>
      <c r="G197" s="13" t="s">
        <v>48</v>
      </c>
      <c r="H197" s="13" t="s">
        <v>49</v>
      </c>
      <c r="I197" s="13" t="s">
        <v>48</v>
      </c>
      <c r="J197" s="13" t="s">
        <v>15</v>
      </c>
    </row>
    <row r="198" spans="1:10" ht="12.75" customHeight="1" x14ac:dyDescent="0.2">
      <c r="A198" s="37" t="s">
        <v>629</v>
      </c>
      <c r="B198" s="8">
        <v>108.58</v>
      </c>
      <c r="C198" s="13">
        <v>1</v>
      </c>
      <c r="D198" s="35">
        <f>C198*B198</f>
        <v>108.58</v>
      </c>
      <c r="E198" s="43">
        <v>45425</v>
      </c>
      <c r="F198" s="44" t="s">
        <v>630</v>
      </c>
      <c r="G198" s="34">
        <v>100439639</v>
      </c>
      <c r="H198" s="13" t="s">
        <v>628</v>
      </c>
      <c r="I198" s="13" t="s">
        <v>627</v>
      </c>
      <c r="J198" s="13"/>
    </row>
    <row r="199" spans="1:10" ht="12.75" customHeight="1" x14ac:dyDescent="0.2">
      <c r="A199" s="54" t="s">
        <v>50</v>
      </c>
      <c r="B199" s="8"/>
      <c r="C199" s="13"/>
      <c r="D199" s="35"/>
      <c r="E199" s="43"/>
      <c r="F199" s="44"/>
      <c r="G199" s="13"/>
      <c r="H199" s="13"/>
      <c r="I199" s="13"/>
      <c r="J199" s="13"/>
    </row>
    <row r="200" spans="1:10" ht="12.75" customHeight="1" x14ac:dyDescent="0.2">
      <c r="A200" s="19" t="s">
        <v>398</v>
      </c>
      <c r="B200" s="23">
        <v>66.62</v>
      </c>
      <c r="C200" s="13">
        <v>1</v>
      </c>
      <c r="D200" s="35">
        <f>C200*B200</f>
        <v>66.62</v>
      </c>
      <c r="E200" s="25">
        <v>45406</v>
      </c>
      <c r="F200" s="18" t="s">
        <v>185</v>
      </c>
      <c r="G200" s="19"/>
      <c r="H200" s="13"/>
      <c r="I200" s="13"/>
      <c r="J200" s="13"/>
    </row>
    <row r="201" spans="1:10" ht="12.75" customHeight="1" x14ac:dyDescent="0.2">
      <c r="A201" s="34" t="s">
        <v>323</v>
      </c>
      <c r="B201" s="23">
        <v>23.7</v>
      </c>
      <c r="C201" s="18">
        <v>1</v>
      </c>
      <c r="D201" s="26">
        <f>B201*C201</f>
        <v>23.7</v>
      </c>
      <c r="E201" s="53">
        <v>45397</v>
      </c>
      <c r="F201" s="18" t="s">
        <v>219</v>
      </c>
      <c r="J201" s="19"/>
    </row>
    <row r="202" spans="1:10" ht="12.75" customHeight="1" x14ac:dyDescent="0.2">
      <c r="A202" s="24" t="s">
        <v>56</v>
      </c>
      <c r="B202" s="23"/>
      <c r="C202" s="13"/>
      <c r="D202" s="35"/>
      <c r="E202" s="43"/>
      <c r="F202" s="18"/>
      <c r="I202" s="13"/>
      <c r="J202" s="13"/>
    </row>
    <row r="203" spans="1:10" ht="12.75" customHeight="1" x14ac:dyDescent="0.2">
      <c r="A203" s="19" t="s">
        <v>398</v>
      </c>
      <c r="B203" s="23">
        <v>66.62</v>
      </c>
      <c r="C203" s="13">
        <v>1</v>
      </c>
      <c r="D203" s="35">
        <f>C203*B203</f>
        <v>66.62</v>
      </c>
      <c r="E203" s="25">
        <v>45406</v>
      </c>
      <c r="F203" s="18" t="s">
        <v>185</v>
      </c>
      <c r="G203" s="19"/>
      <c r="H203" s="13"/>
      <c r="I203" s="13"/>
      <c r="J203" s="13"/>
    </row>
    <row r="204" spans="1:10" ht="12.75" customHeight="1" x14ac:dyDescent="0.2">
      <c r="A204" s="19" t="s">
        <v>352</v>
      </c>
      <c r="B204" s="23">
        <v>1.89</v>
      </c>
      <c r="C204" s="13">
        <v>1</v>
      </c>
      <c r="D204" s="35">
        <f>C204*B204</f>
        <v>1.89</v>
      </c>
      <c r="E204" s="25">
        <v>45394</v>
      </c>
      <c r="F204" s="18" t="s">
        <v>122</v>
      </c>
      <c r="G204" s="19"/>
      <c r="H204" s="13"/>
      <c r="I204" s="13"/>
      <c r="J204" s="13"/>
    </row>
    <row r="205" spans="1:10" ht="12.75" customHeight="1" x14ac:dyDescent="0.2">
      <c r="A205" s="20"/>
      <c r="B205" s="8"/>
      <c r="C205" s="18"/>
      <c r="D205" s="35"/>
      <c r="E205" s="13"/>
      <c r="F205" s="18"/>
      <c r="G205" s="18"/>
      <c r="H205" s="18"/>
      <c r="I205" s="18"/>
      <c r="J205" s="18"/>
    </row>
    <row r="206" spans="1:10" ht="12.75" customHeight="1" x14ac:dyDescent="0.2">
      <c r="A206" s="20" t="s">
        <v>61</v>
      </c>
      <c r="B206" s="50">
        <f>SUM(D207:D219)</f>
        <v>4691.79</v>
      </c>
      <c r="C206" s="18"/>
      <c r="E206" s="13"/>
      <c r="F206" s="18"/>
      <c r="G206" s="18"/>
      <c r="H206" s="18"/>
      <c r="I206" s="18"/>
      <c r="J206" s="18"/>
    </row>
    <row r="207" spans="1:10" ht="12.75" customHeight="1" x14ac:dyDescent="0.2">
      <c r="A207" s="39" t="s">
        <v>36</v>
      </c>
      <c r="B207" s="8">
        <v>1484.51</v>
      </c>
      <c r="C207" s="38">
        <v>1</v>
      </c>
      <c r="D207" s="35">
        <f t="shared" ref="D207:D217" si="17">C207*B207</f>
        <v>1484.51</v>
      </c>
      <c r="E207" s="43">
        <v>45142</v>
      </c>
      <c r="F207" s="13" t="s">
        <v>37</v>
      </c>
      <c r="G207" s="13" t="s">
        <v>38</v>
      </c>
      <c r="H207" s="13" t="s">
        <v>37</v>
      </c>
      <c r="I207" s="13" t="s">
        <v>62</v>
      </c>
      <c r="J207" s="13" t="s">
        <v>15</v>
      </c>
    </row>
    <row r="208" spans="1:10" ht="12.75" customHeight="1" x14ac:dyDescent="0.2">
      <c r="A208" s="37" t="s">
        <v>63</v>
      </c>
      <c r="B208" s="8">
        <v>582.5</v>
      </c>
      <c r="C208" s="13">
        <v>1</v>
      </c>
      <c r="D208" s="35">
        <f t="shared" si="17"/>
        <v>582.5</v>
      </c>
      <c r="E208" s="43">
        <v>45142</v>
      </c>
      <c r="F208" s="44" t="s">
        <v>43</v>
      </c>
      <c r="G208" s="13" t="s">
        <v>64</v>
      </c>
      <c r="H208" s="13" t="s">
        <v>65</v>
      </c>
      <c r="I208" s="13" t="s">
        <v>66</v>
      </c>
      <c r="J208" s="13" t="s">
        <v>15</v>
      </c>
    </row>
    <row r="209" spans="1:10" ht="12.75" customHeight="1" x14ac:dyDescent="0.2">
      <c r="A209" s="37" t="s">
        <v>67</v>
      </c>
      <c r="B209" s="8">
        <v>2187.5</v>
      </c>
      <c r="C209" s="13">
        <v>1</v>
      </c>
      <c r="D209" s="35">
        <f t="shared" si="17"/>
        <v>2187.5</v>
      </c>
      <c r="E209" s="43">
        <v>45142</v>
      </c>
      <c r="F209" s="44" t="s">
        <v>43</v>
      </c>
      <c r="G209" s="13" t="s">
        <v>68</v>
      </c>
      <c r="H209" s="13" t="s">
        <v>49</v>
      </c>
      <c r="I209" s="13" t="s">
        <v>69</v>
      </c>
      <c r="J209" s="13" t="s">
        <v>15</v>
      </c>
    </row>
    <row r="210" spans="1:10" ht="12.75" customHeight="1" x14ac:dyDescent="0.2">
      <c r="A210" s="37" t="s">
        <v>70</v>
      </c>
      <c r="B210" s="23">
        <v>0</v>
      </c>
      <c r="C210" s="13">
        <v>1</v>
      </c>
      <c r="D210" s="35">
        <f t="shared" si="17"/>
        <v>0</v>
      </c>
      <c r="E210" s="43"/>
      <c r="F210" s="44"/>
      <c r="G210" s="13"/>
      <c r="H210" s="13"/>
      <c r="I210" s="13"/>
      <c r="J210" s="13" t="s">
        <v>71</v>
      </c>
    </row>
    <row r="211" spans="1:10" ht="12.75" customHeight="1" x14ac:dyDescent="0.2">
      <c r="A211" s="19" t="s">
        <v>669</v>
      </c>
      <c r="B211" s="23">
        <v>9.3800000000000008</v>
      </c>
      <c r="C211" s="13">
        <v>5</v>
      </c>
      <c r="D211" s="35">
        <f>C211*B211</f>
        <v>46.900000000000006</v>
      </c>
      <c r="E211" s="25">
        <v>45561</v>
      </c>
      <c r="F211" s="18" t="s">
        <v>122</v>
      </c>
      <c r="G211" s="19" t="s">
        <v>670</v>
      </c>
      <c r="H211" s="13"/>
      <c r="I211" s="13"/>
      <c r="J211" s="13"/>
    </row>
    <row r="212" spans="1:10" ht="12.75" customHeight="1" x14ac:dyDescent="0.2">
      <c r="A212" s="54" t="s">
        <v>50</v>
      </c>
      <c r="B212" s="8"/>
      <c r="C212" s="13"/>
      <c r="D212" s="35"/>
      <c r="E212" s="43"/>
      <c r="F212" s="44"/>
      <c r="G212" s="13"/>
      <c r="H212" s="13"/>
      <c r="I212" s="13"/>
      <c r="J212" s="13"/>
    </row>
    <row r="213" spans="1:10" ht="12.75" customHeight="1" x14ac:dyDescent="0.2">
      <c r="A213" s="34" t="s">
        <v>400</v>
      </c>
      <c r="B213" s="23">
        <v>70.59</v>
      </c>
      <c r="C213" s="13">
        <v>1</v>
      </c>
      <c r="D213" s="35">
        <f>C213*B213</f>
        <v>70.59</v>
      </c>
      <c r="E213" s="25">
        <v>45406</v>
      </c>
      <c r="F213" s="18" t="s">
        <v>185</v>
      </c>
      <c r="G213" s="19"/>
      <c r="H213" s="13"/>
      <c r="I213" s="13"/>
      <c r="J213" s="13"/>
    </row>
    <row r="214" spans="1:10" ht="12.75" customHeight="1" x14ac:dyDescent="0.2">
      <c r="A214" s="24" t="s">
        <v>56</v>
      </c>
      <c r="B214" s="23"/>
      <c r="C214" s="13"/>
      <c r="D214" s="35"/>
      <c r="E214" s="43"/>
      <c r="F214" s="18"/>
      <c r="I214" s="13"/>
      <c r="J214" s="13"/>
    </row>
    <row r="215" spans="1:10" ht="12.75" customHeight="1" x14ac:dyDescent="0.2">
      <c r="A215" s="19" t="s">
        <v>398</v>
      </c>
      <c r="B215" s="23">
        <v>66.62</v>
      </c>
      <c r="C215" s="13">
        <v>1</v>
      </c>
      <c r="D215" s="35">
        <f t="shared" si="17"/>
        <v>66.62</v>
      </c>
      <c r="E215" s="25">
        <v>45406</v>
      </c>
      <c r="F215" s="18" t="s">
        <v>185</v>
      </c>
      <c r="G215" s="19"/>
      <c r="H215" s="13"/>
      <c r="I215" s="13"/>
      <c r="J215" s="13"/>
    </row>
    <row r="216" spans="1:10" ht="12.75" customHeight="1" x14ac:dyDescent="0.2">
      <c r="A216" s="19" t="s">
        <v>398</v>
      </c>
      <c r="B216" s="34">
        <v>30.96</v>
      </c>
      <c r="C216" s="13">
        <v>1</v>
      </c>
      <c r="D216" s="35">
        <f>C216*B216</f>
        <v>30.96</v>
      </c>
      <c r="E216" s="25">
        <v>45567</v>
      </c>
      <c r="F216" s="18" t="s">
        <v>185</v>
      </c>
      <c r="H216" s="13"/>
      <c r="I216" s="13"/>
      <c r="J216" s="19" t="s">
        <v>642</v>
      </c>
    </row>
    <row r="217" spans="1:10" ht="12.75" customHeight="1" x14ac:dyDescent="0.2">
      <c r="A217" s="19" t="s">
        <v>352</v>
      </c>
      <c r="B217" s="23">
        <v>1.89</v>
      </c>
      <c r="C217" s="13">
        <v>1</v>
      </c>
      <c r="D217" s="35">
        <f t="shared" si="17"/>
        <v>1.89</v>
      </c>
      <c r="E217" s="25">
        <v>45394</v>
      </c>
      <c r="F217" s="18" t="s">
        <v>122</v>
      </c>
      <c r="G217" s="19"/>
      <c r="H217" s="13"/>
      <c r="I217" s="13"/>
      <c r="J217" s="13"/>
    </row>
    <row r="218" spans="1:10" ht="12.75" customHeight="1" x14ac:dyDescent="0.2">
      <c r="A218" s="17" t="s">
        <v>748</v>
      </c>
      <c r="B218" s="8">
        <v>220.32</v>
      </c>
      <c r="C218" s="18">
        <v>1</v>
      </c>
      <c r="D218" s="26">
        <f>B218*C218</f>
        <v>220.32</v>
      </c>
      <c r="E218" s="53">
        <v>45693</v>
      </c>
      <c r="F218" s="18" t="s">
        <v>33</v>
      </c>
      <c r="H218" s="18"/>
      <c r="J218" s="19" t="s">
        <v>796</v>
      </c>
    </row>
    <row r="219" spans="1:10" ht="12.75" customHeight="1" x14ac:dyDescent="0.2">
      <c r="A219" s="20"/>
      <c r="C219" s="18"/>
      <c r="D219" s="35"/>
      <c r="E219" s="13"/>
      <c r="F219" s="18"/>
      <c r="G219" s="18"/>
      <c r="H219" s="18"/>
      <c r="I219" s="18"/>
      <c r="J219" s="18"/>
    </row>
    <row r="220" spans="1:10" ht="12.75" customHeight="1" x14ac:dyDescent="0.2">
      <c r="A220" s="20" t="s">
        <v>78</v>
      </c>
      <c r="B220" s="50">
        <f>SUM(D221:D222)</f>
        <v>786</v>
      </c>
      <c r="C220" s="18"/>
      <c r="E220" s="13"/>
      <c r="F220" s="18"/>
      <c r="G220" s="18"/>
      <c r="H220" s="18"/>
      <c r="I220" s="18"/>
      <c r="J220" s="18"/>
    </row>
    <row r="221" spans="1:10" ht="12.75" customHeight="1" x14ac:dyDescent="0.2">
      <c r="A221" s="17" t="s">
        <v>79</v>
      </c>
      <c r="B221" s="8">
        <v>786</v>
      </c>
      <c r="C221" s="18">
        <v>1</v>
      </c>
      <c r="D221" s="35">
        <f>C221*B221</f>
        <v>786</v>
      </c>
      <c r="E221" s="25">
        <v>45174</v>
      </c>
      <c r="F221" s="13" t="s">
        <v>637</v>
      </c>
      <c r="G221" s="13"/>
      <c r="H221" s="18" t="s">
        <v>80</v>
      </c>
      <c r="I221" s="18">
        <v>68514437937</v>
      </c>
      <c r="J221" s="56" t="s">
        <v>81</v>
      </c>
    </row>
    <row r="222" spans="1:10" ht="12.75" customHeight="1" x14ac:dyDescent="0.2">
      <c r="A222" s="20"/>
      <c r="B222" s="8"/>
      <c r="C222" s="18"/>
      <c r="D222" s="35"/>
      <c r="E222" s="13"/>
      <c r="F222" s="18"/>
      <c r="G222" s="18"/>
      <c r="H222" s="18"/>
      <c r="I222" s="18"/>
      <c r="J222" s="18"/>
    </row>
    <row r="223" spans="1:10" ht="12.75" customHeight="1" x14ac:dyDescent="0.2">
      <c r="A223" s="20" t="s">
        <v>82</v>
      </c>
      <c r="B223" s="50">
        <f>SUM(D224:D257)</f>
        <v>5932.0500000000011</v>
      </c>
      <c r="C223" s="18"/>
      <c r="E223" s="25"/>
      <c r="F223" s="18"/>
      <c r="G223" s="18"/>
      <c r="H223" s="18"/>
      <c r="I223" s="18"/>
      <c r="J223" s="13"/>
    </row>
    <row r="224" spans="1:10" ht="12.75" customHeight="1" x14ac:dyDescent="0.2">
      <c r="A224" s="17" t="s">
        <v>83</v>
      </c>
      <c r="B224" s="8">
        <v>525</v>
      </c>
      <c r="C224" s="18">
        <v>6</v>
      </c>
      <c r="D224" s="26">
        <f t="shared" ref="D224:D240" si="18">B224*C224</f>
        <v>3150</v>
      </c>
      <c r="E224" s="25">
        <v>45196</v>
      </c>
      <c r="F224" s="18" t="s">
        <v>84</v>
      </c>
      <c r="G224" s="18" t="s">
        <v>85</v>
      </c>
      <c r="H224" s="18" t="s">
        <v>84</v>
      </c>
      <c r="I224" s="18" t="s">
        <v>85</v>
      </c>
      <c r="J224" s="13"/>
    </row>
    <row r="225" spans="1:10" ht="12.75" customHeight="1" x14ac:dyDescent="0.2">
      <c r="A225" s="17" t="s">
        <v>86</v>
      </c>
      <c r="B225" s="8">
        <v>234.99</v>
      </c>
      <c r="C225" s="18">
        <v>6</v>
      </c>
      <c r="D225" s="26">
        <f t="shared" si="18"/>
        <v>1409.94</v>
      </c>
      <c r="E225" s="25">
        <v>45191</v>
      </c>
      <c r="F225" s="18" t="s">
        <v>29</v>
      </c>
      <c r="G225" s="18"/>
      <c r="H225" s="18" t="s">
        <v>87</v>
      </c>
      <c r="I225" s="18" t="s">
        <v>88</v>
      </c>
      <c r="J225" s="13"/>
    </row>
    <row r="226" spans="1:10" ht="12.75" customHeight="1" x14ac:dyDescent="0.2">
      <c r="A226" s="17" t="s">
        <v>124</v>
      </c>
      <c r="B226" s="8">
        <v>3.5</v>
      </c>
      <c r="C226" s="18">
        <v>12</v>
      </c>
      <c r="D226" s="26">
        <f t="shared" si="18"/>
        <v>42</v>
      </c>
      <c r="E226" s="25">
        <v>45369</v>
      </c>
      <c r="F226" s="13" t="s">
        <v>125</v>
      </c>
      <c r="G226" s="19" t="s">
        <v>126</v>
      </c>
      <c r="H226" s="13"/>
      <c r="I226" s="13"/>
      <c r="J226" s="13"/>
    </row>
    <row r="227" spans="1:10" ht="12.75" customHeight="1" x14ac:dyDescent="0.2">
      <c r="A227" s="17" t="s">
        <v>121</v>
      </c>
      <c r="B227" s="8">
        <v>24.33</v>
      </c>
      <c r="C227" s="18">
        <v>1</v>
      </c>
      <c r="D227" s="26">
        <f t="shared" si="18"/>
        <v>24.33</v>
      </c>
      <c r="E227" s="25">
        <v>45329</v>
      </c>
      <c r="F227" s="18" t="s">
        <v>122</v>
      </c>
      <c r="G227" s="19" t="s">
        <v>123</v>
      </c>
      <c r="H227" s="13"/>
      <c r="I227" s="13"/>
      <c r="J227" s="13"/>
    </row>
    <row r="228" spans="1:10" ht="12.75" customHeight="1" x14ac:dyDescent="0.2">
      <c r="A228" s="17" t="s">
        <v>394</v>
      </c>
      <c r="B228" s="8">
        <v>24.3</v>
      </c>
      <c r="C228" s="18">
        <v>2</v>
      </c>
      <c r="D228" s="26">
        <f t="shared" si="18"/>
        <v>48.6</v>
      </c>
      <c r="E228" s="25">
        <v>45397</v>
      </c>
      <c r="F228" s="18" t="s">
        <v>219</v>
      </c>
      <c r="G228" s="19"/>
      <c r="H228" s="18"/>
      <c r="I228" s="18"/>
      <c r="J228" s="13"/>
    </row>
    <row r="229" spans="1:10" ht="12.75" customHeight="1" x14ac:dyDescent="0.2">
      <c r="A229" s="17" t="s">
        <v>393</v>
      </c>
      <c r="B229" s="8">
        <v>5.7</v>
      </c>
      <c r="C229" s="18">
        <v>4</v>
      </c>
      <c r="D229" s="26">
        <f t="shared" si="18"/>
        <v>22.8</v>
      </c>
      <c r="E229" s="25">
        <v>45397</v>
      </c>
      <c r="F229" s="18" t="s">
        <v>219</v>
      </c>
      <c r="G229" s="19"/>
      <c r="H229" s="18"/>
      <c r="I229" s="18"/>
      <c r="J229" s="13"/>
    </row>
    <row r="230" spans="1:10" ht="12.75" customHeight="1" x14ac:dyDescent="0.2">
      <c r="A230" s="17" t="s">
        <v>391</v>
      </c>
      <c r="B230" s="8">
        <v>6.93</v>
      </c>
      <c r="C230" s="18">
        <v>4</v>
      </c>
      <c r="D230" s="26">
        <f t="shared" si="18"/>
        <v>27.72</v>
      </c>
      <c r="E230" s="25">
        <v>45397</v>
      </c>
      <c r="F230" s="18" t="s">
        <v>219</v>
      </c>
      <c r="G230" s="19"/>
      <c r="H230" s="18"/>
      <c r="I230" s="18"/>
      <c r="J230" s="13"/>
    </row>
    <row r="231" spans="1:10" ht="12.75" customHeight="1" x14ac:dyDescent="0.2">
      <c r="A231" s="17" t="s">
        <v>397</v>
      </c>
      <c r="B231" s="8">
        <v>23.38</v>
      </c>
      <c r="C231" s="18">
        <v>4</v>
      </c>
      <c r="D231" s="26">
        <f t="shared" si="18"/>
        <v>93.52</v>
      </c>
      <c r="E231" s="25">
        <v>45397</v>
      </c>
      <c r="F231" s="18" t="s">
        <v>219</v>
      </c>
      <c r="H231" s="18"/>
      <c r="I231" s="18"/>
      <c r="J231" s="13"/>
    </row>
    <row r="232" spans="1:10" ht="12.75" customHeight="1" x14ac:dyDescent="0.2">
      <c r="A232" s="17" t="s">
        <v>392</v>
      </c>
      <c r="B232" s="8">
        <v>14.9</v>
      </c>
      <c r="C232" s="18">
        <v>4</v>
      </c>
      <c r="D232" s="26">
        <f t="shared" si="18"/>
        <v>59.6</v>
      </c>
      <c r="E232" s="25">
        <v>45397</v>
      </c>
      <c r="F232" s="18" t="s">
        <v>219</v>
      </c>
      <c r="G232" s="19"/>
      <c r="H232" s="18"/>
      <c r="I232" s="18"/>
      <c r="J232" s="13"/>
    </row>
    <row r="233" spans="1:10" ht="12.75" customHeight="1" x14ac:dyDescent="0.2">
      <c r="A233" s="17" t="s">
        <v>395</v>
      </c>
      <c r="B233" s="8">
        <v>17.28</v>
      </c>
      <c r="C233" s="18">
        <v>2</v>
      </c>
      <c r="D233" s="26">
        <f t="shared" si="18"/>
        <v>34.56</v>
      </c>
      <c r="E233" s="25">
        <v>45397</v>
      </c>
      <c r="F233" s="18" t="s">
        <v>219</v>
      </c>
      <c r="G233" s="19"/>
      <c r="H233" s="18"/>
      <c r="I233" s="18"/>
      <c r="J233" s="13"/>
    </row>
    <row r="234" spans="1:10" ht="12.75" customHeight="1" x14ac:dyDescent="0.2">
      <c r="A234" s="17" t="s">
        <v>119</v>
      </c>
      <c r="B234" s="8">
        <v>5.25</v>
      </c>
      <c r="C234" s="18">
        <v>6</v>
      </c>
      <c r="D234" s="26">
        <f t="shared" si="18"/>
        <v>31.5</v>
      </c>
      <c r="E234" s="25">
        <v>45329</v>
      </c>
      <c r="F234" s="18" t="s">
        <v>296</v>
      </c>
      <c r="G234" s="17"/>
      <c r="H234" s="13"/>
      <c r="I234" s="13"/>
      <c r="J234" s="13"/>
    </row>
    <row r="235" spans="1:10" ht="12.75" customHeight="1" x14ac:dyDescent="0.2">
      <c r="A235" s="17" t="s">
        <v>120</v>
      </c>
      <c r="B235" s="8">
        <v>1.54</v>
      </c>
      <c r="C235" s="18">
        <v>6</v>
      </c>
      <c r="D235" s="26">
        <f t="shared" si="18"/>
        <v>9.24</v>
      </c>
      <c r="E235" s="25">
        <v>45329</v>
      </c>
      <c r="F235" s="18" t="s">
        <v>122</v>
      </c>
      <c r="G235" s="17"/>
      <c r="H235" s="13"/>
      <c r="I235" s="13"/>
      <c r="J235" s="13"/>
    </row>
    <row r="236" spans="1:10" ht="12.75" customHeight="1" x14ac:dyDescent="0.2">
      <c r="A236" s="17" t="s">
        <v>754</v>
      </c>
      <c r="B236" s="8">
        <v>91.62</v>
      </c>
      <c r="C236" s="18">
        <v>1</v>
      </c>
      <c r="D236" s="26">
        <f t="shared" si="18"/>
        <v>91.62</v>
      </c>
      <c r="E236" s="53">
        <v>45693</v>
      </c>
      <c r="F236" s="18" t="s">
        <v>33</v>
      </c>
      <c r="G236" s="18"/>
      <c r="H236" s="18"/>
      <c r="I236" s="18"/>
      <c r="J236" s="13" t="s">
        <v>753</v>
      </c>
    </row>
    <row r="237" spans="1:10" ht="12.75" customHeight="1" x14ac:dyDescent="0.2">
      <c r="A237" s="17" t="s">
        <v>755</v>
      </c>
      <c r="B237" s="8">
        <v>180.84</v>
      </c>
      <c r="C237" s="18">
        <v>1</v>
      </c>
      <c r="D237" s="26">
        <f t="shared" ref="D237" si="19">B237*C237</f>
        <v>180.84</v>
      </c>
      <c r="E237" s="53">
        <v>45693</v>
      </c>
      <c r="F237" s="18" t="s">
        <v>33</v>
      </c>
      <c r="G237" s="18"/>
      <c r="H237" s="18"/>
      <c r="I237" s="18"/>
      <c r="J237" s="13" t="s">
        <v>761</v>
      </c>
    </row>
    <row r="238" spans="1:10" ht="12.75" customHeight="1" x14ac:dyDescent="0.2">
      <c r="A238" s="17" t="s">
        <v>756</v>
      </c>
      <c r="B238" s="8">
        <v>180.84</v>
      </c>
      <c r="C238" s="18">
        <v>1</v>
      </c>
      <c r="D238" s="26">
        <f t="shared" si="18"/>
        <v>180.84</v>
      </c>
      <c r="E238" s="53">
        <v>45693</v>
      </c>
      <c r="F238" s="18" t="s">
        <v>33</v>
      </c>
      <c r="G238" s="18"/>
      <c r="H238" s="18"/>
      <c r="I238" s="18"/>
      <c r="J238" s="13" t="s">
        <v>761</v>
      </c>
    </row>
    <row r="239" spans="1:10" ht="12.75" customHeight="1" x14ac:dyDescent="0.2">
      <c r="A239" s="17" t="s">
        <v>757</v>
      </c>
      <c r="B239" s="8">
        <v>179.69</v>
      </c>
      <c r="C239" s="18">
        <v>1</v>
      </c>
      <c r="D239" s="26">
        <f>B239*C239</f>
        <v>179.69</v>
      </c>
      <c r="E239" s="53">
        <v>45693</v>
      </c>
      <c r="F239" s="18" t="s">
        <v>33</v>
      </c>
      <c r="H239" s="18"/>
      <c r="J239" s="19" t="s">
        <v>765</v>
      </c>
    </row>
    <row r="240" spans="1:10" ht="12.75" customHeight="1" x14ac:dyDescent="0.2">
      <c r="A240" s="17" t="s">
        <v>758</v>
      </c>
      <c r="B240" s="8">
        <v>62.34</v>
      </c>
      <c r="C240" s="18">
        <v>2</v>
      </c>
      <c r="D240" s="26">
        <f t="shared" si="18"/>
        <v>124.68</v>
      </c>
      <c r="E240" s="53">
        <v>45693</v>
      </c>
      <c r="F240" s="18" t="s">
        <v>33</v>
      </c>
      <c r="G240" s="18"/>
      <c r="H240" s="18"/>
      <c r="I240" s="18"/>
      <c r="J240" s="13" t="s">
        <v>764</v>
      </c>
    </row>
    <row r="241" spans="1:10" ht="12.75" customHeight="1" x14ac:dyDescent="0.2">
      <c r="A241" s="17" t="s">
        <v>759</v>
      </c>
      <c r="B241" s="8">
        <v>63.84</v>
      </c>
      <c r="C241" s="18">
        <v>1</v>
      </c>
      <c r="D241" s="26">
        <f t="shared" ref="D241" si="20">B241*C241</f>
        <v>63.84</v>
      </c>
      <c r="E241" s="53">
        <v>45693</v>
      </c>
      <c r="F241" s="18" t="s">
        <v>33</v>
      </c>
      <c r="G241" s="18"/>
      <c r="H241" s="18"/>
      <c r="I241" s="18"/>
      <c r="J241" s="13" t="s">
        <v>762</v>
      </c>
    </row>
    <row r="242" spans="1:10" ht="12.75" customHeight="1" x14ac:dyDescent="0.2">
      <c r="A242" s="17" t="s">
        <v>760</v>
      </c>
      <c r="B242" s="8">
        <v>62.04</v>
      </c>
      <c r="C242" s="18">
        <v>1</v>
      </c>
      <c r="D242" s="26">
        <f t="shared" ref="D242" si="21">B242*C242</f>
        <v>62.04</v>
      </c>
      <c r="E242" s="53">
        <v>45693</v>
      </c>
      <c r="F242" s="18" t="s">
        <v>33</v>
      </c>
      <c r="G242" s="18"/>
      <c r="H242" s="18"/>
      <c r="I242" s="18"/>
      <c r="J242" s="13" t="s">
        <v>763</v>
      </c>
    </row>
    <row r="243" spans="1:10" ht="12.75" customHeight="1" x14ac:dyDescent="0.2">
      <c r="A243" s="17"/>
      <c r="B243" s="8"/>
      <c r="C243" s="18"/>
      <c r="D243" s="26"/>
      <c r="E243" s="25"/>
      <c r="F243" s="18"/>
      <c r="G243" s="18"/>
      <c r="H243" s="18"/>
      <c r="I243" s="18"/>
      <c r="J243" s="13"/>
    </row>
    <row r="244" spans="1:10" s="24" customFormat="1" ht="12.75" customHeight="1" x14ac:dyDescent="0.2">
      <c r="A244" s="24" t="s">
        <v>362</v>
      </c>
    </row>
    <row r="245" spans="1:10" ht="12.75" customHeight="1" x14ac:dyDescent="0.2">
      <c r="A245" s="17" t="s">
        <v>110</v>
      </c>
      <c r="B245" s="8">
        <v>35.450000000000003</v>
      </c>
      <c r="C245" s="18">
        <v>1</v>
      </c>
      <c r="D245" s="26">
        <f t="shared" ref="D245:D255" si="22">B245*C245</f>
        <v>35.450000000000003</v>
      </c>
      <c r="E245" s="25">
        <v>45329</v>
      </c>
      <c r="F245" s="18" t="s">
        <v>296</v>
      </c>
      <c r="G245" s="17"/>
      <c r="H245" s="18"/>
      <c r="I245" s="18"/>
      <c r="J245" s="13"/>
    </row>
    <row r="246" spans="1:10" ht="12.75" customHeight="1" x14ac:dyDescent="0.2">
      <c r="A246" s="17" t="s">
        <v>114</v>
      </c>
      <c r="B246" s="8">
        <v>18.09</v>
      </c>
      <c r="C246" s="18">
        <v>1</v>
      </c>
      <c r="D246" s="26">
        <f t="shared" si="22"/>
        <v>18.09</v>
      </c>
      <c r="E246" s="25">
        <v>45329</v>
      </c>
      <c r="F246" s="18" t="s">
        <v>122</v>
      </c>
      <c r="G246" s="17"/>
      <c r="H246" s="13"/>
      <c r="I246" s="13"/>
      <c r="J246" s="13"/>
    </row>
    <row r="247" spans="1:10" ht="12.75" customHeight="1" x14ac:dyDescent="0.2">
      <c r="A247" s="17" t="s">
        <v>113</v>
      </c>
      <c r="B247" s="8">
        <v>3.54</v>
      </c>
      <c r="C247" s="18">
        <v>1</v>
      </c>
      <c r="D247" s="26">
        <f t="shared" si="22"/>
        <v>3.54</v>
      </c>
      <c r="E247" s="25">
        <v>45329</v>
      </c>
      <c r="F247" s="18" t="s">
        <v>122</v>
      </c>
      <c r="G247" s="17"/>
      <c r="H247" s="13"/>
      <c r="I247" s="13"/>
      <c r="J247" s="13"/>
    </row>
    <row r="248" spans="1:10" ht="12.75" customHeight="1" x14ac:dyDescent="0.2">
      <c r="A248" s="17" t="s">
        <v>383</v>
      </c>
      <c r="B248" s="8">
        <v>1.92</v>
      </c>
      <c r="C248" s="18">
        <v>1</v>
      </c>
      <c r="D248" s="26">
        <f t="shared" si="22"/>
        <v>1.92</v>
      </c>
      <c r="E248" s="25">
        <v>45394</v>
      </c>
      <c r="F248" s="18" t="s">
        <v>122</v>
      </c>
      <c r="G248" s="17"/>
      <c r="H248" s="13"/>
      <c r="I248" s="13"/>
      <c r="J248" s="13"/>
    </row>
    <row r="249" spans="1:10" ht="12.75" customHeight="1" x14ac:dyDescent="0.2">
      <c r="A249" s="17" t="s">
        <v>116</v>
      </c>
      <c r="B249" s="8">
        <v>2.06</v>
      </c>
      <c r="C249" s="18">
        <v>2</v>
      </c>
      <c r="D249" s="26">
        <f t="shared" si="22"/>
        <v>4.12</v>
      </c>
      <c r="E249" s="25">
        <v>45329</v>
      </c>
      <c r="F249" s="18" t="s">
        <v>122</v>
      </c>
      <c r="G249" s="17"/>
      <c r="H249" s="13"/>
      <c r="I249" s="13"/>
      <c r="J249" s="13"/>
    </row>
    <row r="250" spans="1:10" ht="12.75" customHeight="1" x14ac:dyDescent="0.2">
      <c r="A250" s="17" t="s">
        <v>117</v>
      </c>
      <c r="B250" s="8">
        <v>4.8899999999999997</v>
      </c>
      <c r="C250" s="18">
        <v>2</v>
      </c>
      <c r="D250" s="26">
        <f t="shared" si="22"/>
        <v>9.7799999999999994</v>
      </c>
      <c r="E250" s="25">
        <v>45329</v>
      </c>
      <c r="F250" s="18" t="s">
        <v>122</v>
      </c>
      <c r="G250" s="17"/>
      <c r="H250" s="13"/>
      <c r="I250" s="13"/>
      <c r="J250" s="13"/>
    </row>
    <row r="251" spans="1:10" s="17" customFormat="1" ht="12.75" customHeight="1" x14ac:dyDescent="0.2">
      <c r="A251" s="17" t="s">
        <v>384</v>
      </c>
      <c r="B251" s="17">
        <v>1.58</v>
      </c>
      <c r="C251" s="17">
        <v>1</v>
      </c>
      <c r="D251" s="17">
        <f t="shared" si="22"/>
        <v>1.58</v>
      </c>
      <c r="E251" s="25">
        <v>45394</v>
      </c>
      <c r="F251" s="17" t="s">
        <v>122</v>
      </c>
      <c r="J251" s="17" t="s">
        <v>672</v>
      </c>
    </row>
    <row r="252" spans="1:10" ht="12.75" customHeight="1" x14ac:dyDescent="0.2">
      <c r="A252" s="17" t="s">
        <v>118</v>
      </c>
      <c r="B252" s="8">
        <v>1.46</v>
      </c>
      <c r="C252" s="18">
        <v>2</v>
      </c>
      <c r="D252" s="26">
        <f t="shared" si="22"/>
        <v>2.92</v>
      </c>
      <c r="E252" s="25">
        <v>45329</v>
      </c>
      <c r="F252" s="18" t="s">
        <v>122</v>
      </c>
      <c r="G252" s="17"/>
      <c r="H252" s="13"/>
      <c r="I252" s="13"/>
      <c r="J252" s="13"/>
    </row>
    <row r="253" spans="1:10" ht="12.75" customHeight="1" x14ac:dyDescent="0.2">
      <c r="A253" s="17" t="s">
        <v>115</v>
      </c>
      <c r="B253" s="8">
        <v>1.61</v>
      </c>
      <c r="C253" s="18">
        <v>4</v>
      </c>
      <c r="D253" s="26">
        <f t="shared" si="22"/>
        <v>6.44</v>
      </c>
      <c r="E253" s="25">
        <v>45329</v>
      </c>
      <c r="F253" s="18" t="s">
        <v>122</v>
      </c>
      <c r="G253" s="17"/>
      <c r="H253" s="13"/>
      <c r="I253" s="13"/>
      <c r="J253" s="13"/>
    </row>
    <row r="254" spans="1:10" ht="12.75" customHeight="1" x14ac:dyDescent="0.2">
      <c r="A254" s="17" t="s">
        <v>111</v>
      </c>
      <c r="B254" s="8">
        <v>4.2</v>
      </c>
      <c r="C254" s="18">
        <v>2</v>
      </c>
      <c r="D254" s="26">
        <f t="shared" si="22"/>
        <v>8.4</v>
      </c>
      <c r="E254" s="25">
        <v>45329</v>
      </c>
      <c r="F254" s="18" t="s">
        <v>122</v>
      </c>
      <c r="G254" s="17"/>
      <c r="H254" s="35"/>
      <c r="I254" s="13"/>
      <c r="J254" s="13"/>
    </row>
    <row r="255" spans="1:10" ht="12.75" customHeight="1" x14ac:dyDescent="0.2">
      <c r="A255" s="17" t="s">
        <v>112</v>
      </c>
      <c r="B255" s="8">
        <v>2.4500000000000002</v>
      </c>
      <c r="C255" s="18">
        <v>1</v>
      </c>
      <c r="D255" s="26">
        <f t="shared" si="22"/>
        <v>2.4500000000000002</v>
      </c>
      <c r="E255" s="25">
        <v>45329</v>
      </c>
      <c r="F255" s="18" t="s">
        <v>296</v>
      </c>
      <c r="G255" s="17"/>
      <c r="H255" s="13"/>
      <c r="I255" s="13"/>
      <c r="J255" s="13"/>
    </row>
    <row r="256" spans="1:10" ht="12.75" customHeight="1" x14ac:dyDescent="0.2">
      <c r="A256" s="17"/>
      <c r="B256" s="8"/>
      <c r="C256" s="18"/>
      <c r="D256" s="26"/>
      <c r="E256" s="25"/>
      <c r="F256" s="18"/>
      <c r="G256" s="17"/>
      <c r="H256" s="13"/>
      <c r="I256" s="13"/>
      <c r="J256" s="13"/>
    </row>
    <row r="257" spans="1:10" ht="12.75" customHeight="1" x14ac:dyDescent="0.2">
      <c r="A257" s="17"/>
      <c r="B257" s="8"/>
      <c r="C257" s="18"/>
      <c r="D257" s="26"/>
      <c r="E257" s="13"/>
      <c r="F257" s="13"/>
      <c r="G257" s="13"/>
      <c r="H257" s="13"/>
      <c r="I257" s="13"/>
      <c r="J257" s="13"/>
    </row>
    <row r="258" spans="1:10" ht="12.75" customHeight="1" x14ac:dyDescent="0.2">
      <c r="A258" s="20" t="s">
        <v>127</v>
      </c>
      <c r="B258" s="50">
        <f>SUM(D259:D272)</f>
        <v>2601.8300000000004</v>
      </c>
      <c r="C258" s="18"/>
      <c r="E258" s="13"/>
      <c r="F258" s="13"/>
      <c r="G258" s="13"/>
      <c r="H258" s="13"/>
      <c r="I258" s="13"/>
      <c r="J258" s="13"/>
    </row>
    <row r="259" spans="1:10" ht="12.75" customHeight="1" x14ac:dyDescent="0.2">
      <c r="A259" s="37" t="s">
        <v>131</v>
      </c>
      <c r="B259" s="8">
        <v>2031.5</v>
      </c>
      <c r="C259" s="13">
        <v>1</v>
      </c>
      <c r="D259" s="35">
        <f t="shared" ref="D259:D264" si="23">C259*B259</f>
        <v>2031.5</v>
      </c>
      <c r="E259" s="43">
        <v>45142</v>
      </c>
      <c r="F259" s="44" t="s">
        <v>132</v>
      </c>
      <c r="G259" s="13" t="s">
        <v>133</v>
      </c>
      <c r="H259" s="13" t="s">
        <v>134</v>
      </c>
      <c r="I259" s="13" t="s">
        <v>133</v>
      </c>
      <c r="J259" s="13" t="s">
        <v>15</v>
      </c>
    </row>
    <row r="260" spans="1:10" ht="12.75" customHeight="1" x14ac:dyDescent="0.2">
      <c r="A260" s="37" t="s">
        <v>135</v>
      </c>
      <c r="B260" s="8">
        <v>455.5</v>
      </c>
      <c r="C260" s="13">
        <v>1</v>
      </c>
      <c r="D260" s="35">
        <f t="shared" si="23"/>
        <v>455.5</v>
      </c>
      <c r="E260" s="43">
        <v>45142</v>
      </c>
      <c r="F260" s="44" t="s">
        <v>43</v>
      </c>
      <c r="G260" s="13" t="s">
        <v>136</v>
      </c>
      <c r="H260" s="13" t="s">
        <v>137</v>
      </c>
      <c r="I260" s="44" t="s">
        <v>136</v>
      </c>
      <c r="J260" s="18" t="s">
        <v>138</v>
      </c>
    </row>
    <row r="261" spans="1:10" ht="12.75" customHeight="1" x14ac:dyDescent="0.2">
      <c r="A261" s="17" t="s">
        <v>465</v>
      </c>
      <c r="B261" s="8">
        <v>18.09</v>
      </c>
      <c r="C261" s="18">
        <v>1</v>
      </c>
      <c r="D261" s="35">
        <f t="shared" si="23"/>
        <v>18.09</v>
      </c>
      <c r="E261" s="25">
        <v>45329</v>
      </c>
      <c r="F261" s="18" t="s">
        <v>122</v>
      </c>
      <c r="G261" s="18"/>
      <c r="H261" s="18" t="s">
        <v>129</v>
      </c>
      <c r="I261" s="18" t="s">
        <v>294</v>
      </c>
      <c r="J261" s="13"/>
    </row>
    <row r="262" spans="1:10" ht="12.75" customHeight="1" x14ac:dyDescent="0.2">
      <c r="A262" s="17" t="s">
        <v>295</v>
      </c>
      <c r="B262" s="8">
        <v>2.48</v>
      </c>
      <c r="C262" s="18">
        <v>1</v>
      </c>
      <c r="D262" s="35">
        <f t="shared" si="23"/>
        <v>2.48</v>
      </c>
      <c r="E262" s="25">
        <v>45329</v>
      </c>
      <c r="F262" s="18" t="s">
        <v>296</v>
      </c>
      <c r="G262" s="17"/>
      <c r="H262" s="13"/>
      <c r="I262" s="13"/>
      <c r="J262" s="13"/>
    </row>
    <row r="263" spans="1:10" ht="12.75" customHeight="1" x14ac:dyDescent="0.2">
      <c r="A263" s="17" t="s">
        <v>466</v>
      </c>
      <c r="B263" s="8">
        <v>2.2999999999999998</v>
      </c>
      <c r="C263" s="13">
        <v>1</v>
      </c>
      <c r="D263" s="35">
        <f t="shared" si="23"/>
        <v>2.2999999999999998</v>
      </c>
      <c r="E263" s="25">
        <v>45394</v>
      </c>
      <c r="F263" s="44" t="s">
        <v>122</v>
      </c>
      <c r="G263" s="13"/>
      <c r="H263" s="13"/>
      <c r="I263" s="44"/>
      <c r="J263" s="18"/>
    </row>
    <row r="264" spans="1:10" ht="12.75" customHeight="1" x14ac:dyDescent="0.2">
      <c r="A264" s="17" t="s">
        <v>382</v>
      </c>
      <c r="B264" s="8">
        <v>2.2799999999999998</v>
      </c>
      <c r="C264" s="13">
        <v>1</v>
      </c>
      <c r="D264" s="35">
        <f t="shared" si="23"/>
        <v>2.2799999999999998</v>
      </c>
      <c r="E264" s="25">
        <v>45394</v>
      </c>
      <c r="F264" s="44" t="s">
        <v>122</v>
      </c>
      <c r="G264" s="13"/>
      <c r="H264" s="13"/>
      <c r="I264" s="44"/>
      <c r="J264" s="18"/>
    </row>
    <row r="265" spans="1:10" ht="12.75" customHeight="1" x14ac:dyDescent="0.2">
      <c r="A265" s="24" t="s">
        <v>720</v>
      </c>
      <c r="B265" s="8"/>
      <c r="C265" s="13"/>
      <c r="D265" s="35"/>
      <c r="E265" s="25"/>
      <c r="F265" s="44"/>
      <c r="G265" s="13"/>
      <c r="H265" s="13"/>
      <c r="I265" s="44"/>
      <c r="J265" s="18"/>
    </row>
    <row r="266" spans="1:10" ht="12.75" customHeight="1" x14ac:dyDescent="0.2">
      <c r="A266" s="37" t="s">
        <v>722</v>
      </c>
      <c r="B266" s="8">
        <v>5.45</v>
      </c>
      <c r="C266" s="13">
        <v>2</v>
      </c>
      <c r="D266" s="26">
        <f t="shared" ref="D266:D270" si="24">B266*C266</f>
        <v>10.9</v>
      </c>
      <c r="E266" s="25">
        <v>45632</v>
      </c>
      <c r="F266" s="44" t="s">
        <v>122</v>
      </c>
      <c r="G266" s="34" t="s">
        <v>725</v>
      </c>
      <c r="H266" s="13"/>
      <c r="I266" s="44"/>
      <c r="J266" s="18"/>
    </row>
    <row r="267" spans="1:10" ht="12.75" customHeight="1" x14ac:dyDescent="0.2">
      <c r="A267" s="17" t="s">
        <v>721</v>
      </c>
      <c r="B267" s="8">
        <v>11.35</v>
      </c>
      <c r="C267" s="13">
        <v>2</v>
      </c>
      <c r="D267" s="26">
        <f t="shared" si="24"/>
        <v>22.7</v>
      </c>
      <c r="E267" s="25">
        <v>45632</v>
      </c>
      <c r="F267" s="44" t="s">
        <v>122</v>
      </c>
      <c r="G267" s="34" t="s">
        <v>724</v>
      </c>
      <c r="H267" s="13"/>
      <c r="I267" s="44"/>
      <c r="J267" s="18"/>
    </row>
    <row r="268" spans="1:10" ht="12.75" customHeight="1" x14ac:dyDescent="0.2">
      <c r="A268" s="17" t="s">
        <v>591</v>
      </c>
      <c r="B268" s="8">
        <v>4.6100000000000003</v>
      </c>
      <c r="C268" s="18">
        <v>3</v>
      </c>
      <c r="D268" s="26">
        <f t="shared" si="24"/>
        <v>13.830000000000002</v>
      </c>
      <c r="E268" s="25">
        <v>45632</v>
      </c>
      <c r="F268" s="44" t="s">
        <v>122</v>
      </c>
      <c r="G268" s="34" t="s">
        <v>605</v>
      </c>
      <c r="H268" s="13"/>
      <c r="I268" s="13"/>
      <c r="J268" s="13"/>
    </row>
    <row r="269" spans="1:10" ht="12.75" customHeight="1" x14ac:dyDescent="0.2">
      <c r="A269" s="17" t="s">
        <v>607</v>
      </c>
      <c r="B269" s="8">
        <v>7.23</v>
      </c>
      <c r="C269" s="18">
        <v>1</v>
      </c>
      <c r="D269" s="26">
        <f t="shared" si="24"/>
        <v>7.23</v>
      </c>
      <c r="E269" s="25">
        <v>45632</v>
      </c>
      <c r="F269" s="44" t="s">
        <v>122</v>
      </c>
      <c r="G269" s="34" t="s">
        <v>608</v>
      </c>
      <c r="H269" s="13"/>
      <c r="I269" s="13"/>
      <c r="J269" s="13"/>
    </row>
    <row r="270" spans="1:10" ht="12.75" customHeight="1" x14ac:dyDescent="0.2">
      <c r="A270" s="8" t="s">
        <v>609</v>
      </c>
      <c r="B270" s="8">
        <v>5.13</v>
      </c>
      <c r="C270" s="18">
        <v>1</v>
      </c>
      <c r="D270" s="26">
        <f t="shared" si="24"/>
        <v>5.13</v>
      </c>
      <c r="E270" s="25">
        <v>45632</v>
      </c>
      <c r="F270" s="44" t="s">
        <v>122</v>
      </c>
      <c r="G270" s="34" t="s">
        <v>723</v>
      </c>
      <c r="H270" s="13"/>
      <c r="I270" s="13"/>
      <c r="J270" s="13"/>
    </row>
    <row r="271" spans="1:10" ht="12.75" customHeight="1" x14ac:dyDescent="0.2">
      <c r="A271" s="17" t="s">
        <v>601</v>
      </c>
      <c r="B271" s="8">
        <v>29.89</v>
      </c>
      <c r="C271" s="18">
        <v>1</v>
      </c>
      <c r="D271" s="26">
        <f>B271*C271</f>
        <v>29.89</v>
      </c>
      <c r="E271" s="25">
        <v>45632</v>
      </c>
      <c r="F271" s="44" t="s">
        <v>122</v>
      </c>
      <c r="G271" s="34" t="s">
        <v>602</v>
      </c>
      <c r="H271" s="13"/>
      <c r="I271" s="13"/>
      <c r="J271" s="13"/>
    </row>
    <row r="272" spans="1:10" ht="12.75" customHeight="1" x14ac:dyDescent="0.2">
      <c r="A272" s="17"/>
      <c r="B272" s="8"/>
      <c r="C272" s="18"/>
      <c r="D272" s="26"/>
      <c r="E272" s="13"/>
      <c r="F272" s="13"/>
      <c r="G272" s="13"/>
      <c r="H272" s="13"/>
      <c r="I272" s="13"/>
      <c r="J272" s="13"/>
    </row>
    <row r="273" spans="1:10" ht="12.75" customHeight="1" x14ac:dyDescent="0.2">
      <c r="A273" s="20" t="s">
        <v>139</v>
      </c>
      <c r="B273" s="50">
        <f>SUM(D274:D278)</f>
        <v>3947</v>
      </c>
      <c r="C273" s="18"/>
      <c r="E273" s="13"/>
      <c r="F273" s="13"/>
      <c r="G273" s="13"/>
      <c r="H273" s="13"/>
      <c r="I273" s="13"/>
      <c r="J273" s="13"/>
    </row>
    <row r="274" spans="1:10" ht="12.75" customHeight="1" x14ac:dyDescent="0.2">
      <c r="A274" s="17" t="s">
        <v>146</v>
      </c>
      <c r="B274" s="8">
        <v>99</v>
      </c>
      <c r="C274" s="18">
        <v>7</v>
      </c>
      <c r="D274" s="35">
        <f>C274*B274</f>
        <v>693</v>
      </c>
      <c r="E274" s="25">
        <v>45222</v>
      </c>
      <c r="F274" s="13" t="s">
        <v>147</v>
      </c>
      <c r="G274" s="18"/>
      <c r="H274" s="18" t="s">
        <v>148</v>
      </c>
      <c r="I274" s="18" t="s">
        <v>149</v>
      </c>
      <c r="J274" s="18"/>
    </row>
    <row r="275" spans="1:10" ht="12.75" customHeight="1" x14ac:dyDescent="0.2">
      <c r="A275" s="17" t="s">
        <v>150</v>
      </c>
      <c r="B275" s="8">
        <v>75</v>
      </c>
      <c r="C275" s="18">
        <v>2</v>
      </c>
      <c r="D275" s="35">
        <f>C275*B275</f>
        <v>150</v>
      </c>
      <c r="E275" s="25">
        <v>45222</v>
      </c>
      <c r="F275" s="13" t="s">
        <v>147</v>
      </c>
      <c r="G275" s="13"/>
      <c r="H275" s="18" t="s">
        <v>151</v>
      </c>
      <c r="I275" s="18" t="s">
        <v>152</v>
      </c>
      <c r="J275" s="27"/>
    </row>
    <row r="276" spans="1:10" ht="12.75" customHeight="1" x14ac:dyDescent="0.2">
      <c r="A276" s="17" t="s">
        <v>693</v>
      </c>
      <c r="B276" s="35">
        <v>1373</v>
      </c>
      <c r="C276" s="18">
        <v>2</v>
      </c>
      <c r="D276" s="35">
        <f>C276*B276</f>
        <v>2746</v>
      </c>
      <c r="E276" s="25">
        <v>45615</v>
      </c>
      <c r="F276" s="18" t="s">
        <v>692</v>
      </c>
      <c r="G276" s="13"/>
      <c r="H276" s="18"/>
      <c r="I276" s="18"/>
      <c r="J276" s="27"/>
    </row>
    <row r="277" spans="1:10" ht="12.75" customHeight="1" x14ac:dyDescent="0.2">
      <c r="A277" s="17" t="s">
        <v>691</v>
      </c>
      <c r="B277" s="35">
        <v>358</v>
      </c>
      <c r="C277" s="18">
        <v>1</v>
      </c>
      <c r="D277" s="35">
        <f>C277*B277</f>
        <v>358</v>
      </c>
      <c r="E277" s="25">
        <v>45615</v>
      </c>
      <c r="F277" s="18" t="s">
        <v>692</v>
      </c>
      <c r="G277" s="18"/>
      <c r="H277" s="18"/>
      <c r="I277" s="18"/>
      <c r="J277" s="18"/>
    </row>
    <row r="278" spans="1:10" ht="12.75" customHeight="1" x14ac:dyDescent="0.2">
      <c r="A278" s="17"/>
      <c r="B278" s="8"/>
      <c r="C278" s="18"/>
      <c r="D278" s="26"/>
      <c r="E278" s="13"/>
      <c r="F278" s="13"/>
      <c r="G278" s="13"/>
      <c r="H278" s="13"/>
      <c r="I278" s="13"/>
      <c r="J278" s="13"/>
    </row>
    <row r="279" spans="1:10" ht="12.75" customHeight="1" x14ac:dyDescent="0.2">
      <c r="A279" s="20" t="s">
        <v>353</v>
      </c>
      <c r="B279" s="50">
        <f>SUM(D280:D281)</f>
        <v>712</v>
      </c>
      <c r="C279" s="18"/>
      <c r="E279" s="13"/>
      <c r="F279" s="13"/>
      <c r="G279" s="13"/>
      <c r="H279" s="13"/>
      <c r="I279" s="13"/>
      <c r="J279" s="13"/>
    </row>
    <row r="280" spans="1:10" ht="12.75" customHeight="1" x14ac:dyDescent="0.2">
      <c r="A280" s="37" t="s">
        <v>140</v>
      </c>
      <c r="B280" s="8">
        <v>356</v>
      </c>
      <c r="C280" s="13">
        <v>2</v>
      </c>
      <c r="D280" s="35">
        <f>C280*B280</f>
        <v>712</v>
      </c>
      <c r="E280" s="43">
        <v>45142</v>
      </c>
      <c r="F280" s="44" t="s">
        <v>141</v>
      </c>
      <c r="G280" s="13" t="s">
        <v>142</v>
      </c>
      <c r="H280" s="25" t="s">
        <v>143</v>
      </c>
      <c r="I280" s="44" t="s">
        <v>144</v>
      </c>
      <c r="J280" s="13" t="s">
        <v>145</v>
      </c>
    </row>
    <row r="281" spans="1:10" ht="12.75" customHeight="1" x14ac:dyDescent="0.2">
      <c r="A281" s="17"/>
      <c r="B281" s="8"/>
      <c r="C281" s="18"/>
      <c r="D281" s="26"/>
      <c r="E281" s="13"/>
      <c r="F281" s="13"/>
      <c r="G281" s="13"/>
      <c r="H281" s="13"/>
      <c r="I281" s="13"/>
      <c r="J281" s="13"/>
    </row>
    <row r="282" spans="1:10" ht="15" customHeight="1" x14ac:dyDescent="0.2">
      <c r="A282" s="20" t="s">
        <v>156</v>
      </c>
      <c r="B282" s="50">
        <f>SUM(D283:D309)</f>
        <v>12230.519999999999</v>
      </c>
    </row>
    <row r="283" spans="1:10" ht="12.75" customHeight="1" x14ac:dyDescent="0.2">
      <c r="A283" s="37" t="s">
        <v>157</v>
      </c>
      <c r="B283" s="8">
        <v>1215</v>
      </c>
      <c r="C283" s="13">
        <v>1</v>
      </c>
      <c r="D283" s="35">
        <f>C283*B283</f>
        <v>1215</v>
      </c>
      <c r="E283" s="43">
        <v>45142</v>
      </c>
      <c r="F283" s="44" t="s">
        <v>158</v>
      </c>
      <c r="G283" s="13" t="s">
        <v>159</v>
      </c>
      <c r="H283" s="44" t="s">
        <v>158</v>
      </c>
      <c r="I283" s="13" t="s">
        <v>159</v>
      </c>
      <c r="J283" s="13" t="s">
        <v>15</v>
      </c>
    </row>
    <row r="284" spans="1:10" ht="12.75" customHeight="1" x14ac:dyDescent="0.2">
      <c r="A284" s="37" t="s">
        <v>160</v>
      </c>
      <c r="B284" s="8">
        <v>1053</v>
      </c>
      <c r="C284" s="13">
        <v>1</v>
      </c>
      <c r="D284" s="35">
        <f>C284*B284</f>
        <v>1053</v>
      </c>
      <c r="E284" s="43">
        <v>45142</v>
      </c>
      <c r="F284" s="44" t="s">
        <v>158</v>
      </c>
      <c r="G284" s="13" t="s">
        <v>161</v>
      </c>
      <c r="H284" s="44" t="s">
        <v>158</v>
      </c>
      <c r="I284" s="13" t="s">
        <v>161</v>
      </c>
      <c r="J284" s="13" t="s">
        <v>15</v>
      </c>
    </row>
    <row r="285" spans="1:10" ht="12.75" customHeight="1" x14ac:dyDescent="0.2">
      <c r="A285" s="37" t="s">
        <v>162</v>
      </c>
      <c r="B285" s="8">
        <v>943</v>
      </c>
      <c r="C285" s="13">
        <v>1</v>
      </c>
      <c r="D285" s="35">
        <f>C285*B285</f>
        <v>943</v>
      </c>
      <c r="E285" s="43">
        <v>45142</v>
      </c>
      <c r="F285" s="44" t="s">
        <v>158</v>
      </c>
      <c r="G285" s="13" t="s">
        <v>163</v>
      </c>
      <c r="H285" s="44" t="s">
        <v>158</v>
      </c>
      <c r="I285" s="13" t="s">
        <v>163</v>
      </c>
      <c r="J285" s="13" t="s">
        <v>15</v>
      </c>
    </row>
    <row r="286" spans="1:10" ht="12.75" customHeight="1" x14ac:dyDescent="0.2">
      <c r="A286" s="37" t="s">
        <v>164</v>
      </c>
      <c r="B286" s="8">
        <v>718</v>
      </c>
      <c r="C286" s="13">
        <v>1</v>
      </c>
      <c r="D286" s="35">
        <f>C286*B286</f>
        <v>718</v>
      </c>
      <c r="E286" s="43">
        <v>45142</v>
      </c>
      <c r="F286" s="44" t="s">
        <v>158</v>
      </c>
      <c r="G286" s="13" t="s">
        <v>165</v>
      </c>
      <c r="H286" s="44" t="s">
        <v>158</v>
      </c>
      <c r="I286" s="13" t="s">
        <v>165</v>
      </c>
      <c r="J286" s="13" t="s">
        <v>15</v>
      </c>
    </row>
    <row r="287" spans="1:10" ht="12.75" customHeight="1" x14ac:dyDescent="0.2">
      <c r="A287" s="17" t="s">
        <v>166</v>
      </c>
      <c r="B287" s="8">
        <v>2385</v>
      </c>
      <c r="C287" s="18">
        <v>2</v>
      </c>
      <c r="D287" s="26">
        <f t="shared" ref="D287:D303" si="25">B287*C287</f>
        <v>4770</v>
      </c>
      <c r="E287" s="25">
        <v>45215</v>
      </c>
      <c r="F287" s="18" t="s">
        <v>167</v>
      </c>
      <c r="G287" s="18" t="s">
        <v>168</v>
      </c>
      <c r="H287" s="18" t="s">
        <v>167</v>
      </c>
      <c r="I287" s="18" t="s">
        <v>168</v>
      </c>
      <c r="J287" s="13"/>
    </row>
    <row r="288" spans="1:10" ht="12.75" customHeight="1" x14ac:dyDescent="0.2">
      <c r="A288" s="17" t="s">
        <v>169</v>
      </c>
      <c r="B288" s="8">
        <v>1885</v>
      </c>
      <c r="C288" s="18">
        <v>1</v>
      </c>
      <c r="D288" s="26">
        <f t="shared" si="25"/>
        <v>1885</v>
      </c>
      <c r="E288" s="25">
        <v>45215</v>
      </c>
      <c r="F288" s="18" t="s">
        <v>167</v>
      </c>
      <c r="G288" s="18" t="s">
        <v>170</v>
      </c>
      <c r="H288" s="18" t="s">
        <v>167</v>
      </c>
      <c r="I288" s="18" t="s">
        <v>170</v>
      </c>
      <c r="J288" s="13"/>
    </row>
    <row r="289" spans="1:14" ht="12.75" customHeight="1" x14ac:dyDescent="0.2">
      <c r="A289" s="17" t="s">
        <v>171</v>
      </c>
      <c r="B289" s="8">
        <v>78</v>
      </c>
      <c r="C289" s="18">
        <v>3</v>
      </c>
      <c r="D289" s="26">
        <f t="shared" si="25"/>
        <v>234</v>
      </c>
      <c r="E289" s="25">
        <v>45329</v>
      </c>
      <c r="F289" s="18" t="s">
        <v>167</v>
      </c>
      <c r="G289" s="18" t="s">
        <v>172</v>
      </c>
      <c r="H289" s="18" t="s">
        <v>167</v>
      </c>
      <c r="I289" s="18" t="s">
        <v>172</v>
      </c>
      <c r="J289" s="18" t="s">
        <v>173</v>
      </c>
    </row>
    <row r="290" spans="1:14" ht="12.75" customHeight="1" x14ac:dyDescent="0.2">
      <c r="A290" s="17" t="s">
        <v>174</v>
      </c>
      <c r="B290" s="8">
        <v>50</v>
      </c>
      <c r="C290" s="18">
        <v>7</v>
      </c>
      <c r="D290" s="26">
        <f t="shared" si="25"/>
        <v>350</v>
      </c>
      <c r="E290" s="25">
        <v>45329</v>
      </c>
      <c r="F290" s="18" t="s">
        <v>167</v>
      </c>
      <c r="G290" s="19" t="s">
        <v>175</v>
      </c>
      <c r="H290" s="18" t="s">
        <v>167</v>
      </c>
      <c r="I290" s="19" t="s">
        <v>175</v>
      </c>
      <c r="J290" s="13"/>
    </row>
    <row r="291" spans="1:14" ht="12.75" customHeight="1" x14ac:dyDescent="0.2">
      <c r="A291" s="17" t="s">
        <v>171</v>
      </c>
      <c r="B291" s="8">
        <v>0</v>
      </c>
      <c r="C291" s="18">
        <v>2</v>
      </c>
      <c r="D291" s="26">
        <f t="shared" si="25"/>
        <v>0</v>
      </c>
      <c r="E291" s="43">
        <v>45142</v>
      </c>
      <c r="F291" s="44" t="s">
        <v>638</v>
      </c>
      <c r="G291" s="18" t="s">
        <v>172</v>
      </c>
      <c r="H291" s="18" t="s">
        <v>167</v>
      </c>
      <c r="I291" s="18" t="s">
        <v>172</v>
      </c>
      <c r="J291" s="13" t="s">
        <v>15</v>
      </c>
    </row>
    <row r="292" spans="1:14" ht="12.75" customHeight="1" x14ac:dyDescent="0.2">
      <c r="A292" s="17" t="s">
        <v>174</v>
      </c>
      <c r="B292" s="8">
        <v>0</v>
      </c>
      <c r="C292" s="18">
        <v>2</v>
      </c>
      <c r="D292" s="26">
        <f t="shared" si="25"/>
        <v>0</v>
      </c>
      <c r="E292" s="43">
        <v>45142</v>
      </c>
      <c r="F292" s="44" t="s">
        <v>638</v>
      </c>
      <c r="G292" s="19" t="s">
        <v>175</v>
      </c>
      <c r="H292" s="18" t="s">
        <v>167</v>
      </c>
      <c r="I292" s="19" t="s">
        <v>175</v>
      </c>
      <c r="J292" s="13" t="s">
        <v>15</v>
      </c>
      <c r="N292" s="19" t="s">
        <v>176</v>
      </c>
    </row>
    <row r="293" spans="1:14" ht="12.75" customHeight="1" x14ac:dyDescent="0.2">
      <c r="A293" s="17" t="s">
        <v>177</v>
      </c>
      <c r="B293" s="8">
        <v>0</v>
      </c>
      <c r="C293" s="18">
        <v>2</v>
      </c>
      <c r="D293" s="26">
        <f t="shared" si="25"/>
        <v>0</v>
      </c>
      <c r="E293" s="43">
        <v>45142</v>
      </c>
      <c r="F293" s="44" t="s">
        <v>638</v>
      </c>
      <c r="G293" s="18" t="s">
        <v>178</v>
      </c>
      <c r="H293" s="18" t="s">
        <v>167</v>
      </c>
      <c r="I293" s="18" t="s">
        <v>178</v>
      </c>
      <c r="J293" s="13" t="s">
        <v>15</v>
      </c>
    </row>
    <row r="294" spans="1:14" ht="12.75" customHeight="1" x14ac:dyDescent="0.2">
      <c r="A294" s="17" t="s">
        <v>179</v>
      </c>
      <c r="B294" s="8">
        <v>0</v>
      </c>
      <c r="C294" s="18">
        <v>2</v>
      </c>
      <c r="D294" s="26">
        <f t="shared" si="25"/>
        <v>0</v>
      </c>
      <c r="E294" s="43">
        <v>45142</v>
      </c>
      <c r="F294" s="44" t="s">
        <v>638</v>
      </c>
      <c r="G294" s="19" t="s">
        <v>180</v>
      </c>
      <c r="H294" s="18" t="s">
        <v>167</v>
      </c>
      <c r="I294" s="19" t="s">
        <v>180</v>
      </c>
      <c r="J294" s="13" t="s">
        <v>15</v>
      </c>
    </row>
    <row r="295" spans="1:14" ht="12.75" customHeight="1" x14ac:dyDescent="0.2">
      <c r="A295" s="17" t="s">
        <v>343</v>
      </c>
      <c r="B295" s="8">
        <v>116.99</v>
      </c>
      <c r="C295" s="18">
        <v>3</v>
      </c>
      <c r="D295" s="26">
        <f t="shared" si="25"/>
        <v>350.96999999999997</v>
      </c>
      <c r="E295" s="25">
        <v>45369</v>
      </c>
      <c r="F295" s="19" t="s">
        <v>125</v>
      </c>
      <c r="G295" s="19" t="s">
        <v>182</v>
      </c>
      <c r="H295" s="18"/>
      <c r="I295" s="19" t="s">
        <v>183</v>
      </c>
    </row>
    <row r="296" spans="1:14" ht="12.75" customHeight="1" x14ac:dyDescent="0.2">
      <c r="A296" s="17" t="s">
        <v>342</v>
      </c>
      <c r="B296" s="8">
        <v>0</v>
      </c>
      <c r="C296" s="18">
        <v>1</v>
      </c>
      <c r="D296" s="26">
        <f>B296*C296</f>
        <v>0</v>
      </c>
      <c r="E296" s="43">
        <v>45142</v>
      </c>
      <c r="F296" s="44" t="s">
        <v>638</v>
      </c>
      <c r="H296" s="18"/>
      <c r="J296" s="13" t="s">
        <v>345</v>
      </c>
    </row>
    <row r="297" spans="1:14" ht="15" customHeight="1" x14ac:dyDescent="0.2">
      <c r="A297" s="34" t="s">
        <v>339</v>
      </c>
      <c r="B297" s="8">
        <v>23.03</v>
      </c>
      <c r="C297" s="18">
        <v>1</v>
      </c>
      <c r="D297" s="26">
        <f>B297*C297</f>
        <v>23.03</v>
      </c>
      <c r="E297" s="53">
        <v>45397</v>
      </c>
      <c r="F297" s="19" t="s">
        <v>219</v>
      </c>
    </row>
    <row r="298" spans="1:14" ht="12.75" customHeight="1" x14ac:dyDescent="0.2">
      <c r="A298" s="17" t="s">
        <v>341</v>
      </c>
      <c r="B298" s="8">
        <v>23.03</v>
      </c>
      <c r="C298" s="18">
        <v>3</v>
      </c>
      <c r="D298" s="26">
        <f t="shared" si="25"/>
        <v>69.09</v>
      </c>
      <c r="E298" s="25">
        <v>45397</v>
      </c>
      <c r="F298" s="19" t="s">
        <v>219</v>
      </c>
      <c r="G298" s="19"/>
      <c r="H298" s="18"/>
      <c r="I298" s="19" t="s">
        <v>186</v>
      </c>
      <c r="J298" s="13"/>
    </row>
    <row r="299" spans="1:14" ht="12.75" customHeight="1" x14ac:dyDescent="0.2">
      <c r="A299" s="34" t="s">
        <v>340</v>
      </c>
      <c r="B299" s="8">
        <v>25.53</v>
      </c>
      <c r="C299" s="18">
        <v>3</v>
      </c>
      <c r="D299" s="26">
        <f t="shared" si="25"/>
        <v>76.59</v>
      </c>
      <c r="E299" s="25">
        <v>45397</v>
      </c>
      <c r="F299" s="19" t="s">
        <v>219</v>
      </c>
      <c r="G299" s="19"/>
      <c r="H299" s="18"/>
      <c r="J299" s="13"/>
    </row>
    <row r="300" spans="1:14" ht="15" customHeight="1" x14ac:dyDescent="0.2">
      <c r="A300" s="34" t="s">
        <v>338</v>
      </c>
      <c r="B300" s="8">
        <v>44.68</v>
      </c>
      <c r="C300" s="18">
        <v>1</v>
      </c>
      <c r="D300" s="26">
        <f t="shared" si="25"/>
        <v>44.68</v>
      </c>
      <c r="E300" s="53">
        <v>45397</v>
      </c>
      <c r="F300" s="19" t="s">
        <v>219</v>
      </c>
    </row>
    <row r="301" spans="1:14" ht="15" customHeight="1" x14ac:dyDescent="0.2">
      <c r="A301" s="34" t="s">
        <v>477</v>
      </c>
      <c r="B301" s="8">
        <v>3.95</v>
      </c>
      <c r="C301" s="18">
        <v>2</v>
      </c>
      <c r="D301" s="26">
        <f>B301*C301</f>
        <v>7.9</v>
      </c>
      <c r="E301" s="25">
        <v>45394</v>
      </c>
      <c r="F301" s="19" t="s">
        <v>122</v>
      </c>
    </row>
    <row r="302" spans="1:14" ht="15" customHeight="1" x14ac:dyDescent="0.2">
      <c r="A302" s="34" t="s">
        <v>476</v>
      </c>
      <c r="B302" s="8">
        <v>3.43</v>
      </c>
      <c r="C302" s="18">
        <v>2</v>
      </c>
      <c r="D302" s="26">
        <f>B302*C302</f>
        <v>6.86</v>
      </c>
      <c r="E302" s="25">
        <v>45394</v>
      </c>
      <c r="F302" s="19" t="s">
        <v>122</v>
      </c>
    </row>
    <row r="303" spans="1:14" ht="15" customHeight="1" x14ac:dyDescent="0.2">
      <c r="A303" s="34" t="s">
        <v>350</v>
      </c>
      <c r="B303" s="8">
        <v>2.38</v>
      </c>
      <c r="C303" s="18">
        <v>1</v>
      </c>
      <c r="D303" s="26">
        <f t="shared" si="25"/>
        <v>2.38</v>
      </c>
      <c r="E303" s="25">
        <v>45394</v>
      </c>
      <c r="F303" s="19" t="s">
        <v>122</v>
      </c>
    </row>
    <row r="304" spans="1:14" ht="15" customHeight="1" x14ac:dyDescent="0.2">
      <c r="A304" s="34" t="s">
        <v>352</v>
      </c>
      <c r="B304" s="8">
        <v>1.89</v>
      </c>
      <c r="C304" s="18">
        <v>2</v>
      </c>
      <c r="D304" s="26">
        <f>B304*C304</f>
        <v>3.78</v>
      </c>
      <c r="E304" s="25">
        <v>45394</v>
      </c>
      <c r="F304" s="19" t="s">
        <v>122</v>
      </c>
    </row>
    <row r="305" spans="1:10" ht="12.75" customHeight="1" x14ac:dyDescent="0.2">
      <c r="A305" s="17" t="s">
        <v>776</v>
      </c>
      <c r="B305" s="8">
        <v>138.06</v>
      </c>
      <c r="C305" s="18">
        <v>1</v>
      </c>
      <c r="D305" s="26">
        <f>B305*C305</f>
        <v>138.06</v>
      </c>
      <c r="E305" s="53">
        <v>45693</v>
      </c>
      <c r="F305" s="18" t="s">
        <v>33</v>
      </c>
      <c r="H305" s="18"/>
      <c r="J305" s="19" t="s">
        <v>749</v>
      </c>
    </row>
    <row r="306" spans="1:10" ht="12.75" customHeight="1" x14ac:dyDescent="0.2">
      <c r="A306" s="17" t="s">
        <v>777</v>
      </c>
      <c r="B306" s="8">
        <v>114.46</v>
      </c>
      <c r="C306" s="18">
        <v>1</v>
      </c>
      <c r="D306" s="26">
        <f>B306*C306</f>
        <v>114.46</v>
      </c>
      <c r="E306" s="53">
        <v>45693</v>
      </c>
      <c r="F306" s="18" t="s">
        <v>33</v>
      </c>
      <c r="H306" s="18"/>
      <c r="J306" s="19" t="s">
        <v>750</v>
      </c>
    </row>
    <row r="307" spans="1:10" ht="12.75" customHeight="1" x14ac:dyDescent="0.2">
      <c r="A307" s="17" t="s">
        <v>778</v>
      </c>
      <c r="B307" s="8">
        <v>112.99</v>
      </c>
      <c r="C307" s="18">
        <v>1</v>
      </c>
      <c r="D307" s="26">
        <f>B307*C307</f>
        <v>112.99</v>
      </c>
      <c r="E307" s="53">
        <v>45693</v>
      </c>
      <c r="F307" s="18" t="s">
        <v>33</v>
      </c>
      <c r="H307" s="18"/>
      <c r="J307" s="19" t="s">
        <v>752</v>
      </c>
    </row>
    <row r="308" spans="1:10" ht="12.75" customHeight="1" x14ac:dyDescent="0.2">
      <c r="A308" s="17" t="s">
        <v>779</v>
      </c>
      <c r="B308" s="8">
        <v>111.73</v>
      </c>
      <c r="C308" s="18">
        <v>1</v>
      </c>
      <c r="D308" s="26">
        <f t="shared" ref="D308" si="26">B308*C308</f>
        <v>111.73</v>
      </c>
      <c r="E308" s="53">
        <v>45693</v>
      </c>
      <c r="F308" s="18" t="s">
        <v>33</v>
      </c>
      <c r="H308" s="18"/>
      <c r="J308" s="19" t="s">
        <v>753</v>
      </c>
    </row>
    <row r="309" spans="1:10" ht="15" customHeight="1" x14ac:dyDescent="0.2">
      <c r="B309" s="8"/>
      <c r="C309" s="18"/>
      <c r="D309" s="26"/>
      <c r="F309" s="19"/>
    </row>
    <row r="310" spans="1:10" ht="12.75" customHeight="1" x14ac:dyDescent="0.2">
      <c r="A310" s="20" t="s">
        <v>624</v>
      </c>
      <c r="B310" s="50">
        <f>SUM(D310:D346)</f>
        <v>1047.42</v>
      </c>
      <c r="C310" s="18"/>
      <c r="D310" s="26"/>
      <c r="E310" s="13"/>
      <c r="F310" s="44"/>
      <c r="H310" s="18"/>
      <c r="J310" s="13"/>
    </row>
    <row r="311" spans="1:10" ht="12.75" customHeight="1" x14ac:dyDescent="0.2">
      <c r="A311" s="24" t="s">
        <v>192</v>
      </c>
      <c r="B311" s="50">
        <f>SUM(D312:D323)</f>
        <v>508.88</v>
      </c>
      <c r="C311" s="18"/>
      <c r="E311" s="13"/>
      <c r="F311" s="44"/>
      <c r="H311" s="18"/>
      <c r="J311" s="13"/>
    </row>
    <row r="312" spans="1:10" ht="12.75" customHeight="1" x14ac:dyDescent="0.2">
      <c r="A312" s="17" t="s">
        <v>302</v>
      </c>
      <c r="B312" s="8">
        <v>56.26</v>
      </c>
      <c r="C312" s="18">
        <v>4</v>
      </c>
      <c r="D312" s="26">
        <f t="shared" ref="D312:D322" si="27">B312*C312</f>
        <v>225.04</v>
      </c>
      <c r="E312" s="25">
        <v>45366</v>
      </c>
      <c r="F312" s="44" t="s">
        <v>122</v>
      </c>
      <c r="G312" s="34" t="s">
        <v>647</v>
      </c>
      <c r="H312" s="18"/>
      <c r="J312" s="13" t="s">
        <v>195</v>
      </c>
    </row>
    <row r="313" spans="1:10" ht="12.75" customHeight="1" x14ac:dyDescent="0.2">
      <c r="A313" s="17" t="s">
        <v>303</v>
      </c>
      <c r="B313" s="8">
        <v>12.78</v>
      </c>
      <c r="C313" s="18">
        <v>1</v>
      </c>
      <c r="D313" s="26">
        <f t="shared" si="27"/>
        <v>12.78</v>
      </c>
      <c r="E313" s="25">
        <v>45366</v>
      </c>
      <c r="F313" s="44" t="s">
        <v>122</v>
      </c>
      <c r="G313" s="19"/>
      <c r="H313" s="18"/>
      <c r="J313" s="13"/>
    </row>
    <row r="314" spans="1:10" ht="12.75" customHeight="1" x14ac:dyDescent="0.2">
      <c r="A314" s="17" t="s">
        <v>196</v>
      </c>
      <c r="B314" s="8">
        <v>4.28</v>
      </c>
      <c r="C314" s="18">
        <v>8</v>
      </c>
      <c r="D314" s="26">
        <f t="shared" si="27"/>
        <v>34.24</v>
      </c>
      <c r="E314" s="25">
        <v>45369</v>
      </c>
      <c r="F314" s="44" t="s">
        <v>125</v>
      </c>
      <c r="G314" s="19" t="s">
        <v>197</v>
      </c>
      <c r="H314" s="18"/>
      <c r="J314" s="13"/>
    </row>
    <row r="315" spans="1:10" ht="12.75" customHeight="1" x14ac:dyDescent="0.2">
      <c r="A315" s="17" t="s">
        <v>198</v>
      </c>
      <c r="B315" s="8">
        <v>5.26</v>
      </c>
      <c r="C315" s="18">
        <v>8</v>
      </c>
      <c r="D315" s="26">
        <f t="shared" si="27"/>
        <v>42.08</v>
      </c>
      <c r="E315" s="25">
        <v>45369</v>
      </c>
      <c r="F315" s="44" t="s">
        <v>125</v>
      </c>
      <c r="G315" s="19" t="s">
        <v>199</v>
      </c>
      <c r="H315" s="13"/>
      <c r="I315" s="13"/>
      <c r="J315" s="13"/>
    </row>
    <row r="316" spans="1:10" ht="12.75" customHeight="1" x14ac:dyDescent="0.2">
      <c r="A316" s="17" t="s">
        <v>200</v>
      </c>
      <c r="B316" s="8">
        <v>3.35</v>
      </c>
      <c r="C316" s="18">
        <v>5</v>
      </c>
      <c r="D316" s="26">
        <f t="shared" si="27"/>
        <v>16.75</v>
      </c>
      <c r="E316" s="25">
        <v>45369</v>
      </c>
      <c r="F316" s="44" t="s">
        <v>125</v>
      </c>
      <c r="G316" s="19" t="s">
        <v>201</v>
      </c>
      <c r="H316" s="13"/>
      <c r="I316" s="13"/>
      <c r="J316" s="13"/>
    </row>
    <row r="317" spans="1:10" ht="12.75" customHeight="1" x14ac:dyDescent="0.2">
      <c r="A317" s="17" t="s">
        <v>619</v>
      </c>
      <c r="B317" s="8">
        <v>84.33</v>
      </c>
      <c r="C317" s="18">
        <v>1</v>
      </c>
      <c r="D317" s="26">
        <f t="shared" si="27"/>
        <v>84.33</v>
      </c>
      <c r="E317" s="25">
        <v>45369</v>
      </c>
      <c r="F317" s="44" t="s">
        <v>308</v>
      </c>
      <c r="H317" s="13"/>
      <c r="I317" s="13"/>
      <c r="J317" s="13"/>
    </row>
    <row r="318" spans="1:10" ht="12.75" customHeight="1" x14ac:dyDescent="0.2">
      <c r="A318" s="17" t="s">
        <v>618</v>
      </c>
      <c r="B318" s="8">
        <v>18.09</v>
      </c>
      <c r="C318" s="18">
        <v>3</v>
      </c>
      <c r="D318" s="26">
        <f t="shared" si="27"/>
        <v>54.269999999999996</v>
      </c>
      <c r="E318" s="25">
        <v>45366</v>
      </c>
      <c r="F318" s="44" t="s">
        <v>308</v>
      </c>
      <c r="H318" s="13"/>
      <c r="I318" s="13"/>
      <c r="J318" s="13" t="s">
        <v>620</v>
      </c>
    </row>
    <row r="319" spans="1:10" ht="12.75" customHeight="1" x14ac:dyDescent="0.2">
      <c r="A319" s="17" t="s">
        <v>210</v>
      </c>
      <c r="B319" s="8">
        <v>22.86</v>
      </c>
      <c r="C319" s="18">
        <v>1</v>
      </c>
      <c r="D319" s="26">
        <f t="shared" si="27"/>
        <v>22.86</v>
      </c>
      <c r="E319" s="25">
        <v>45369</v>
      </c>
      <c r="F319" s="19" t="s">
        <v>125</v>
      </c>
      <c r="G319" s="19" t="s">
        <v>211</v>
      </c>
      <c r="H319" s="13"/>
      <c r="I319" s="13"/>
      <c r="J319" s="13"/>
    </row>
    <row r="320" spans="1:10" ht="12.75" customHeight="1" x14ac:dyDescent="0.2">
      <c r="A320" s="17" t="s">
        <v>212</v>
      </c>
      <c r="B320" s="8">
        <v>16.53</v>
      </c>
      <c r="C320" s="18">
        <v>1</v>
      </c>
      <c r="D320" s="26">
        <f t="shared" si="27"/>
        <v>16.53</v>
      </c>
      <c r="E320" s="25">
        <v>45366</v>
      </c>
      <c r="F320" s="44" t="s">
        <v>122</v>
      </c>
      <c r="G320" s="19" t="s">
        <v>213</v>
      </c>
      <c r="H320" s="13"/>
      <c r="I320" s="13"/>
      <c r="J320" s="13" t="s">
        <v>214</v>
      </c>
    </row>
    <row r="321" spans="1:10" ht="12.75" customHeight="1" x14ac:dyDescent="0.2">
      <c r="A321" s="37" t="s">
        <v>348</v>
      </c>
      <c r="B321" s="8">
        <v>0</v>
      </c>
      <c r="C321" s="13">
        <v>1</v>
      </c>
      <c r="D321" s="26">
        <f t="shared" si="27"/>
        <v>0</v>
      </c>
      <c r="E321" s="43">
        <v>45142</v>
      </c>
      <c r="F321" s="44" t="s">
        <v>22</v>
      </c>
      <c r="G321" s="34" t="s">
        <v>349</v>
      </c>
      <c r="H321" s="25"/>
      <c r="I321" s="44"/>
      <c r="J321" s="13" t="s">
        <v>15</v>
      </c>
    </row>
    <row r="322" spans="1:10" ht="12.75" customHeight="1" x14ac:dyDescent="0.2">
      <c r="A322" s="37" t="s">
        <v>390</v>
      </c>
      <c r="B322" s="8">
        <v>0</v>
      </c>
      <c r="C322" s="13">
        <v>1</v>
      </c>
      <c r="D322" s="26">
        <f t="shared" si="27"/>
        <v>0</v>
      </c>
      <c r="E322" s="43">
        <v>45142</v>
      </c>
      <c r="F322" s="44" t="s">
        <v>22</v>
      </c>
      <c r="G322" s="13"/>
      <c r="H322" s="25"/>
      <c r="I322" s="44"/>
      <c r="J322" s="13" t="s">
        <v>15</v>
      </c>
    </row>
    <row r="323" spans="1:10" ht="12.75" customHeight="1" x14ac:dyDescent="0.2">
      <c r="A323" s="17"/>
      <c r="B323" s="8"/>
      <c r="C323" s="18"/>
      <c r="D323" s="26"/>
      <c r="E323" s="13"/>
      <c r="F323" s="44"/>
      <c r="H323" s="13"/>
      <c r="I323" s="13"/>
      <c r="J323" s="13"/>
    </row>
    <row r="324" spans="1:10" ht="12.75" customHeight="1" x14ac:dyDescent="0.2">
      <c r="A324" s="24" t="s">
        <v>590</v>
      </c>
      <c r="B324" s="50">
        <f>SUM(D325:D336)</f>
        <v>374.14</v>
      </c>
      <c r="C324" s="18"/>
      <c r="E324" s="13"/>
      <c r="F324" s="44"/>
      <c r="H324" s="18"/>
      <c r="J324" s="13"/>
    </row>
    <row r="325" spans="1:10" ht="12.75" customHeight="1" x14ac:dyDescent="0.2">
      <c r="A325" s="17" t="s">
        <v>302</v>
      </c>
      <c r="B325" s="8">
        <v>56.26</v>
      </c>
      <c r="C325" s="18">
        <v>3</v>
      </c>
      <c r="D325" s="26">
        <f>B325*C325</f>
        <v>168.78</v>
      </c>
      <c r="E325" s="25">
        <v>45366</v>
      </c>
      <c r="F325" s="44" t="s">
        <v>122</v>
      </c>
      <c r="G325" s="34" t="s">
        <v>647</v>
      </c>
      <c r="H325" s="18"/>
      <c r="J325" s="13"/>
    </row>
    <row r="326" spans="1:10" ht="12.75" customHeight="1" x14ac:dyDescent="0.2">
      <c r="A326" s="17" t="s">
        <v>648</v>
      </c>
      <c r="B326" s="8">
        <v>41.01</v>
      </c>
      <c r="C326" s="18">
        <v>1</v>
      </c>
      <c r="D326" s="26">
        <f>B326*C326</f>
        <v>41.01</v>
      </c>
      <c r="E326" s="25">
        <v>45567</v>
      </c>
      <c r="F326" s="44" t="s">
        <v>122</v>
      </c>
      <c r="G326" s="34" t="s">
        <v>194</v>
      </c>
      <c r="H326" s="18"/>
      <c r="J326" s="13"/>
    </row>
    <row r="327" spans="1:10" ht="12.75" customHeight="1" x14ac:dyDescent="0.2">
      <c r="A327" s="17" t="s">
        <v>196</v>
      </c>
      <c r="B327" s="8">
        <v>4.28</v>
      </c>
      <c r="C327" s="18">
        <v>2</v>
      </c>
      <c r="D327" s="26">
        <f t="shared" ref="D327:D335" si="28">B327*C327</f>
        <v>8.56</v>
      </c>
      <c r="E327" s="25">
        <v>45369</v>
      </c>
      <c r="F327" s="44" t="s">
        <v>125</v>
      </c>
      <c r="G327" s="19" t="s">
        <v>197</v>
      </c>
      <c r="H327" s="18"/>
      <c r="J327" s="13"/>
    </row>
    <row r="328" spans="1:10" ht="12.75" customHeight="1" x14ac:dyDescent="0.2">
      <c r="A328" s="17" t="s">
        <v>198</v>
      </c>
      <c r="B328" s="8">
        <v>5.26</v>
      </c>
      <c r="C328" s="18">
        <v>2</v>
      </c>
      <c r="D328" s="26">
        <f t="shared" si="28"/>
        <v>10.52</v>
      </c>
      <c r="E328" s="25">
        <v>45369</v>
      </c>
      <c r="F328" s="44" t="s">
        <v>125</v>
      </c>
      <c r="G328" s="19" t="s">
        <v>199</v>
      </c>
      <c r="H328" s="13"/>
      <c r="I328" s="13"/>
      <c r="J328" s="13"/>
    </row>
    <row r="329" spans="1:10" ht="12.75" customHeight="1" x14ac:dyDescent="0.2">
      <c r="A329" s="17" t="s">
        <v>200</v>
      </c>
      <c r="B329" s="8">
        <v>3.35</v>
      </c>
      <c r="C329" s="18">
        <v>3</v>
      </c>
      <c r="D329" s="26">
        <f t="shared" si="28"/>
        <v>10.050000000000001</v>
      </c>
      <c r="E329" s="25">
        <v>45369</v>
      </c>
      <c r="F329" s="44" t="s">
        <v>125</v>
      </c>
      <c r="G329" s="19" t="s">
        <v>201</v>
      </c>
      <c r="H329" s="13"/>
      <c r="I329" s="13"/>
      <c r="J329" s="13"/>
    </row>
    <row r="330" spans="1:10" ht="12.75" customHeight="1" x14ac:dyDescent="0.2">
      <c r="A330" s="17" t="s">
        <v>470</v>
      </c>
      <c r="B330" s="8">
        <v>8.89</v>
      </c>
      <c r="C330" s="18">
        <v>4</v>
      </c>
      <c r="D330" s="26">
        <f t="shared" si="28"/>
        <v>35.56</v>
      </c>
      <c r="E330" s="25">
        <v>45566</v>
      </c>
      <c r="F330" s="44" t="s">
        <v>125</v>
      </c>
      <c r="G330" s="19" t="s">
        <v>649</v>
      </c>
      <c r="H330" s="13"/>
      <c r="I330" s="13"/>
      <c r="J330" s="13"/>
    </row>
    <row r="331" spans="1:10" ht="12.75" customHeight="1" x14ac:dyDescent="0.2">
      <c r="A331" s="17" t="s">
        <v>200</v>
      </c>
      <c r="B331" s="8">
        <v>3.7</v>
      </c>
      <c r="C331" s="18">
        <v>6</v>
      </c>
      <c r="D331" s="26">
        <f t="shared" si="28"/>
        <v>22.200000000000003</v>
      </c>
      <c r="E331" s="25">
        <v>45566</v>
      </c>
      <c r="F331" s="44" t="s">
        <v>125</v>
      </c>
      <c r="G331" s="19" t="s">
        <v>201</v>
      </c>
      <c r="H331" s="13"/>
      <c r="I331" s="13"/>
      <c r="J331" s="13"/>
    </row>
    <row r="332" spans="1:10" ht="12.75" customHeight="1" x14ac:dyDescent="0.2">
      <c r="A332" s="17" t="s">
        <v>623</v>
      </c>
      <c r="B332" s="8">
        <v>38.07</v>
      </c>
      <c r="C332" s="18">
        <v>1</v>
      </c>
      <c r="D332" s="26">
        <f t="shared" si="28"/>
        <v>38.07</v>
      </c>
      <c r="E332" s="25">
        <v>45369</v>
      </c>
      <c r="F332" s="44" t="s">
        <v>308</v>
      </c>
      <c r="H332" s="13"/>
      <c r="I332" s="13"/>
      <c r="J332" s="13" t="s">
        <v>622</v>
      </c>
    </row>
    <row r="333" spans="1:10" ht="12.75" customHeight="1" x14ac:dyDescent="0.2">
      <c r="A333" s="17" t="s">
        <v>304</v>
      </c>
      <c r="B333" s="8">
        <v>0</v>
      </c>
      <c r="C333" s="18">
        <v>0</v>
      </c>
      <c r="D333" s="26">
        <f t="shared" si="28"/>
        <v>0</v>
      </c>
      <c r="E333" s="25">
        <v>45369</v>
      </c>
      <c r="F333" s="44" t="s">
        <v>308</v>
      </c>
      <c r="H333" s="13"/>
      <c r="I333" s="13"/>
      <c r="J333" s="13" t="s">
        <v>621</v>
      </c>
    </row>
    <row r="334" spans="1:10" ht="12.75" customHeight="1" x14ac:dyDescent="0.2">
      <c r="A334" s="17" t="s">
        <v>210</v>
      </c>
      <c r="B334" s="8">
        <v>22.86</v>
      </c>
      <c r="C334" s="18">
        <v>1</v>
      </c>
      <c r="D334" s="26">
        <f t="shared" si="28"/>
        <v>22.86</v>
      </c>
      <c r="E334" s="25">
        <v>45369</v>
      </c>
      <c r="F334" s="19" t="s">
        <v>125</v>
      </c>
      <c r="G334" s="19" t="s">
        <v>211</v>
      </c>
      <c r="H334" s="13"/>
      <c r="I334" s="13"/>
      <c r="J334" s="13"/>
    </row>
    <row r="335" spans="1:10" ht="12.75" customHeight="1" x14ac:dyDescent="0.2">
      <c r="A335" s="17" t="s">
        <v>212</v>
      </c>
      <c r="B335" s="8">
        <v>16.53</v>
      </c>
      <c r="C335" s="18">
        <v>1</v>
      </c>
      <c r="D335" s="26">
        <f t="shared" si="28"/>
        <v>16.53</v>
      </c>
      <c r="E335" s="25">
        <v>45366</v>
      </c>
      <c r="F335" s="44" t="s">
        <v>122</v>
      </c>
      <c r="G335" s="19" t="s">
        <v>213</v>
      </c>
      <c r="H335" s="13"/>
      <c r="I335" s="13"/>
      <c r="J335" s="13" t="s">
        <v>214</v>
      </c>
    </row>
    <row r="336" spans="1:10" ht="12.75" customHeight="1" x14ac:dyDescent="0.2">
      <c r="A336" s="17"/>
      <c r="B336" s="8"/>
      <c r="C336" s="18"/>
      <c r="D336" s="26"/>
      <c r="E336" s="25"/>
      <c r="F336" s="44"/>
      <c r="G336" s="19"/>
      <c r="H336" s="13"/>
      <c r="I336" s="13"/>
      <c r="J336" s="13"/>
    </row>
    <row r="337" spans="1:10" ht="12.75" customHeight="1" x14ac:dyDescent="0.2">
      <c r="A337" s="24" t="s">
        <v>589</v>
      </c>
      <c r="B337" s="50">
        <f>SUM(D338:D346)</f>
        <v>164.4</v>
      </c>
      <c r="C337" s="18"/>
      <c r="D337" s="26"/>
      <c r="E337" s="25"/>
      <c r="F337" s="44"/>
      <c r="G337" s="19"/>
      <c r="H337" s="13"/>
      <c r="I337" s="13"/>
      <c r="J337" s="13"/>
    </row>
    <row r="338" spans="1:10" ht="12.75" customHeight="1" x14ac:dyDescent="0.2">
      <c r="A338" s="17" t="s">
        <v>204</v>
      </c>
      <c r="B338" s="8">
        <v>34.159999999999997</v>
      </c>
      <c r="C338" s="18">
        <v>1</v>
      </c>
      <c r="D338" s="26">
        <f>B338*C338</f>
        <v>34.159999999999997</v>
      </c>
      <c r="E338" s="25">
        <v>45366</v>
      </c>
      <c r="F338" s="44" t="s">
        <v>122</v>
      </c>
      <c r="G338" s="19" t="s">
        <v>205</v>
      </c>
      <c r="H338" s="13"/>
      <c r="I338" s="13"/>
      <c r="J338" s="13"/>
    </row>
    <row r="339" spans="1:10" ht="12.75" customHeight="1" x14ac:dyDescent="0.2">
      <c r="A339" s="17" t="s">
        <v>601</v>
      </c>
      <c r="B339" s="8">
        <v>29.89</v>
      </c>
      <c r="C339" s="18">
        <v>1</v>
      </c>
      <c r="D339" s="26">
        <f>B339*C339</f>
        <v>29.89</v>
      </c>
      <c r="E339" s="25">
        <v>45567</v>
      </c>
      <c r="F339" s="44" t="s">
        <v>122</v>
      </c>
      <c r="G339" s="34" t="s">
        <v>602</v>
      </c>
      <c r="H339" s="13"/>
      <c r="I339" s="13"/>
      <c r="J339" s="13"/>
    </row>
    <row r="340" spans="1:10" ht="12.75" customHeight="1" x14ac:dyDescent="0.2">
      <c r="A340" s="17" t="s">
        <v>591</v>
      </c>
      <c r="B340" s="8">
        <v>3.8</v>
      </c>
      <c r="C340" s="18">
        <v>7</v>
      </c>
      <c r="D340" s="26">
        <f t="shared" ref="D340:D345" si="29">B340*C340</f>
        <v>26.599999999999998</v>
      </c>
      <c r="E340" s="53">
        <v>45405</v>
      </c>
      <c r="F340" s="44" t="s">
        <v>122</v>
      </c>
      <c r="G340" s="34" t="s">
        <v>605</v>
      </c>
      <c r="H340" s="13"/>
      <c r="I340" s="13"/>
      <c r="J340" s="13"/>
    </row>
    <row r="341" spans="1:10" ht="12.75" customHeight="1" x14ac:dyDescent="0.2">
      <c r="A341" s="17" t="s">
        <v>591</v>
      </c>
      <c r="B341" s="8">
        <v>4.6100000000000003</v>
      </c>
      <c r="C341" s="18">
        <v>2</v>
      </c>
      <c r="D341" s="26">
        <f t="shared" si="29"/>
        <v>9.2200000000000006</v>
      </c>
      <c r="E341" s="53">
        <v>45559</v>
      </c>
      <c r="F341" s="44" t="s">
        <v>122</v>
      </c>
      <c r="G341" s="34" t="s">
        <v>605</v>
      </c>
      <c r="H341" s="13"/>
      <c r="I341" s="13"/>
      <c r="J341" s="13"/>
    </row>
    <row r="342" spans="1:10" ht="12.75" customHeight="1" x14ac:dyDescent="0.2">
      <c r="A342" s="17" t="s">
        <v>604</v>
      </c>
      <c r="B342" s="8">
        <v>4.67</v>
      </c>
      <c r="C342" s="18">
        <v>7</v>
      </c>
      <c r="D342" s="26">
        <f t="shared" si="29"/>
        <v>32.69</v>
      </c>
      <c r="E342" s="53">
        <v>45405</v>
      </c>
      <c r="F342" s="44" t="s">
        <v>122</v>
      </c>
      <c r="G342" s="34" t="s">
        <v>606</v>
      </c>
      <c r="H342" s="13"/>
      <c r="I342" s="13"/>
      <c r="J342" s="13"/>
    </row>
    <row r="343" spans="1:10" ht="12.75" customHeight="1" x14ac:dyDescent="0.2">
      <c r="A343" s="17" t="s">
        <v>607</v>
      </c>
      <c r="B343" s="8">
        <v>6.84</v>
      </c>
      <c r="C343" s="18">
        <v>1</v>
      </c>
      <c r="D343" s="26">
        <f t="shared" si="29"/>
        <v>6.84</v>
      </c>
      <c r="E343" s="53">
        <v>45405</v>
      </c>
      <c r="F343" s="44" t="s">
        <v>122</v>
      </c>
      <c r="G343" s="34" t="s">
        <v>608</v>
      </c>
      <c r="H343" s="13"/>
      <c r="I343" s="13"/>
      <c r="J343" s="13"/>
    </row>
    <row r="344" spans="1:10" ht="12.75" customHeight="1" x14ac:dyDescent="0.2">
      <c r="A344" s="17" t="s">
        <v>603</v>
      </c>
      <c r="B344" s="8">
        <v>0.28000000000000003</v>
      </c>
      <c r="C344" s="18">
        <v>9</v>
      </c>
      <c r="D344" s="26">
        <f t="shared" si="29"/>
        <v>2.5200000000000005</v>
      </c>
      <c r="E344" s="53">
        <v>45405</v>
      </c>
      <c r="F344" s="44" t="s">
        <v>224</v>
      </c>
      <c r="G344" s="34">
        <v>36410</v>
      </c>
      <c r="H344" s="13"/>
      <c r="I344" s="13"/>
      <c r="J344" s="13"/>
    </row>
    <row r="345" spans="1:10" ht="12.75" customHeight="1" x14ac:dyDescent="0.2">
      <c r="A345" s="8" t="s">
        <v>609</v>
      </c>
      <c r="B345" s="8">
        <v>2.81</v>
      </c>
      <c r="C345" s="18">
        <v>8</v>
      </c>
      <c r="D345" s="26">
        <f t="shared" si="29"/>
        <v>22.48</v>
      </c>
      <c r="E345" s="53">
        <v>45405</v>
      </c>
      <c r="F345" s="44" t="s">
        <v>122</v>
      </c>
      <c r="G345" s="34" t="s">
        <v>610</v>
      </c>
      <c r="H345" s="13"/>
      <c r="I345" s="13"/>
      <c r="J345" s="13"/>
    </row>
    <row r="346" spans="1:10" ht="12.75" customHeight="1" x14ac:dyDescent="0.2">
      <c r="A346" s="17"/>
      <c r="B346" s="8"/>
      <c r="C346" s="18"/>
      <c r="D346" s="26"/>
      <c r="E346" s="13"/>
      <c r="F346" s="44"/>
      <c r="H346" s="13"/>
      <c r="I346" s="13"/>
      <c r="J346" s="13"/>
    </row>
    <row r="347" spans="1:10" ht="12.75" customHeight="1" x14ac:dyDescent="0.2">
      <c r="A347" s="20" t="s">
        <v>216</v>
      </c>
      <c r="B347" s="50">
        <f>SUM(D348:D358)</f>
        <v>1653.55</v>
      </c>
      <c r="C347" s="18"/>
      <c r="E347" s="13"/>
      <c r="F347" s="44"/>
      <c r="G347" s="13"/>
      <c r="H347" s="13"/>
      <c r="I347" s="13"/>
    </row>
    <row r="348" spans="1:10" ht="12.75" customHeight="1" x14ac:dyDescent="0.2">
      <c r="A348" s="17" t="s">
        <v>218</v>
      </c>
      <c r="B348" s="8">
        <v>1152.24</v>
      </c>
      <c r="C348" s="18">
        <v>1</v>
      </c>
      <c r="D348" s="35">
        <f>C348*B348</f>
        <v>1152.24</v>
      </c>
      <c r="E348" s="53">
        <v>45302</v>
      </c>
      <c r="F348" s="19" t="s">
        <v>219</v>
      </c>
      <c r="G348" s="19">
        <v>216143</v>
      </c>
      <c r="H348" s="13" t="s">
        <v>220</v>
      </c>
      <c r="I348" s="13"/>
      <c r="J348" s="13" t="s">
        <v>217</v>
      </c>
    </row>
    <row r="349" spans="1:10" ht="12.75" customHeight="1" x14ac:dyDescent="0.2">
      <c r="A349" s="17" t="s">
        <v>221</v>
      </c>
      <c r="B349" s="8">
        <v>287.16000000000003</v>
      </c>
      <c r="C349" s="18">
        <v>1</v>
      </c>
      <c r="D349" s="26">
        <f t="shared" ref="D349:D355" si="30">B349*C349</f>
        <v>287.16000000000003</v>
      </c>
      <c r="E349" s="25">
        <v>45369</v>
      </c>
      <c r="F349" s="44" t="s">
        <v>308</v>
      </c>
      <c r="G349" s="13"/>
      <c r="H349" s="13"/>
      <c r="I349" s="13"/>
      <c r="J349" s="13" t="s">
        <v>222</v>
      </c>
    </row>
    <row r="350" spans="1:10" ht="12.75" customHeight="1" x14ac:dyDescent="0.2">
      <c r="A350" s="17" t="s">
        <v>309</v>
      </c>
      <c r="B350" s="8">
        <v>36.74</v>
      </c>
      <c r="C350" s="18">
        <v>1</v>
      </c>
      <c r="D350" s="26">
        <f t="shared" si="30"/>
        <v>36.74</v>
      </c>
      <c r="E350" s="25">
        <v>45369</v>
      </c>
      <c r="F350" s="44" t="s">
        <v>308</v>
      </c>
      <c r="J350" s="13" t="s">
        <v>310</v>
      </c>
    </row>
    <row r="351" spans="1:10" ht="12.75" customHeight="1" x14ac:dyDescent="0.2">
      <c r="A351" s="17" t="s">
        <v>223</v>
      </c>
      <c r="B351" s="8">
        <v>2.35</v>
      </c>
      <c r="C351" s="18">
        <v>8</v>
      </c>
      <c r="D351" s="26">
        <f t="shared" si="30"/>
        <v>18.8</v>
      </c>
      <c r="E351" s="53">
        <v>45397</v>
      </c>
      <c r="F351" s="19" t="s">
        <v>224</v>
      </c>
      <c r="G351" s="19">
        <v>23916</v>
      </c>
      <c r="J351" s="13" t="s">
        <v>225</v>
      </c>
    </row>
    <row r="352" spans="1:10" ht="12.75" customHeight="1" x14ac:dyDescent="0.2">
      <c r="A352" s="17" t="s">
        <v>226</v>
      </c>
      <c r="B352" s="8">
        <v>0.25</v>
      </c>
      <c r="C352" s="18">
        <v>8</v>
      </c>
      <c r="D352" s="26">
        <f t="shared" si="30"/>
        <v>2</v>
      </c>
      <c r="E352" s="53">
        <v>45397</v>
      </c>
      <c r="F352" s="19" t="s">
        <v>224</v>
      </c>
      <c r="G352" s="19">
        <v>33819</v>
      </c>
      <c r="J352" s="13"/>
    </row>
    <row r="353" spans="1:10" ht="12.75" customHeight="1" x14ac:dyDescent="0.2">
      <c r="A353" s="17" t="s">
        <v>558</v>
      </c>
      <c r="B353" s="8">
        <v>17.850000000000001</v>
      </c>
      <c r="C353" s="18">
        <v>1</v>
      </c>
      <c r="D353" s="26">
        <f t="shared" si="30"/>
        <v>17.850000000000001</v>
      </c>
      <c r="E353" s="25">
        <v>45397</v>
      </c>
      <c r="F353" s="19" t="s">
        <v>125</v>
      </c>
      <c r="G353" s="34" t="s">
        <v>557</v>
      </c>
      <c r="J353" s="13"/>
    </row>
    <row r="354" spans="1:10" ht="12.75" customHeight="1" x14ac:dyDescent="0.2">
      <c r="A354" s="17" t="s">
        <v>227</v>
      </c>
      <c r="B354" s="8">
        <v>119</v>
      </c>
      <c r="C354" s="18">
        <v>1</v>
      </c>
      <c r="D354" s="26">
        <f t="shared" si="30"/>
        <v>119</v>
      </c>
      <c r="E354" s="25">
        <v>45329</v>
      </c>
      <c r="F354" s="19" t="s">
        <v>29</v>
      </c>
      <c r="H354" s="19" t="s">
        <v>228</v>
      </c>
      <c r="I354" s="34" t="s">
        <v>297</v>
      </c>
      <c r="J354" s="13" t="s">
        <v>229</v>
      </c>
    </row>
    <row r="355" spans="1:10" ht="12.75" customHeight="1" x14ac:dyDescent="0.2">
      <c r="A355" s="17" t="s">
        <v>288</v>
      </c>
      <c r="B355" s="8">
        <v>0</v>
      </c>
      <c r="C355" s="18">
        <v>2</v>
      </c>
      <c r="D355" s="26">
        <f t="shared" si="30"/>
        <v>0</v>
      </c>
      <c r="F355" s="19" t="s">
        <v>640</v>
      </c>
      <c r="J355" s="13"/>
    </row>
    <row r="356" spans="1:10" ht="12.75" customHeight="1" x14ac:dyDescent="0.2">
      <c r="A356" s="8" t="s">
        <v>588</v>
      </c>
      <c r="B356" s="8">
        <v>12.76</v>
      </c>
      <c r="C356" s="18">
        <v>1</v>
      </c>
      <c r="D356" s="26">
        <f>B356*C356</f>
        <v>12.76</v>
      </c>
      <c r="E356" s="53">
        <v>45400</v>
      </c>
      <c r="F356" s="44" t="s">
        <v>224</v>
      </c>
      <c r="G356" s="34">
        <v>1133817</v>
      </c>
      <c r="H356" s="13"/>
      <c r="I356" s="13"/>
      <c r="J356" s="13" t="s">
        <v>598</v>
      </c>
    </row>
    <row r="357" spans="1:10" ht="12.75" customHeight="1" x14ac:dyDescent="0.2">
      <c r="A357" s="34" t="s">
        <v>600</v>
      </c>
      <c r="B357" s="8">
        <v>3.5</v>
      </c>
      <c r="C357" s="18">
        <v>2</v>
      </c>
      <c r="D357" s="26">
        <f>B357*C357</f>
        <v>7</v>
      </c>
      <c r="E357" s="53">
        <v>45400</v>
      </c>
      <c r="F357" s="44" t="s">
        <v>224</v>
      </c>
      <c r="G357" s="34">
        <v>2123424</v>
      </c>
      <c r="H357" s="13"/>
      <c r="I357" s="13"/>
      <c r="J357" s="13" t="s">
        <v>599</v>
      </c>
    </row>
    <row r="358" spans="1:10" ht="12.75" customHeight="1" x14ac:dyDescent="0.2">
      <c r="A358" s="17"/>
      <c r="B358" s="23"/>
      <c r="C358" s="13"/>
      <c r="D358" s="26"/>
      <c r="J358" s="13"/>
    </row>
    <row r="359" spans="1:10" ht="15" customHeight="1" x14ac:dyDescent="0.2">
      <c r="A359" s="20" t="s">
        <v>231</v>
      </c>
      <c r="B359" s="50">
        <f>SUM(D360:D376)</f>
        <v>12984.489999999998</v>
      </c>
    </row>
    <row r="360" spans="1:10" ht="12.75" customHeight="1" x14ac:dyDescent="0.2">
      <c r="A360" s="17" t="s">
        <v>232</v>
      </c>
      <c r="B360" s="8">
        <v>9706.93</v>
      </c>
      <c r="C360" s="18">
        <v>1</v>
      </c>
      <c r="D360" s="35">
        <f>C360*B360</f>
        <v>9706.93</v>
      </c>
      <c r="E360" s="53">
        <v>45302</v>
      </c>
      <c r="F360" s="19" t="s">
        <v>219</v>
      </c>
      <c r="G360" s="34" t="s">
        <v>289</v>
      </c>
      <c r="H360" s="19" t="s">
        <v>219</v>
      </c>
      <c r="J360" s="13" t="s">
        <v>233</v>
      </c>
    </row>
    <row r="361" spans="1:10" ht="12.75" customHeight="1" x14ac:dyDescent="0.2">
      <c r="A361" s="17" t="s">
        <v>794</v>
      </c>
      <c r="B361" s="8">
        <v>2353.54</v>
      </c>
      <c r="C361" s="18">
        <v>1</v>
      </c>
      <c r="D361" s="35">
        <f>C361*B361</f>
        <v>2353.54</v>
      </c>
      <c r="E361" s="53" t="s">
        <v>795</v>
      </c>
      <c r="F361" s="19" t="s">
        <v>219</v>
      </c>
      <c r="H361" s="19"/>
      <c r="J361" s="13"/>
    </row>
    <row r="362" spans="1:10" ht="12.75" customHeight="1" x14ac:dyDescent="0.2">
      <c r="A362" s="17" t="s">
        <v>287</v>
      </c>
      <c r="B362" s="8">
        <v>2.82</v>
      </c>
      <c r="C362" s="18">
        <v>8</v>
      </c>
      <c r="D362" s="26">
        <f>B362*C362</f>
        <v>22.56</v>
      </c>
      <c r="E362" s="53">
        <v>45397</v>
      </c>
      <c r="F362" s="19" t="s">
        <v>224</v>
      </c>
      <c r="G362" s="19">
        <v>23918</v>
      </c>
      <c r="J362" s="13"/>
    </row>
    <row r="363" spans="1:10" ht="12.75" customHeight="1" x14ac:dyDescent="0.2">
      <c r="A363" s="17" t="s">
        <v>818</v>
      </c>
      <c r="B363" s="8">
        <v>17.82</v>
      </c>
      <c r="C363" s="18">
        <v>2</v>
      </c>
      <c r="D363" s="26">
        <f>B363*C363</f>
        <v>35.64</v>
      </c>
      <c r="E363" s="53" t="s">
        <v>820</v>
      </c>
      <c r="F363" s="19" t="s">
        <v>224</v>
      </c>
      <c r="G363" s="19">
        <v>925205457</v>
      </c>
      <c r="J363" s="13"/>
    </row>
    <row r="364" spans="1:10" ht="12.75" customHeight="1" x14ac:dyDescent="0.2">
      <c r="A364" s="17" t="s">
        <v>822</v>
      </c>
      <c r="B364" s="8">
        <v>23.22</v>
      </c>
      <c r="C364" s="18">
        <v>2</v>
      </c>
      <c r="D364" s="26">
        <f>B364*C364</f>
        <v>46.44</v>
      </c>
      <c r="E364" s="53" t="s">
        <v>823</v>
      </c>
      <c r="F364" s="19" t="s">
        <v>141</v>
      </c>
      <c r="G364" s="19" t="s">
        <v>821</v>
      </c>
      <c r="J364" s="13"/>
    </row>
    <row r="365" spans="1:10" ht="12.75" customHeight="1" x14ac:dyDescent="0.2">
      <c r="A365" s="17" t="s">
        <v>226</v>
      </c>
      <c r="B365" s="8">
        <v>0.25</v>
      </c>
      <c r="C365" s="18">
        <v>8</v>
      </c>
      <c r="D365" s="26">
        <f t="shared" ref="D365:D366" si="31">B365*C365</f>
        <v>2</v>
      </c>
      <c r="E365" s="53">
        <v>45397</v>
      </c>
      <c r="F365" s="19" t="s">
        <v>224</v>
      </c>
      <c r="G365" s="19">
        <v>33819</v>
      </c>
      <c r="J365" s="13"/>
    </row>
    <row r="366" spans="1:10" ht="12.75" customHeight="1" x14ac:dyDescent="0.2">
      <c r="A366" s="17" t="s">
        <v>819</v>
      </c>
      <c r="B366" s="8">
        <v>7.46</v>
      </c>
      <c r="C366" s="18">
        <v>1</v>
      </c>
      <c r="D366" s="26">
        <f t="shared" si="31"/>
        <v>7.46</v>
      </c>
      <c r="E366" s="53" t="s">
        <v>820</v>
      </c>
      <c r="F366" s="19" t="s">
        <v>224</v>
      </c>
      <c r="G366" s="19">
        <v>1133819</v>
      </c>
      <c r="J366" s="13"/>
    </row>
    <row r="367" spans="1:10" ht="12.75" customHeight="1" x14ac:dyDescent="0.2">
      <c r="A367" s="17"/>
      <c r="B367" s="8"/>
      <c r="C367" s="18"/>
      <c r="D367" s="26"/>
      <c r="E367" s="53"/>
      <c r="F367" s="19"/>
      <c r="G367" s="19"/>
      <c r="J367" s="13"/>
    </row>
    <row r="368" spans="1:10" ht="12.75" customHeight="1" x14ac:dyDescent="0.2">
      <c r="A368" s="17" t="s">
        <v>239</v>
      </c>
      <c r="B368" s="19">
        <v>23.07</v>
      </c>
      <c r="C368" s="18">
        <v>1</v>
      </c>
      <c r="D368" s="26">
        <f>B368*C368</f>
        <v>23.07</v>
      </c>
      <c r="E368" s="25">
        <v>45369</v>
      </c>
      <c r="F368" s="19" t="s">
        <v>141</v>
      </c>
      <c r="G368" s="19" t="s">
        <v>240</v>
      </c>
    </row>
    <row r="369" spans="1:10" ht="12.75" customHeight="1" x14ac:dyDescent="0.2">
      <c r="A369" s="17" t="s">
        <v>241</v>
      </c>
      <c r="B369" s="19">
        <v>287.16000000000003</v>
      </c>
      <c r="C369" s="18">
        <v>1</v>
      </c>
      <c r="D369" s="26">
        <f>B369*C369</f>
        <v>287.16000000000003</v>
      </c>
      <c r="E369" s="25">
        <v>45366</v>
      </c>
      <c r="F369" s="44" t="s">
        <v>308</v>
      </c>
      <c r="J369" s="19" t="s">
        <v>242</v>
      </c>
    </row>
    <row r="370" spans="1:10" ht="12.75" customHeight="1" x14ac:dyDescent="0.2">
      <c r="A370" s="17" t="s">
        <v>654</v>
      </c>
      <c r="B370" s="19">
        <v>2.74</v>
      </c>
      <c r="C370" s="18">
        <v>1</v>
      </c>
      <c r="D370" s="26">
        <f>B370*C370</f>
        <v>2.74</v>
      </c>
      <c r="E370" s="25">
        <v>45434</v>
      </c>
      <c r="F370" s="18" t="s">
        <v>122</v>
      </c>
      <c r="G370" s="34" t="s">
        <v>655</v>
      </c>
      <c r="J370" s="19"/>
    </row>
    <row r="371" spans="1:10" ht="12.75" customHeight="1" x14ac:dyDescent="0.2">
      <c r="A371" s="34" t="s">
        <v>404</v>
      </c>
      <c r="B371" s="23">
        <v>60.67</v>
      </c>
      <c r="C371" s="18">
        <v>2</v>
      </c>
      <c r="D371" s="26">
        <f t="shared" ref="D371:D375" si="32">B371*C371</f>
        <v>121.34</v>
      </c>
      <c r="E371" s="53">
        <v>45397</v>
      </c>
      <c r="F371" s="19" t="s">
        <v>219</v>
      </c>
      <c r="G371" s="19"/>
      <c r="J371" t="s">
        <v>694</v>
      </c>
    </row>
    <row r="372" spans="1:10" ht="12.75" customHeight="1" x14ac:dyDescent="0.2">
      <c r="A372" s="34" t="s">
        <v>695</v>
      </c>
      <c r="B372" s="23">
        <v>27.21</v>
      </c>
      <c r="C372" s="18">
        <v>2</v>
      </c>
      <c r="D372" s="26">
        <f t="shared" si="32"/>
        <v>54.42</v>
      </c>
      <c r="E372" s="25">
        <v>45617</v>
      </c>
      <c r="F372" s="19" t="s">
        <v>185</v>
      </c>
      <c r="G372" s="19"/>
      <c r="J372"/>
    </row>
    <row r="373" spans="1:10" ht="12.75" customHeight="1" x14ac:dyDescent="0.2">
      <c r="A373" s="34" t="s">
        <v>696</v>
      </c>
      <c r="B373" s="23">
        <v>43.23</v>
      </c>
      <c r="C373" s="18">
        <v>2</v>
      </c>
      <c r="D373" s="26">
        <f t="shared" si="32"/>
        <v>86.46</v>
      </c>
      <c r="E373" s="25">
        <v>45617</v>
      </c>
      <c r="F373" s="19" t="s">
        <v>185</v>
      </c>
      <c r="G373" s="19"/>
      <c r="J373"/>
    </row>
    <row r="374" spans="1:10" ht="12.75" customHeight="1" x14ac:dyDescent="0.2">
      <c r="A374" s="34" t="s">
        <v>698</v>
      </c>
      <c r="B374" s="34">
        <v>100.87</v>
      </c>
      <c r="C374" s="18">
        <v>2</v>
      </c>
      <c r="D374" s="26">
        <f t="shared" si="32"/>
        <v>201.74</v>
      </c>
      <c r="E374" s="53">
        <v>45617</v>
      </c>
      <c r="F374" s="19" t="s">
        <v>141</v>
      </c>
      <c r="G374" s="34" t="s">
        <v>699</v>
      </c>
      <c r="J374" s="34" t="s">
        <v>704</v>
      </c>
    </row>
    <row r="375" spans="1:10" ht="12.75" customHeight="1" x14ac:dyDescent="0.2">
      <c r="A375" s="34" t="s">
        <v>697</v>
      </c>
      <c r="B375" s="23">
        <v>32.99</v>
      </c>
      <c r="C375" s="18">
        <v>1</v>
      </c>
      <c r="D375" s="26">
        <f t="shared" si="32"/>
        <v>32.99</v>
      </c>
      <c r="E375" s="25">
        <v>45617</v>
      </c>
      <c r="F375" s="19" t="s">
        <v>185</v>
      </c>
      <c r="J375"/>
    </row>
    <row r="376" spans="1:10" ht="12.75" customHeight="1" x14ac:dyDescent="0.2">
      <c r="A376" s="17"/>
      <c r="B376" s="29"/>
      <c r="C376" s="18"/>
      <c r="D376" s="26"/>
    </row>
    <row r="377" spans="1:10" ht="12.75" x14ac:dyDescent="0.2">
      <c r="A377" s="20" t="s">
        <v>243</v>
      </c>
      <c r="B377" s="50">
        <f>SUM(D378:D393)</f>
        <v>2957.4400000000005</v>
      </c>
    </row>
    <row r="378" spans="1:10" ht="12.75" customHeight="1" x14ac:dyDescent="0.2">
      <c r="A378" s="17" t="s">
        <v>244</v>
      </c>
      <c r="B378" s="8">
        <v>304</v>
      </c>
      <c r="C378" s="18">
        <v>4</v>
      </c>
      <c r="D378" s="35">
        <f>C378*B378</f>
        <v>1216</v>
      </c>
      <c r="E378" s="25">
        <v>45222</v>
      </c>
      <c r="F378" s="19" t="s">
        <v>147</v>
      </c>
      <c r="H378" s="19" t="s">
        <v>151</v>
      </c>
      <c r="I378" s="19" t="s">
        <v>245</v>
      </c>
      <c r="J378" s="13"/>
    </row>
    <row r="379" spans="1:10" ht="12.75" customHeight="1" x14ac:dyDescent="0.2">
      <c r="A379" s="17" t="s">
        <v>376</v>
      </c>
      <c r="B379" s="8">
        <v>2.78</v>
      </c>
      <c r="C379" s="18">
        <v>4</v>
      </c>
      <c r="D379" s="26">
        <f>B379*C379</f>
        <v>11.12</v>
      </c>
      <c r="E379" s="25">
        <v>45397</v>
      </c>
      <c r="F379" s="44" t="s">
        <v>125</v>
      </c>
      <c r="G379" s="34" t="s">
        <v>377</v>
      </c>
      <c r="H379" s="18"/>
      <c r="J379" s="19" t="s">
        <v>672</v>
      </c>
    </row>
    <row r="380" spans="1:10" ht="12.75" customHeight="1" x14ac:dyDescent="0.2">
      <c r="A380" s="34" t="s">
        <v>325</v>
      </c>
      <c r="B380" s="23">
        <v>134.81</v>
      </c>
      <c r="C380" s="18">
        <v>2</v>
      </c>
      <c r="D380" s="26">
        <f t="shared" ref="D380:D390" si="33">B380*C380</f>
        <v>269.62</v>
      </c>
      <c r="E380" s="53">
        <v>45397</v>
      </c>
      <c r="F380" s="18" t="s">
        <v>125</v>
      </c>
      <c r="J380" s="19"/>
    </row>
    <row r="381" spans="1:10" ht="12.75" customHeight="1" x14ac:dyDescent="0.2">
      <c r="A381" s="34" t="s">
        <v>313</v>
      </c>
      <c r="B381" s="23">
        <v>33.85</v>
      </c>
      <c r="C381" s="18">
        <v>2</v>
      </c>
      <c r="D381" s="26">
        <f t="shared" si="33"/>
        <v>67.7</v>
      </c>
      <c r="E381" s="53">
        <v>45397</v>
      </c>
      <c r="F381" s="19" t="s">
        <v>219</v>
      </c>
      <c r="J381" s="19"/>
    </row>
    <row r="382" spans="1:10" ht="12.75" customHeight="1" x14ac:dyDescent="0.2">
      <c r="A382" s="34" t="s">
        <v>312</v>
      </c>
      <c r="B382" s="23">
        <v>106.02</v>
      </c>
      <c r="C382" s="18">
        <v>4</v>
      </c>
      <c r="D382" s="26">
        <f>B382*C382</f>
        <v>424.08</v>
      </c>
      <c r="E382" s="53">
        <v>45397</v>
      </c>
      <c r="F382" s="19" t="s">
        <v>219</v>
      </c>
      <c r="J382" s="19"/>
    </row>
    <row r="383" spans="1:10" ht="12.75" customHeight="1" x14ac:dyDescent="0.2">
      <c r="A383" s="17" t="s">
        <v>320</v>
      </c>
      <c r="B383" s="23">
        <v>93.84</v>
      </c>
      <c r="C383" s="18">
        <v>1</v>
      </c>
      <c r="D383" s="26">
        <f t="shared" si="33"/>
        <v>93.84</v>
      </c>
      <c r="E383" s="53">
        <v>45397</v>
      </c>
      <c r="F383" s="19" t="s">
        <v>125</v>
      </c>
      <c r="J383" s="19"/>
    </row>
    <row r="384" spans="1:10" ht="12.75" customHeight="1" x14ac:dyDescent="0.2">
      <c r="A384" s="34" t="s">
        <v>318</v>
      </c>
      <c r="B384" s="23">
        <v>9.15</v>
      </c>
      <c r="C384" s="18">
        <v>2</v>
      </c>
      <c r="D384" s="26">
        <f t="shared" si="33"/>
        <v>18.3</v>
      </c>
      <c r="E384" s="53">
        <v>45397</v>
      </c>
      <c r="F384" s="19" t="s">
        <v>219</v>
      </c>
      <c r="J384" s="19" t="s">
        <v>319</v>
      </c>
    </row>
    <row r="385" spans="1:10" ht="12.75" customHeight="1" x14ac:dyDescent="0.2">
      <c r="A385" s="34" t="s">
        <v>318</v>
      </c>
      <c r="B385" s="23">
        <v>23.05</v>
      </c>
      <c r="C385" s="18">
        <v>1</v>
      </c>
      <c r="D385" s="26">
        <f t="shared" ref="D385" si="34">B385*C385</f>
        <v>23.05</v>
      </c>
      <c r="E385" s="43" t="s">
        <v>806</v>
      </c>
      <c r="F385" s="19" t="s">
        <v>141</v>
      </c>
      <c r="G385" s="34" t="s">
        <v>809</v>
      </c>
      <c r="J385" s="19" t="s">
        <v>808</v>
      </c>
    </row>
    <row r="386" spans="1:10" ht="12.75" customHeight="1" x14ac:dyDescent="0.2">
      <c r="A386" s="34" t="s">
        <v>700</v>
      </c>
      <c r="B386" s="23">
        <v>186.38</v>
      </c>
      <c r="C386" s="18">
        <v>2</v>
      </c>
      <c r="D386" s="26">
        <f t="shared" si="33"/>
        <v>372.76</v>
      </c>
      <c r="E386" s="53">
        <v>45617</v>
      </c>
      <c r="F386" s="19" t="s">
        <v>141</v>
      </c>
      <c r="G386" s="34" t="s">
        <v>703</v>
      </c>
      <c r="J386" s="34" t="s">
        <v>704</v>
      </c>
    </row>
    <row r="387" spans="1:10" ht="12.75" customHeight="1" x14ac:dyDescent="0.2">
      <c r="A387" s="34" t="s">
        <v>701</v>
      </c>
      <c r="B387" s="34">
        <v>79.05</v>
      </c>
      <c r="C387" s="18">
        <v>2</v>
      </c>
      <c r="D387" s="26">
        <f t="shared" si="33"/>
        <v>158.1</v>
      </c>
      <c r="E387" s="53">
        <v>45617</v>
      </c>
      <c r="F387" s="19" t="s">
        <v>141</v>
      </c>
      <c r="G387" s="34" t="s">
        <v>702</v>
      </c>
      <c r="J387" s="34" t="s">
        <v>704</v>
      </c>
    </row>
    <row r="388" spans="1:10" ht="12.75" customHeight="1" x14ac:dyDescent="0.2">
      <c r="A388" s="17" t="s">
        <v>321</v>
      </c>
      <c r="B388" s="23">
        <v>6.02</v>
      </c>
      <c r="C388" s="18">
        <v>1</v>
      </c>
      <c r="D388" s="26">
        <f t="shared" si="33"/>
        <v>6.02</v>
      </c>
      <c r="E388" s="25">
        <v>45394</v>
      </c>
      <c r="F388" s="18" t="s">
        <v>29</v>
      </c>
      <c r="J388" s="19"/>
    </row>
    <row r="389" spans="1:10" ht="12.75" customHeight="1" x14ac:dyDescent="0.2">
      <c r="A389" s="17" t="s">
        <v>324</v>
      </c>
      <c r="B389" s="23">
        <v>2.37</v>
      </c>
      <c r="C389" s="18">
        <v>1</v>
      </c>
      <c r="D389" s="26">
        <f t="shared" si="33"/>
        <v>2.37</v>
      </c>
      <c r="E389" s="25">
        <v>45394</v>
      </c>
      <c r="F389" s="18" t="s">
        <v>122</v>
      </c>
      <c r="J389" s="19"/>
    </row>
    <row r="390" spans="1:10" ht="12.75" customHeight="1" x14ac:dyDescent="0.2">
      <c r="A390" s="17" t="s">
        <v>361</v>
      </c>
      <c r="B390" s="23">
        <v>9.26</v>
      </c>
      <c r="C390" s="18">
        <v>1</v>
      </c>
      <c r="D390" s="26">
        <f t="shared" si="33"/>
        <v>9.26</v>
      </c>
      <c r="E390" s="25">
        <v>45394</v>
      </c>
      <c r="F390" s="18" t="s">
        <v>29</v>
      </c>
      <c r="J390" s="19"/>
    </row>
    <row r="391" spans="1:10" ht="12.75" customHeight="1" x14ac:dyDescent="0.2">
      <c r="A391" s="17" t="s">
        <v>322</v>
      </c>
      <c r="B391" s="23">
        <v>1.64</v>
      </c>
      <c r="C391" s="18">
        <v>3</v>
      </c>
      <c r="D391" s="26">
        <f>B391*C391</f>
        <v>4.92</v>
      </c>
      <c r="E391" s="25">
        <v>45394</v>
      </c>
      <c r="F391" s="18" t="s">
        <v>122</v>
      </c>
      <c r="J391" s="19"/>
    </row>
    <row r="392" spans="1:10" ht="12.75" customHeight="1" x14ac:dyDescent="0.2">
      <c r="A392" s="17" t="s">
        <v>747</v>
      </c>
      <c r="B392" s="8">
        <v>280.3</v>
      </c>
      <c r="C392" s="18">
        <v>1</v>
      </c>
      <c r="D392" s="26">
        <f>B392*C392</f>
        <v>280.3</v>
      </c>
      <c r="E392" s="53">
        <v>45693</v>
      </c>
      <c r="F392" s="18" t="s">
        <v>33</v>
      </c>
      <c r="H392" s="18"/>
      <c r="J392" s="19" t="s">
        <v>797</v>
      </c>
    </row>
    <row r="393" spans="1:10" ht="12.75" customHeight="1" x14ac:dyDescent="0.2">
      <c r="A393" s="17"/>
      <c r="B393" s="8"/>
      <c r="C393" s="18"/>
      <c r="D393" s="35"/>
      <c r="J393" s="13"/>
    </row>
    <row r="394" spans="1:10" ht="12.75" customHeight="1" x14ac:dyDescent="0.2">
      <c r="A394" s="20" t="s">
        <v>246</v>
      </c>
      <c r="B394" s="50">
        <f>SUM(D395:D408)</f>
        <v>3930.33</v>
      </c>
      <c r="C394" s="18"/>
      <c r="J394" s="13"/>
    </row>
    <row r="395" spans="1:10" ht="12.75" customHeight="1" x14ac:dyDescent="0.2">
      <c r="A395" s="17" t="s">
        <v>247</v>
      </c>
      <c r="B395" s="8">
        <v>1281</v>
      </c>
      <c r="C395" s="18">
        <v>2</v>
      </c>
      <c r="D395" s="35">
        <f>C395*B395</f>
        <v>2562</v>
      </c>
      <c r="E395" s="25">
        <v>45222</v>
      </c>
      <c r="F395" s="19" t="s">
        <v>147</v>
      </c>
      <c r="H395" s="19" t="s">
        <v>248</v>
      </c>
      <c r="I395" s="19" t="s">
        <v>249</v>
      </c>
      <c r="J395" s="18" t="s">
        <v>250</v>
      </c>
    </row>
    <row r="396" spans="1:10" ht="12.75" customHeight="1" x14ac:dyDescent="0.2">
      <c r="A396" s="17" t="s">
        <v>251</v>
      </c>
      <c r="B396" s="8">
        <v>289</v>
      </c>
      <c r="C396" s="18">
        <v>2</v>
      </c>
      <c r="D396" s="35">
        <f>C396*B396</f>
        <v>578</v>
      </c>
      <c r="E396" s="25">
        <v>45222</v>
      </c>
      <c r="F396" s="19" t="s">
        <v>147</v>
      </c>
      <c r="H396" s="19" t="s">
        <v>151</v>
      </c>
      <c r="I396" s="19" t="s">
        <v>252</v>
      </c>
      <c r="J396" s="13"/>
    </row>
    <row r="397" spans="1:10" ht="12.75" customHeight="1" x14ac:dyDescent="0.2">
      <c r="A397" s="34" t="s">
        <v>311</v>
      </c>
      <c r="B397" s="23">
        <v>69.650000000000006</v>
      </c>
      <c r="C397" s="18">
        <v>2</v>
      </c>
      <c r="D397" s="26">
        <f t="shared" ref="D397:D404" si="35">B397*C397</f>
        <v>139.30000000000001</v>
      </c>
      <c r="E397" s="53">
        <v>45397</v>
      </c>
      <c r="F397" s="18" t="s">
        <v>219</v>
      </c>
      <c r="J397" s="19"/>
    </row>
    <row r="398" spans="1:10" ht="12.75" customHeight="1" x14ac:dyDescent="0.2">
      <c r="A398" s="34" t="s">
        <v>311</v>
      </c>
      <c r="B398" s="23">
        <v>77.22</v>
      </c>
      <c r="C398" s="18">
        <v>1</v>
      </c>
      <c r="D398" s="26">
        <f t="shared" ref="D398" si="36">B398*C398</f>
        <v>77.22</v>
      </c>
      <c r="E398" s="43" t="s">
        <v>806</v>
      </c>
      <c r="F398" s="19" t="s">
        <v>125</v>
      </c>
      <c r="G398" s="34" t="s">
        <v>810</v>
      </c>
      <c r="J398" s="19" t="s">
        <v>808</v>
      </c>
    </row>
    <row r="399" spans="1:10" ht="12.75" customHeight="1" x14ac:dyDescent="0.2">
      <c r="A399" s="17" t="s">
        <v>314</v>
      </c>
      <c r="B399" s="23">
        <v>11.8</v>
      </c>
      <c r="C399" s="18">
        <v>4</v>
      </c>
      <c r="D399" s="26">
        <f t="shared" si="35"/>
        <v>47.2</v>
      </c>
      <c r="E399" s="53">
        <v>45397</v>
      </c>
      <c r="F399" s="19" t="s">
        <v>219</v>
      </c>
      <c r="J399" s="19"/>
    </row>
    <row r="400" spans="1:10" ht="12.75" customHeight="1" x14ac:dyDescent="0.2">
      <c r="A400" s="17" t="s">
        <v>315</v>
      </c>
      <c r="B400" s="23">
        <v>28.45</v>
      </c>
      <c r="C400" s="18">
        <v>2</v>
      </c>
      <c r="D400" s="26">
        <f t="shared" si="35"/>
        <v>56.9</v>
      </c>
      <c r="E400" s="53">
        <v>45397</v>
      </c>
      <c r="F400" s="19" t="s">
        <v>219</v>
      </c>
      <c r="J400" s="19"/>
    </row>
    <row r="401" spans="1:10" ht="12.75" customHeight="1" x14ac:dyDescent="0.2">
      <c r="A401" s="17" t="s">
        <v>315</v>
      </c>
      <c r="B401" s="23">
        <v>64.760000000000005</v>
      </c>
      <c r="C401" s="18">
        <v>1</v>
      </c>
      <c r="D401" s="26">
        <f t="shared" ref="D401" si="37">B401*C401</f>
        <v>64.760000000000005</v>
      </c>
      <c r="E401" s="43" t="s">
        <v>806</v>
      </c>
      <c r="F401" s="19" t="s">
        <v>125</v>
      </c>
      <c r="G401" s="34" t="s">
        <v>811</v>
      </c>
      <c r="J401" s="19" t="s">
        <v>808</v>
      </c>
    </row>
    <row r="402" spans="1:10" ht="12.75" customHeight="1" x14ac:dyDescent="0.2">
      <c r="A402" s="34" t="s">
        <v>317</v>
      </c>
      <c r="B402" s="23">
        <v>23.03</v>
      </c>
      <c r="C402" s="18">
        <v>2</v>
      </c>
      <c r="D402" s="26">
        <f>B402*C402</f>
        <v>46.06</v>
      </c>
      <c r="E402" s="53">
        <v>45397</v>
      </c>
      <c r="F402" s="19" t="s">
        <v>219</v>
      </c>
      <c r="J402" s="19"/>
    </row>
    <row r="403" spans="1:10" ht="12.75" customHeight="1" x14ac:dyDescent="0.2">
      <c r="A403" s="17" t="s">
        <v>316</v>
      </c>
      <c r="B403" s="23">
        <v>13.5</v>
      </c>
      <c r="C403" s="18">
        <v>2</v>
      </c>
      <c r="D403" s="26">
        <f t="shared" si="35"/>
        <v>27</v>
      </c>
      <c r="E403" s="53">
        <v>45397</v>
      </c>
      <c r="F403" s="19" t="s">
        <v>219</v>
      </c>
      <c r="J403" s="19"/>
    </row>
    <row r="404" spans="1:10" ht="12.75" customHeight="1" x14ac:dyDescent="0.2">
      <c r="A404" s="34" t="s">
        <v>323</v>
      </c>
      <c r="B404" s="23">
        <v>23.7</v>
      </c>
      <c r="C404" s="18">
        <v>2</v>
      </c>
      <c r="D404" s="26">
        <f t="shared" si="35"/>
        <v>47.4</v>
      </c>
      <c r="E404" s="53">
        <v>45397</v>
      </c>
      <c r="F404" s="19" t="s">
        <v>219</v>
      </c>
      <c r="J404" s="19"/>
    </row>
    <row r="405" spans="1:10" ht="12.75" customHeight="1" x14ac:dyDescent="0.2">
      <c r="A405" s="17" t="s">
        <v>766</v>
      </c>
      <c r="B405" s="23">
        <v>141.72</v>
      </c>
      <c r="C405" s="18">
        <v>1</v>
      </c>
      <c r="D405" s="26">
        <f>B405*C405</f>
        <v>141.72</v>
      </c>
      <c r="E405" s="53">
        <v>45693</v>
      </c>
      <c r="F405" s="18" t="s">
        <v>33</v>
      </c>
      <c r="J405" s="19" t="s">
        <v>767</v>
      </c>
    </row>
    <row r="406" spans="1:10" ht="12.75" customHeight="1" x14ac:dyDescent="0.2">
      <c r="A406" s="17" t="s">
        <v>768</v>
      </c>
      <c r="B406" s="23">
        <v>142.77000000000001</v>
      </c>
      <c r="C406" s="18">
        <v>1</v>
      </c>
      <c r="D406" s="26">
        <f>B406*C406</f>
        <v>142.77000000000001</v>
      </c>
      <c r="E406" s="53">
        <v>45693</v>
      </c>
      <c r="F406" s="18" t="s">
        <v>33</v>
      </c>
      <c r="J406" s="19" t="s">
        <v>769</v>
      </c>
    </row>
    <row r="407" spans="1:10" ht="12.75" customHeight="1" x14ac:dyDescent="0.2">
      <c r="B407" s="23"/>
      <c r="C407" s="18"/>
      <c r="D407" s="26"/>
      <c r="F407" s="18"/>
      <c r="J407" s="19"/>
    </row>
    <row r="408" spans="1:10" ht="12.75" customHeight="1" x14ac:dyDescent="0.2">
      <c r="A408" s="17"/>
      <c r="B408" s="23"/>
      <c r="C408" s="13"/>
      <c r="D408" s="26"/>
      <c r="J408" s="13"/>
    </row>
    <row r="409" spans="1:10" ht="12.75" customHeight="1" x14ac:dyDescent="0.2">
      <c r="A409" s="20" t="s">
        <v>253</v>
      </c>
      <c r="B409" s="50">
        <f>SUM(D410:D415)</f>
        <v>1077.1399999999999</v>
      </c>
      <c r="C409" s="13"/>
      <c r="J409" s="13"/>
    </row>
    <row r="410" spans="1:10" ht="12.75" customHeight="1" x14ac:dyDescent="0.2">
      <c r="A410" s="17" t="s">
        <v>254</v>
      </c>
      <c r="B410" s="8">
        <v>31.56</v>
      </c>
      <c r="C410" s="18">
        <v>1</v>
      </c>
      <c r="D410" s="26">
        <f>B410*C410</f>
        <v>31.56</v>
      </c>
      <c r="E410" s="25">
        <v>45369</v>
      </c>
      <c r="F410" s="44" t="s">
        <v>122</v>
      </c>
      <c r="G410" s="13"/>
      <c r="H410" s="13"/>
      <c r="I410" s="13"/>
      <c r="J410" s="13" t="s">
        <v>255</v>
      </c>
    </row>
    <row r="411" spans="1:10" ht="12.75" customHeight="1" x14ac:dyDescent="0.2">
      <c r="A411" s="17" t="s">
        <v>256</v>
      </c>
      <c r="B411" s="23">
        <v>469.32</v>
      </c>
      <c r="C411" s="13">
        <v>2</v>
      </c>
      <c r="D411" s="26">
        <f>B411*C411</f>
        <v>938.64</v>
      </c>
      <c r="E411" s="53">
        <v>45397</v>
      </c>
      <c r="F411" s="34" t="s">
        <v>550</v>
      </c>
      <c r="H411" s="19" t="s">
        <v>257</v>
      </c>
      <c r="J411" s="13"/>
    </row>
    <row r="412" spans="1:10" ht="12.75" customHeight="1" x14ac:dyDescent="0.2">
      <c r="A412" s="17" t="s">
        <v>258</v>
      </c>
      <c r="B412" s="23">
        <v>0.92</v>
      </c>
      <c r="C412" s="19">
        <v>4</v>
      </c>
      <c r="D412" s="26">
        <f>B412*C412</f>
        <v>3.68</v>
      </c>
      <c r="E412" s="53">
        <v>45397</v>
      </c>
      <c r="F412" s="19" t="s">
        <v>224</v>
      </c>
      <c r="G412" s="34">
        <v>23314</v>
      </c>
      <c r="J412" s="13"/>
    </row>
    <row r="413" spans="1:10" ht="12.75" customHeight="1" x14ac:dyDescent="0.2">
      <c r="A413" s="34" t="s">
        <v>554</v>
      </c>
      <c r="B413" s="23">
        <v>4.92</v>
      </c>
      <c r="C413" s="13">
        <v>4</v>
      </c>
      <c r="D413" s="26">
        <f>B413*C413</f>
        <v>19.68</v>
      </c>
      <c r="E413" s="53">
        <v>45397</v>
      </c>
      <c r="F413" s="19" t="s">
        <v>125</v>
      </c>
      <c r="G413" s="34" t="s">
        <v>555</v>
      </c>
      <c r="J413" s="13"/>
    </row>
    <row r="414" spans="1:10" ht="12.75" customHeight="1" x14ac:dyDescent="0.2">
      <c r="A414" s="19" t="s">
        <v>336</v>
      </c>
      <c r="B414" s="23">
        <v>41.79</v>
      </c>
      <c r="C414" s="19">
        <v>2</v>
      </c>
      <c r="D414" s="26">
        <f>B414*C414</f>
        <v>83.58</v>
      </c>
      <c r="E414" s="25">
        <v>45397</v>
      </c>
      <c r="F414" s="19" t="s">
        <v>125</v>
      </c>
      <c r="G414" s="34" t="s">
        <v>337</v>
      </c>
      <c r="J414" s="13"/>
    </row>
    <row r="415" spans="1:10" ht="12.75" customHeight="1" x14ac:dyDescent="0.2">
      <c r="A415" s="17"/>
      <c r="B415" s="8"/>
      <c r="C415" s="18"/>
      <c r="D415" s="26"/>
      <c r="E415" s="13"/>
      <c r="F415" s="13"/>
      <c r="G415" s="13"/>
      <c r="H415" s="13"/>
      <c r="I415" s="13"/>
      <c r="J415" s="13"/>
    </row>
    <row r="416" spans="1:10" ht="12.75" customHeight="1" x14ac:dyDescent="0.2">
      <c r="A416" s="20" t="s">
        <v>260</v>
      </c>
      <c r="B416" s="50">
        <f>SUM(D417:D426)</f>
        <v>3707</v>
      </c>
      <c r="C416" s="18"/>
      <c r="E416" s="13"/>
      <c r="F416" s="13"/>
      <c r="G416" s="13"/>
      <c r="H416" s="13"/>
      <c r="I416" s="13"/>
      <c r="J416" s="13"/>
    </row>
    <row r="417" spans="1:10" ht="12.75" customHeight="1" x14ac:dyDescent="0.2">
      <c r="A417" s="37" t="s">
        <v>261</v>
      </c>
      <c r="B417" s="8">
        <v>172.5</v>
      </c>
      <c r="C417" s="13">
        <v>2</v>
      </c>
      <c r="D417" s="35">
        <f t="shared" ref="D417:D422" si="38">C417*B417</f>
        <v>345</v>
      </c>
      <c r="E417" s="43">
        <v>45142</v>
      </c>
      <c r="F417" s="13" t="s">
        <v>262</v>
      </c>
      <c r="G417" s="13" t="s">
        <v>263</v>
      </c>
      <c r="H417" s="13" t="s">
        <v>262</v>
      </c>
      <c r="I417" s="13" t="s">
        <v>263</v>
      </c>
      <c r="J417" s="13" t="s">
        <v>15</v>
      </c>
    </row>
    <row r="418" spans="1:10" ht="12.75" customHeight="1" x14ac:dyDescent="0.2">
      <c r="A418" s="37" t="s">
        <v>264</v>
      </c>
      <c r="B418" s="8">
        <v>64.5</v>
      </c>
      <c r="C418" s="13">
        <v>7</v>
      </c>
      <c r="D418" s="35">
        <f t="shared" si="38"/>
        <v>451.5</v>
      </c>
      <c r="E418" s="43">
        <v>45142</v>
      </c>
      <c r="F418" s="44" t="s">
        <v>141</v>
      </c>
      <c r="G418" s="13" t="s">
        <v>265</v>
      </c>
      <c r="H418" s="25"/>
      <c r="I418" s="44"/>
      <c r="J418" s="13" t="s">
        <v>15</v>
      </c>
    </row>
    <row r="419" spans="1:10" ht="12.75" customHeight="1" x14ac:dyDescent="0.2">
      <c r="A419" s="37" t="s">
        <v>266</v>
      </c>
      <c r="B419" s="8">
        <v>359</v>
      </c>
      <c r="C419" s="13">
        <v>1</v>
      </c>
      <c r="D419" s="35">
        <f t="shared" si="38"/>
        <v>359</v>
      </c>
      <c r="E419" s="43">
        <v>45142</v>
      </c>
      <c r="F419" s="44" t="s">
        <v>267</v>
      </c>
      <c r="G419" s="13" t="s">
        <v>268</v>
      </c>
      <c r="H419" s="13" t="s">
        <v>269</v>
      </c>
      <c r="I419" s="44" t="s">
        <v>270</v>
      </c>
      <c r="J419" s="13" t="s">
        <v>15</v>
      </c>
    </row>
    <row r="420" spans="1:10" ht="12.75" customHeight="1" x14ac:dyDescent="0.2">
      <c r="A420" s="37" t="s">
        <v>271</v>
      </c>
      <c r="B420" s="8">
        <v>359</v>
      </c>
      <c r="C420" s="13">
        <v>1</v>
      </c>
      <c r="D420" s="35">
        <f t="shared" si="38"/>
        <v>359</v>
      </c>
      <c r="E420" s="43">
        <v>45142</v>
      </c>
      <c r="F420" s="44" t="s">
        <v>267</v>
      </c>
      <c r="G420" s="13" t="s">
        <v>268</v>
      </c>
      <c r="H420" s="13" t="s">
        <v>269</v>
      </c>
      <c r="I420" s="44" t="s">
        <v>270</v>
      </c>
      <c r="J420" s="13" t="s">
        <v>15</v>
      </c>
    </row>
    <row r="421" spans="1:10" ht="12.75" customHeight="1" x14ac:dyDescent="0.2">
      <c r="A421" s="37" t="s">
        <v>272</v>
      </c>
      <c r="B421" s="8">
        <v>565</v>
      </c>
      <c r="C421" s="13">
        <v>1</v>
      </c>
      <c r="D421" s="35">
        <f t="shared" si="38"/>
        <v>565</v>
      </c>
      <c r="E421" s="43">
        <v>45142</v>
      </c>
      <c r="F421" s="44" t="s">
        <v>273</v>
      </c>
      <c r="G421" s="13" t="s">
        <v>274</v>
      </c>
      <c r="H421" s="44" t="s">
        <v>273</v>
      </c>
      <c r="I421" s="13" t="s">
        <v>274</v>
      </c>
      <c r="J421" s="13" t="s">
        <v>15</v>
      </c>
    </row>
    <row r="422" spans="1:10" ht="12.75" customHeight="1" x14ac:dyDescent="0.2">
      <c r="A422" s="37" t="s">
        <v>275</v>
      </c>
      <c r="B422" s="8">
        <v>1627.5</v>
      </c>
      <c r="C422" s="13">
        <v>1</v>
      </c>
      <c r="D422" s="35">
        <f t="shared" si="38"/>
        <v>1627.5</v>
      </c>
      <c r="E422" s="43">
        <v>45142</v>
      </c>
      <c r="F422" s="44" t="s">
        <v>276</v>
      </c>
      <c r="G422" s="13" t="s">
        <v>277</v>
      </c>
      <c r="H422" s="44" t="s">
        <v>276</v>
      </c>
      <c r="I422" s="13" t="s">
        <v>277</v>
      </c>
      <c r="J422" s="13" t="s">
        <v>15</v>
      </c>
    </row>
    <row r="423" spans="1:10" ht="12.75" customHeight="1" x14ac:dyDescent="0.2">
      <c r="A423" s="37"/>
      <c r="B423" s="8"/>
      <c r="C423" s="13"/>
      <c r="D423" s="35"/>
      <c r="E423" s="43"/>
      <c r="F423" s="44"/>
      <c r="G423" s="13"/>
      <c r="H423" s="44"/>
      <c r="I423" s="13"/>
      <c r="J423" s="13"/>
    </row>
    <row r="424" spans="1:10" ht="12.75" customHeight="1" x14ac:dyDescent="0.2">
      <c r="A424" s="54" t="s">
        <v>278</v>
      </c>
      <c r="B424" s="8"/>
      <c r="C424" s="13"/>
      <c r="D424" s="35"/>
      <c r="E424" s="43"/>
      <c r="F424" s="44"/>
      <c r="G424" s="13"/>
      <c r="H424" s="44"/>
      <c r="I424" s="13"/>
      <c r="J424" s="13"/>
    </row>
    <row r="425" spans="1:10" ht="12.75" customHeight="1" x14ac:dyDescent="0.2">
      <c r="A425" s="17" t="s">
        <v>279</v>
      </c>
      <c r="B425" s="8">
        <v>0</v>
      </c>
      <c r="C425" s="18">
        <v>2</v>
      </c>
      <c r="D425" s="35">
        <f t="shared" ref="D425" si="39">C425*B425</f>
        <v>0</v>
      </c>
      <c r="E425" s="43">
        <v>45142</v>
      </c>
      <c r="F425" s="13" t="s">
        <v>638</v>
      </c>
      <c r="G425" s="13"/>
      <c r="H425" s="13"/>
      <c r="I425" s="13"/>
      <c r="J425" s="13" t="s">
        <v>15</v>
      </c>
    </row>
    <row r="426" spans="1:10" ht="12.75" customHeight="1" x14ac:dyDescent="0.2">
      <c r="A426" s="17"/>
      <c r="B426" s="8"/>
      <c r="C426" s="18"/>
      <c r="D426" s="26"/>
      <c r="E426" s="13"/>
      <c r="F426" s="13"/>
      <c r="G426" s="13"/>
      <c r="H426" s="13"/>
      <c r="I426" s="13"/>
      <c r="J426" s="13"/>
    </row>
    <row r="427" spans="1:10" ht="12.75" customHeight="1" x14ac:dyDescent="0.2">
      <c r="A427" s="17"/>
      <c r="B427" s="8"/>
      <c r="C427" s="18"/>
      <c r="D427" s="26"/>
      <c r="E427" s="13"/>
      <c r="F427" s="13"/>
      <c r="G427" s="13"/>
      <c r="H427" s="13"/>
      <c r="I427" s="13"/>
      <c r="J427" s="13"/>
    </row>
    <row r="428" spans="1:10" ht="12.75" customHeight="1" x14ac:dyDescent="0.2">
      <c r="A428" s="20" t="s">
        <v>705</v>
      </c>
      <c r="B428" s="50">
        <f>SUM(D429:D433)</f>
        <v>92.47999999999999</v>
      </c>
      <c r="C428" s="18"/>
      <c r="E428" s="13"/>
      <c r="F428" s="13"/>
      <c r="G428" s="13"/>
      <c r="H428" s="13"/>
      <c r="I428" s="13"/>
      <c r="J428" s="13"/>
    </row>
    <row r="429" spans="1:10" ht="12.75" customHeight="1" x14ac:dyDescent="0.2">
      <c r="A429" s="37" t="s">
        <v>675</v>
      </c>
      <c r="B429" s="8">
        <v>2.5499999999999998</v>
      </c>
      <c r="C429" s="13">
        <v>5</v>
      </c>
      <c r="D429" s="35">
        <f>C429*B429</f>
        <v>12.75</v>
      </c>
      <c r="E429" s="43">
        <v>45567</v>
      </c>
      <c r="F429" s="44" t="s">
        <v>677</v>
      </c>
      <c r="G429" s="34" t="s">
        <v>676</v>
      </c>
      <c r="H429" s="44"/>
      <c r="I429" s="13"/>
      <c r="J429" s="13"/>
    </row>
    <row r="430" spans="1:10" ht="12.75" customHeight="1" x14ac:dyDescent="0.2">
      <c r="A430" s="37" t="s">
        <v>679</v>
      </c>
      <c r="B430" s="8">
        <v>5.77</v>
      </c>
      <c r="C430" s="13">
        <v>5</v>
      </c>
      <c r="D430" s="35">
        <f>C430*B430</f>
        <v>28.849999999999998</v>
      </c>
      <c r="E430" s="43">
        <v>45568</v>
      </c>
      <c r="F430" s="44" t="s">
        <v>677</v>
      </c>
      <c r="G430" s="34" t="s">
        <v>678</v>
      </c>
      <c r="H430" s="44"/>
      <c r="I430" s="13"/>
      <c r="J430" s="13"/>
    </row>
    <row r="431" spans="1:10" ht="12.75" customHeight="1" x14ac:dyDescent="0.2">
      <c r="A431" s="37" t="s">
        <v>805</v>
      </c>
      <c r="B431" s="8">
        <v>6.36</v>
      </c>
      <c r="C431" s="13">
        <v>8</v>
      </c>
      <c r="D431" s="35">
        <f>C431*B431</f>
        <v>50.88</v>
      </c>
      <c r="E431" s="43" t="s">
        <v>806</v>
      </c>
      <c r="F431" s="44" t="s">
        <v>677</v>
      </c>
      <c r="G431" s="34" t="s">
        <v>807</v>
      </c>
      <c r="H431" s="44"/>
      <c r="I431" s="13"/>
      <c r="J431" s="13"/>
    </row>
    <row r="432" spans="1:10" ht="12.75" customHeight="1" x14ac:dyDescent="0.2">
      <c r="A432" s="37"/>
      <c r="B432" s="8"/>
      <c r="C432" s="13"/>
      <c r="D432" s="35"/>
      <c r="E432" s="43"/>
      <c r="F432" s="44"/>
      <c r="H432" s="44"/>
      <c r="I432" s="13"/>
      <c r="J432" s="13"/>
    </row>
    <row r="433" spans="1:10" ht="12.75" customHeight="1" x14ac:dyDescent="0.2">
      <c r="A433" s="17"/>
      <c r="B433" s="8"/>
      <c r="C433" s="18"/>
      <c r="D433" s="26"/>
      <c r="E433" s="13"/>
      <c r="F433" s="13"/>
      <c r="G433" s="13"/>
      <c r="H433" s="13"/>
      <c r="I433" s="13"/>
      <c r="J433" s="13"/>
    </row>
    <row r="434" spans="1:10" ht="12.6" customHeight="1" x14ac:dyDescent="0.2">
      <c r="A434" s="20" t="s">
        <v>656</v>
      </c>
      <c r="B434" s="50">
        <f>SUM(D435:D452)</f>
        <v>309</v>
      </c>
      <c r="C434" s="18"/>
      <c r="E434" s="13"/>
      <c r="F434" s="13"/>
      <c r="G434" s="13"/>
      <c r="H434" s="13"/>
      <c r="I434" s="13"/>
      <c r="J434" s="13"/>
    </row>
    <row r="435" spans="1:10" ht="12.75" customHeight="1" x14ac:dyDescent="0.2">
      <c r="A435" s="17" t="s">
        <v>657</v>
      </c>
      <c r="B435" s="8">
        <v>13.19</v>
      </c>
      <c r="C435" s="18">
        <v>1</v>
      </c>
      <c r="D435" s="26">
        <f t="shared" ref="D435:D449" si="40">B435*C435</f>
        <v>13.19</v>
      </c>
      <c r="E435" s="25">
        <v>45455</v>
      </c>
      <c r="F435" s="19" t="s">
        <v>29</v>
      </c>
    </row>
    <row r="436" spans="1:10" ht="12.75" customHeight="1" x14ac:dyDescent="0.2">
      <c r="A436" s="8" t="s">
        <v>658</v>
      </c>
      <c r="B436" s="8">
        <v>34.26</v>
      </c>
      <c r="C436" s="18">
        <v>1</v>
      </c>
      <c r="D436" s="26">
        <f t="shared" si="40"/>
        <v>34.26</v>
      </c>
      <c r="E436" s="25">
        <v>45455</v>
      </c>
      <c r="F436" s="19" t="s">
        <v>29</v>
      </c>
    </row>
    <row r="437" spans="1:10" ht="12.75" customHeight="1" x14ac:dyDescent="0.2">
      <c r="A437" s="17" t="s">
        <v>659</v>
      </c>
      <c r="B437" s="8">
        <v>11.88</v>
      </c>
      <c r="C437" s="18">
        <v>1</v>
      </c>
      <c r="D437" s="26">
        <f t="shared" si="40"/>
        <v>11.88</v>
      </c>
      <c r="E437" s="25">
        <v>45455</v>
      </c>
      <c r="F437" s="13" t="s">
        <v>29</v>
      </c>
      <c r="G437" s="13"/>
      <c r="H437" s="13"/>
      <c r="I437" s="13"/>
      <c r="J437" s="13"/>
    </row>
    <row r="438" spans="1:10" ht="12.75" customHeight="1" x14ac:dyDescent="0.2">
      <c r="A438" s="46" t="s">
        <v>660</v>
      </c>
      <c r="B438" s="8">
        <v>33.99</v>
      </c>
      <c r="C438" s="18">
        <v>1</v>
      </c>
      <c r="D438" s="26">
        <f t="shared" si="40"/>
        <v>33.99</v>
      </c>
      <c r="E438" s="25">
        <v>45455</v>
      </c>
      <c r="F438" s="13" t="s">
        <v>29</v>
      </c>
      <c r="H438" s="13"/>
      <c r="I438" s="13"/>
      <c r="J438" s="13"/>
    </row>
    <row r="439" spans="1:10" ht="12.75" customHeight="1" x14ac:dyDescent="0.2">
      <c r="A439" s="46" t="s">
        <v>661</v>
      </c>
      <c r="B439" s="8">
        <v>29.69</v>
      </c>
      <c r="C439" s="18">
        <v>2</v>
      </c>
      <c r="D439" s="26">
        <f t="shared" si="40"/>
        <v>59.38</v>
      </c>
      <c r="E439" s="25">
        <v>45455</v>
      </c>
      <c r="F439" s="13" t="s">
        <v>29</v>
      </c>
      <c r="H439" s="13"/>
      <c r="I439" s="13"/>
      <c r="J439" s="13"/>
    </row>
    <row r="440" spans="1:10" ht="12.75" customHeight="1" x14ac:dyDescent="0.2">
      <c r="A440" s="46" t="s">
        <v>662</v>
      </c>
      <c r="B440" s="8">
        <v>24.49</v>
      </c>
      <c r="C440" s="18">
        <v>1</v>
      </c>
      <c r="D440" s="26">
        <f t="shared" si="40"/>
        <v>24.49</v>
      </c>
      <c r="E440" s="25">
        <v>45455</v>
      </c>
      <c r="F440" s="13" t="s">
        <v>29</v>
      </c>
      <c r="H440" s="13"/>
      <c r="I440" s="13"/>
      <c r="J440" s="13"/>
    </row>
    <row r="441" spans="1:10" ht="12.75" customHeight="1" x14ac:dyDescent="0.2">
      <c r="A441" s="46" t="s">
        <v>663</v>
      </c>
      <c r="B441" s="8">
        <v>32.74</v>
      </c>
      <c r="C441" s="18">
        <v>1</v>
      </c>
      <c r="D441" s="26">
        <f t="shared" si="40"/>
        <v>32.74</v>
      </c>
      <c r="E441" s="25">
        <v>45455</v>
      </c>
      <c r="F441" s="13" t="s">
        <v>122</v>
      </c>
      <c r="G441" s="34" t="s">
        <v>664</v>
      </c>
      <c r="H441" s="13"/>
      <c r="I441" s="13"/>
      <c r="J441" s="13"/>
    </row>
    <row r="442" spans="1:10" ht="12.75" customHeight="1" x14ac:dyDescent="0.2">
      <c r="A442" s="46" t="s">
        <v>665</v>
      </c>
      <c r="B442" s="8">
        <v>6.61</v>
      </c>
      <c r="C442" s="18">
        <v>1</v>
      </c>
      <c r="D442" s="26">
        <f t="shared" si="40"/>
        <v>6.61</v>
      </c>
      <c r="E442" s="25">
        <v>45455</v>
      </c>
      <c r="F442" s="13" t="s">
        <v>122</v>
      </c>
      <c r="G442" s="34" t="s">
        <v>666</v>
      </c>
      <c r="H442" s="13"/>
      <c r="I442" s="13"/>
      <c r="J442" s="13"/>
    </row>
    <row r="443" spans="1:10" ht="12.75" customHeight="1" x14ac:dyDescent="0.2">
      <c r="A443" s="46" t="s">
        <v>667</v>
      </c>
      <c r="B443" s="8">
        <v>1.35</v>
      </c>
      <c r="C443" s="18">
        <v>1</v>
      </c>
      <c r="D443" s="26">
        <f t="shared" si="40"/>
        <v>1.35</v>
      </c>
      <c r="E443" s="25">
        <v>45455</v>
      </c>
      <c r="F443" s="13" t="s">
        <v>122</v>
      </c>
      <c r="G443" s="34" t="s">
        <v>668</v>
      </c>
      <c r="H443" s="13"/>
      <c r="I443" s="13"/>
      <c r="J443" s="13"/>
    </row>
    <row r="444" spans="1:10" ht="12.75" customHeight="1" x14ac:dyDescent="0.2">
      <c r="A444" s="46" t="s">
        <v>717</v>
      </c>
      <c r="B444" s="8">
        <v>8.98</v>
      </c>
      <c r="C444" s="18">
        <v>1</v>
      </c>
      <c r="D444" s="26">
        <f t="shared" si="40"/>
        <v>8.98</v>
      </c>
      <c r="E444" s="25">
        <v>45632</v>
      </c>
      <c r="F444" s="13" t="s">
        <v>29</v>
      </c>
      <c r="G444" s="34" t="s">
        <v>719</v>
      </c>
      <c r="H444" s="13"/>
      <c r="I444" s="13"/>
      <c r="J444" s="13" t="s">
        <v>718</v>
      </c>
    </row>
    <row r="445" spans="1:10" ht="12.75" customHeight="1" x14ac:dyDescent="0.2">
      <c r="A445" s="34" t="s">
        <v>772</v>
      </c>
      <c r="B445" s="8">
        <v>25.95</v>
      </c>
      <c r="C445" s="18">
        <v>1</v>
      </c>
      <c r="D445" s="26">
        <f t="shared" si="40"/>
        <v>25.95</v>
      </c>
      <c r="E445" s="25">
        <v>45679</v>
      </c>
      <c r="F445" s="13" t="s">
        <v>29</v>
      </c>
      <c r="G445" s="34" t="s">
        <v>773</v>
      </c>
      <c r="H445" s="13" t="s">
        <v>774</v>
      </c>
      <c r="I445" s="13">
        <v>2721</v>
      </c>
      <c r="J445" s="13"/>
    </row>
    <row r="446" spans="1:10" ht="12.75" customHeight="1" x14ac:dyDescent="0.2">
      <c r="A446" s="46" t="s">
        <v>785</v>
      </c>
      <c r="B446" s="8">
        <v>6.3</v>
      </c>
      <c r="C446" s="18">
        <v>1</v>
      </c>
      <c r="D446" s="26">
        <f t="shared" si="40"/>
        <v>6.3</v>
      </c>
      <c r="E446" s="25">
        <v>45688</v>
      </c>
      <c r="F446" s="13" t="s">
        <v>29</v>
      </c>
      <c r="G446" t="s">
        <v>786</v>
      </c>
      <c r="H446" s="13"/>
      <c r="I446" s="13"/>
      <c r="J446" s="13"/>
    </row>
    <row r="447" spans="1:10" ht="12.75" customHeight="1" x14ac:dyDescent="0.2">
      <c r="A447" s="46" t="s">
        <v>791</v>
      </c>
      <c r="B447" s="8">
        <v>15.99</v>
      </c>
      <c r="C447" s="18">
        <v>1</v>
      </c>
      <c r="D447" s="26">
        <f t="shared" si="40"/>
        <v>15.99</v>
      </c>
      <c r="E447" s="25">
        <v>45688</v>
      </c>
      <c r="F447" s="13" t="s">
        <v>29</v>
      </c>
      <c r="G447" t="s">
        <v>792</v>
      </c>
      <c r="H447" s="13"/>
      <c r="I447" s="13"/>
      <c r="J447" s="13"/>
    </row>
    <row r="448" spans="1:10" ht="12.75" customHeight="1" x14ac:dyDescent="0.2">
      <c r="A448" s="46" t="s">
        <v>787</v>
      </c>
      <c r="B448" s="8">
        <v>6.39</v>
      </c>
      <c r="C448" s="18">
        <v>4</v>
      </c>
      <c r="D448" s="26">
        <f t="shared" si="40"/>
        <v>25.56</v>
      </c>
      <c r="E448" s="25">
        <v>45688</v>
      </c>
      <c r="F448" s="13" t="s">
        <v>29</v>
      </c>
      <c r="G448" t="s">
        <v>788</v>
      </c>
      <c r="H448" s="13"/>
      <c r="I448" s="13"/>
      <c r="J448" s="13"/>
    </row>
    <row r="449" spans="1:10" ht="12.75" customHeight="1" x14ac:dyDescent="0.2">
      <c r="A449" s="46" t="s">
        <v>789</v>
      </c>
      <c r="B449" s="8">
        <v>8.33</v>
      </c>
      <c r="C449" s="18">
        <v>1</v>
      </c>
      <c r="D449" s="26">
        <f t="shared" si="40"/>
        <v>8.33</v>
      </c>
      <c r="E449" s="25">
        <v>45688</v>
      </c>
      <c r="F449" s="13" t="s">
        <v>29</v>
      </c>
      <c r="G449" t="s">
        <v>790</v>
      </c>
      <c r="H449" s="13"/>
      <c r="I449" s="13"/>
      <c r="J449" s="13"/>
    </row>
    <row r="450" spans="1:10" ht="12.75" customHeight="1" x14ac:dyDescent="0.2">
      <c r="B450" s="8"/>
      <c r="C450" s="18"/>
      <c r="D450" s="26"/>
      <c r="E450" s="25"/>
      <c r="F450" s="13"/>
      <c r="H450" s="13"/>
      <c r="I450" s="13"/>
      <c r="J450" s="13"/>
    </row>
    <row r="451" spans="1:10" ht="12.75" customHeight="1" x14ac:dyDescent="0.2">
      <c r="B451" s="8"/>
      <c r="C451" s="18"/>
      <c r="D451" s="26"/>
      <c r="E451" s="25"/>
      <c r="F451" s="13"/>
      <c r="H451" s="13"/>
      <c r="I451" s="13"/>
      <c r="J451" s="13"/>
    </row>
    <row r="452" spans="1:10" ht="12.75" customHeight="1" x14ac:dyDescent="0.2">
      <c r="A452" s="46"/>
      <c r="B452" s="8"/>
      <c r="C452" s="18"/>
      <c r="D452" s="26"/>
      <c r="E452" s="25"/>
      <c r="F452" s="13"/>
      <c r="H452" s="13"/>
      <c r="I452" s="13"/>
      <c r="J452" s="13"/>
    </row>
    <row r="453" spans="1:10" ht="12.6" customHeight="1" x14ac:dyDescent="0.2">
      <c r="A453" s="20" t="s">
        <v>615</v>
      </c>
      <c r="B453" s="50">
        <f>SUM(D454:D477)</f>
        <v>574.84999999999991</v>
      </c>
      <c r="C453" s="18"/>
      <c r="E453" s="13"/>
      <c r="F453" s="13"/>
      <c r="G453" s="13"/>
      <c r="H453" s="13"/>
      <c r="I453" s="13"/>
      <c r="J453" s="13"/>
    </row>
    <row r="454" spans="1:10" ht="12.75" customHeight="1" x14ac:dyDescent="0.2">
      <c r="A454" s="17" t="s">
        <v>230</v>
      </c>
      <c r="B454" s="8">
        <v>202.29</v>
      </c>
      <c r="C454" s="18">
        <v>1</v>
      </c>
      <c r="D454" s="26">
        <f t="shared" ref="D454:D462" si="41">B454*C454</f>
        <v>202.29</v>
      </c>
      <c r="E454" s="25">
        <v>45329</v>
      </c>
      <c r="F454" s="19" t="s">
        <v>29</v>
      </c>
      <c r="J454" s="34" t="s">
        <v>298</v>
      </c>
    </row>
    <row r="455" spans="1:10" ht="12.75" customHeight="1" x14ac:dyDescent="0.2">
      <c r="A455" s="8" t="s">
        <v>556</v>
      </c>
      <c r="B455" s="8">
        <v>14.21</v>
      </c>
      <c r="C455" s="18">
        <v>1</v>
      </c>
      <c r="D455" s="26">
        <f t="shared" si="41"/>
        <v>14.21</v>
      </c>
      <c r="E455" s="53">
        <v>45397</v>
      </c>
      <c r="F455" s="19" t="s">
        <v>224</v>
      </c>
      <c r="G455" s="34">
        <v>227534</v>
      </c>
    </row>
    <row r="456" spans="1:10" ht="12.75" customHeight="1" x14ac:dyDescent="0.2">
      <c r="A456" s="17" t="s">
        <v>625</v>
      </c>
      <c r="B456" s="8">
        <v>19.88</v>
      </c>
      <c r="C456" s="18">
        <v>1</v>
      </c>
      <c r="D456" s="26">
        <f t="shared" si="41"/>
        <v>19.88</v>
      </c>
      <c r="E456" s="25">
        <v>45411</v>
      </c>
      <c r="F456" s="13" t="s">
        <v>29</v>
      </c>
      <c r="G456" s="13"/>
      <c r="H456" s="13"/>
      <c r="I456" s="13"/>
      <c r="J456" s="13" t="s">
        <v>626</v>
      </c>
    </row>
    <row r="457" spans="1:10" ht="12.75" customHeight="1" x14ac:dyDescent="0.2">
      <c r="A457" s="46" t="s">
        <v>616</v>
      </c>
      <c r="B457" s="8">
        <v>35.74</v>
      </c>
      <c r="C457" s="18">
        <v>1</v>
      </c>
      <c r="D457" s="26">
        <f t="shared" si="41"/>
        <v>35.74</v>
      </c>
      <c r="E457" s="25">
        <v>45411</v>
      </c>
      <c r="F457" s="13" t="s">
        <v>122</v>
      </c>
      <c r="G457" s="34" t="s">
        <v>617</v>
      </c>
      <c r="H457" s="13"/>
      <c r="I457" s="13"/>
      <c r="J457" s="13"/>
    </row>
    <row r="458" spans="1:10" ht="12.75" customHeight="1" x14ac:dyDescent="0.2">
      <c r="A458" s="46" t="s">
        <v>651</v>
      </c>
      <c r="B458" s="8">
        <v>22.58</v>
      </c>
      <c r="C458" s="18">
        <v>1</v>
      </c>
      <c r="D458" s="26">
        <f t="shared" si="41"/>
        <v>22.58</v>
      </c>
      <c r="E458" s="25">
        <v>45434</v>
      </c>
      <c r="F458" s="13" t="s">
        <v>122</v>
      </c>
      <c r="G458" s="34" t="s">
        <v>650</v>
      </c>
      <c r="H458" s="13"/>
      <c r="I458" s="13"/>
      <c r="J458" s="13"/>
    </row>
    <row r="459" spans="1:10" ht="12.75" customHeight="1" x14ac:dyDescent="0.2">
      <c r="A459" s="46" t="s">
        <v>652</v>
      </c>
      <c r="B459" s="8">
        <v>34.54</v>
      </c>
      <c r="C459" s="18">
        <v>1</v>
      </c>
      <c r="D459" s="26">
        <f t="shared" si="41"/>
        <v>34.54</v>
      </c>
      <c r="E459" s="25">
        <v>45434</v>
      </c>
      <c r="F459" s="13" t="s">
        <v>122</v>
      </c>
      <c r="G459" s="34" t="s">
        <v>653</v>
      </c>
      <c r="H459" s="13"/>
      <c r="I459" s="13"/>
      <c r="J459" s="13"/>
    </row>
    <row r="460" spans="1:10" ht="12.75" customHeight="1" x14ac:dyDescent="0.2">
      <c r="A460" s="46" t="s">
        <v>715</v>
      </c>
      <c r="B460" s="8">
        <v>12.86</v>
      </c>
      <c r="C460" s="18">
        <v>1</v>
      </c>
      <c r="D460" s="26">
        <f t="shared" si="41"/>
        <v>12.86</v>
      </c>
      <c r="E460" s="25">
        <v>45632</v>
      </c>
      <c r="F460" s="13" t="s">
        <v>29</v>
      </c>
      <c r="G460" s="34" t="s">
        <v>716</v>
      </c>
      <c r="H460" s="13"/>
      <c r="I460" s="13"/>
      <c r="J460" s="13"/>
    </row>
    <row r="461" spans="1:10" ht="12.75" customHeight="1" x14ac:dyDescent="0.2">
      <c r="A461" s="46" t="s">
        <v>780</v>
      </c>
      <c r="B461" s="8">
        <v>67.14</v>
      </c>
      <c r="C461" s="18">
        <v>1</v>
      </c>
      <c r="D461" s="26">
        <f t="shared" si="41"/>
        <v>67.14</v>
      </c>
      <c r="E461" s="25">
        <v>45706</v>
      </c>
      <c r="F461" s="13" t="s">
        <v>29</v>
      </c>
      <c r="H461" s="13"/>
      <c r="I461" s="13"/>
      <c r="J461" s="13"/>
    </row>
    <row r="462" spans="1:10" ht="12.75" customHeight="1" x14ac:dyDescent="0.2">
      <c r="A462" s="46" t="s">
        <v>812</v>
      </c>
      <c r="B462" s="8">
        <v>59.9</v>
      </c>
      <c r="C462" s="18">
        <v>1</v>
      </c>
      <c r="D462" s="26">
        <f t="shared" si="41"/>
        <v>59.9</v>
      </c>
      <c r="E462" s="43" t="s">
        <v>806</v>
      </c>
      <c r="F462" s="19" t="s">
        <v>125</v>
      </c>
      <c r="G462" s="34" t="s">
        <v>813</v>
      </c>
      <c r="H462" s="13"/>
      <c r="I462" s="13"/>
      <c r="J462" s="13"/>
    </row>
    <row r="463" spans="1:10" ht="12.75" customHeight="1" x14ac:dyDescent="0.2">
      <c r="A463" s="46"/>
      <c r="B463" s="8"/>
      <c r="C463" s="18"/>
      <c r="D463" s="26"/>
      <c r="E463" s="25"/>
      <c r="F463" s="13"/>
      <c r="H463" s="13"/>
      <c r="I463" s="13"/>
      <c r="J463" s="13"/>
    </row>
    <row r="464" spans="1:10" ht="12.6" customHeight="1" x14ac:dyDescent="0.2">
      <c r="A464" s="20" t="s">
        <v>814</v>
      </c>
      <c r="B464" s="50">
        <f>SUM(D465:D476)</f>
        <v>105.71000000000001</v>
      </c>
      <c r="C464" s="18"/>
      <c r="E464" s="13"/>
      <c r="F464" s="13"/>
      <c r="G464" s="13"/>
      <c r="H464" s="13"/>
      <c r="I464" s="13"/>
      <c r="J464" s="13"/>
    </row>
    <row r="465" spans="1:10" ht="12.75" customHeight="1" x14ac:dyDescent="0.2">
      <c r="A465" s="17" t="s">
        <v>815</v>
      </c>
      <c r="B465" s="8">
        <v>54.98</v>
      </c>
      <c r="C465" s="18">
        <v>1</v>
      </c>
      <c r="D465" s="26">
        <f t="shared" ref="D465:D467" si="42">B465*C465</f>
        <v>54.98</v>
      </c>
      <c r="E465" s="25"/>
      <c r="F465" s="19" t="s">
        <v>29</v>
      </c>
      <c r="J465" s="34" t="s">
        <v>298</v>
      </c>
    </row>
    <row r="466" spans="1:10" ht="12.75" customHeight="1" x14ac:dyDescent="0.2">
      <c r="A466" s="17" t="s">
        <v>816</v>
      </c>
      <c r="B466" s="8">
        <v>8.99</v>
      </c>
      <c r="C466" s="18">
        <v>1</v>
      </c>
      <c r="D466" s="26">
        <f t="shared" si="42"/>
        <v>8.99</v>
      </c>
      <c r="E466" s="25"/>
      <c r="F466" s="19" t="s">
        <v>29</v>
      </c>
      <c r="G466" s="34" t="s">
        <v>817</v>
      </c>
    </row>
    <row r="467" spans="1:10" ht="12.6" customHeight="1" x14ac:dyDescent="0.2">
      <c r="A467" s="17" t="s">
        <v>356</v>
      </c>
      <c r="B467" s="8">
        <v>3.38</v>
      </c>
      <c r="C467" s="18">
        <v>2</v>
      </c>
      <c r="D467" s="26">
        <f t="shared" si="42"/>
        <v>6.76</v>
      </c>
      <c r="E467" s="25"/>
      <c r="F467" s="19" t="s">
        <v>29</v>
      </c>
      <c r="G467" s="19"/>
      <c r="H467" s="18"/>
      <c r="I467" s="18"/>
      <c r="J467" s="18"/>
    </row>
    <row r="468" spans="1:10" ht="12.6" customHeight="1" x14ac:dyDescent="0.2">
      <c r="A468" s="17" t="s">
        <v>321</v>
      </c>
      <c r="B468" s="8">
        <v>5.71</v>
      </c>
      <c r="C468" s="18">
        <v>2</v>
      </c>
      <c r="D468" s="26">
        <f t="shared" ref="D468:D469" si="43">B468*C468</f>
        <v>11.42</v>
      </c>
      <c r="E468" s="25"/>
      <c r="F468" s="19" t="s">
        <v>29</v>
      </c>
      <c r="G468" s="19"/>
      <c r="H468" s="18"/>
      <c r="I468" s="18"/>
      <c r="J468" s="18"/>
    </row>
    <row r="469" spans="1:10" ht="12.6" customHeight="1" x14ac:dyDescent="0.2">
      <c r="A469" s="17" t="s">
        <v>322</v>
      </c>
      <c r="B469" s="8">
        <v>4.05</v>
      </c>
      <c r="C469" s="18">
        <v>2</v>
      </c>
      <c r="D469" s="26">
        <f t="shared" si="43"/>
        <v>8.1</v>
      </c>
      <c r="E469" s="25"/>
      <c r="F469" s="19" t="s">
        <v>29</v>
      </c>
      <c r="G469" s="19"/>
      <c r="H469" s="18"/>
      <c r="I469" s="18"/>
      <c r="J469" s="18"/>
    </row>
    <row r="470" spans="1:10" ht="12.6" customHeight="1" x14ac:dyDescent="0.2">
      <c r="A470" t="s">
        <v>118</v>
      </c>
      <c r="B470" s="8">
        <v>1.17</v>
      </c>
      <c r="C470" s="18">
        <v>1</v>
      </c>
      <c r="D470" s="26">
        <f t="shared" ref="D470:D473" si="44">B470*C470</f>
        <v>1.17</v>
      </c>
      <c r="E470" s="25"/>
      <c r="F470" s="19" t="s">
        <v>122</v>
      </c>
      <c r="G470" s="19"/>
      <c r="H470" s="18"/>
      <c r="I470" s="18"/>
      <c r="J470" s="18"/>
    </row>
    <row r="471" spans="1:10" ht="12.6" customHeight="1" x14ac:dyDescent="0.2">
      <c r="A471" s="17" t="s">
        <v>386</v>
      </c>
      <c r="B471" s="8">
        <v>3.35</v>
      </c>
      <c r="C471" s="18">
        <v>2</v>
      </c>
      <c r="D471" s="26">
        <f t="shared" si="44"/>
        <v>6.7</v>
      </c>
      <c r="E471" s="25"/>
      <c r="F471" s="19" t="s">
        <v>122</v>
      </c>
      <c r="G471" s="19"/>
      <c r="H471" s="18"/>
      <c r="I471" s="18"/>
      <c r="J471" s="18"/>
    </row>
    <row r="472" spans="1:10" ht="12.75" customHeight="1" x14ac:dyDescent="0.2">
      <c r="A472" t="s">
        <v>111</v>
      </c>
      <c r="B472" s="8">
        <v>3.09</v>
      </c>
      <c r="C472" s="18">
        <v>2</v>
      </c>
      <c r="D472" s="26">
        <f t="shared" si="44"/>
        <v>6.18</v>
      </c>
      <c r="E472" s="25"/>
      <c r="F472" s="19" t="s">
        <v>29</v>
      </c>
    </row>
    <row r="473" spans="1:10" ht="12.6" customHeight="1" x14ac:dyDescent="0.2">
      <c r="A473" t="s">
        <v>368</v>
      </c>
      <c r="B473" s="8">
        <v>1.41</v>
      </c>
      <c r="C473" s="18">
        <v>1</v>
      </c>
      <c r="D473" s="26">
        <f t="shared" si="44"/>
        <v>1.41</v>
      </c>
      <c r="E473" s="25"/>
      <c r="F473" s="19" t="s">
        <v>122</v>
      </c>
      <c r="G473" s="19"/>
      <c r="H473" s="18"/>
      <c r="I473" s="18"/>
      <c r="J473" s="18"/>
    </row>
    <row r="474" spans="1:10" ht="12.6" customHeight="1" x14ac:dyDescent="0.2">
      <c r="A474" s="17"/>
      <c r="B474" s="8"/>
      <c r="C474" s="18"/>
      <c r="D474" s="26"/>
      <c r="E474" s="25"/>
      <c r="F474" s="18"/>
      <c r="G474" s="19"/>
      <c r="H474" s="18"/>
      <c r="I474" s="18"/>
      <c r="J474" s="18"/>
    </row>
    <row r="475" spans="1:10" ht="12.75" customHeight="1" x14ac:dyDescent="0.2">
      <c r="A475" s="17"/>
      <c r="B475" s="8"/>
      <c r="C475" s="18"/>
      <c r="D475" s="26"/>
      <c r="E475" s="25"/>
      <c r="F475" s="19"/>
    </row>
    <row r="476" spans="1:10" ht="12.75" customHeight="1" x14ac:dyDescent="0.2">
      <c r="A476" s="46"/>
      <c r="B476" s="8"/>
      <c r="C476" s="18"/>
      <c r="D476" s="26"/>
      <c r="E476" s="25"/>
      <c r="F476" s="13"/>
      <c r="H476" s="13"/>
      <c r="I476" s="13"/>
      <c r="J476" s="13"/>
    </row>
    <row r="477" spans="1:10" ht="12.75" customHeight="1" x14ac:dyDescent="0.2">
      <c r="A477" s="17"/>
      <c r="B477" s="8"/>
      <c r="C477" s="18"/>
      <c r="D477" s="26"/>
      <c r="E477" s="25"/>
      <c r="F477" s="13"/>
      <c r="G477" s="13"/>
      <c r="H477" s="13"/>
      <c r="I477" s="13"/>
      <c r="J477" s="13"/>
    </row>
    <row r="478" spans="1:10" ht="12.75" customHeight="1" x14ac:dyDescent="0.2">
      <c r="A478" s="20" t="s">
        <v>284</v>
      </c>
      <c r="B478" s="50">
        <f>SUM(D479:D488)</f>
        <v>1173.19</v>
      </c>
      <c r="C478" s="18"/>
      <c r="E478" s="13"/>
      <c r="F478" s="13"/>
      <c r="G478" s="13"/>
      <c r="H478" s="13"/>
      <c r="I478" s="13"/>
      <c r="J478" s="13"/>
    </row>
    <row r="479" spans="1:10" ht="12.75" customHeight="1" x14ac:dyDescent="0.2">
      <c r="A479" s="17" t="s">
        <v>285</v>
      </c>
      <c r="B479" s="8">
        <v>385</v>
      </c>
      <c r="C479" s="18">
        <v>1</v>
      </c>
      <c r="D479" s="26">
        <f t="shared" ref="D479:D484" si="45">B479*C479</f>
        <v>385</v>
      </c>
      <c r="E479" s="25">
        <v>45215</v>
      </c>
      <c r="F479" s="13"/>
      <c r="G479" s="13"/>
      <c r="H479" s="13"/>
      <c r="I479" s="13"/>
      <c r="J479" s="13"/>
    </row>
    <row r="480" spans="1:10" ht="12.75" customHeight="1" x14ac:dyDescent="0.2">
      <c r="A480" s="17" t="s">
        <v>292</v>
      </c>
      <c r="B480" s="8">
        <v>400</v>
      </c>
      <c r="C480" s="18">
        <v>1</v>
      </c>
      <c r="D480" s="26">
        <f t="shared" si="45"/>
        <v>400</v>
      </c>
      <c r="E480" s="25">
        <v>45302</v>
      </c>
      <c r="F480" s="13"/>
      <c r="G480" s="13"/>
      <c r="H480" s="13"/>
      <c r="I480" s="13"/>
      <c r="J480" s="13"/>
    </row>
    <row r="481" spans="1:10" ht="12.75" customHeight="1" x14ac:dyDescent="0.2">
      <c r="A481" s="17" t="s">
        <v>636</v>
      </c>
      <c r="B481" s="8">
        <v>15.27</v>
      </c>
      <c r="C481" s="18">
        <v>1</v>
      </c>
      <c r="D481" s="26">
        <f t="shared" si="45"/>
        <v>15.27</v>
      </c>
      <c r="E481" s="25">
        <v>45406</v>
      </c>
      <c r="F481" s="13"/>
      <c r="G481" s="13"/>
      <c r="H481" s="13"/>
      <c r="I481" s="13"/>
      <c r="J481" s="13"/>
    </row>
    <row r="482" spans="1:10" ht="12.75" customHeight="1" x14ac:dyDescent="0.2">
      <c r="A482" s="34" t="s">
        <v>682</v>
      </c>
      <c r="B482" s="34">
        <v>149</v>
      </c>
      <c r="C482" s="18">
        <v>1</v>
      </c>
      <c r="D482" s="26">
        <f t="shared" si="45"/>
        <v>149</v>
      </c>
      <c r="E482" s="25">
        <v>45366</v>
      </c>
      <c r="F482" s="13"/>
      <c r="G482" s="13"/>
      <c r="H482" s="13"/>
      <c r="I482" s="13"/>
      <c r="J482" s="13"/>
    </row>
    <row r="483" spans="1:10" ht="12.75" customHeight="1" x14ac:dyDescent="0.2">
      <c r="A483" s="34" t="s">
        <v>684</v>
      </c>
      <c r="B483" s="34">
        <v>25</v>
      </c>
      <c r="C483" s="18">
        <v>1</v>
      </c>
      <c r="D483" s="26">
        <f t="shared" si="45"/>
        <v>25</v>
      </c>
      <c r="E483" s="25">
        <v>45455</v>
      </c>
      <c r="F483" s="13"/>
      <c r="G483" s="13"/>
      <c r="H483" s="13"/>
      <c r="I483" s="13"/>
      <c r="J483" s="13"/>
    </row>
    <row r="484" spans="1:10" ht="12.75" customHeight="1" x14ac:dyDescent="0.2">
      <c r="A484" s="34" t="s">
        <v>683</v>
      </c>
      <c r="B484" s="34">
        <v>149</v>
      </c>
      <c r="C484" s="18">
        <v>1</v>
      </c>
      <c r="D484" s="26">
        <f t="shared" si="45"/>
        <v>149</v>
      </c>
      <c r="E484" s="25">
        <v>45567</v>
      </c>
      <c r="F484" s="13"/>
      <c r="G484" s="13"/>
      <c r="H484" s="13"/>
      <c r="I484" s="13"/>
      <c r="J484" s="13"/>
    </row>
    <row r="485" spans="1:10" ht="12.75" customHeight="1" x14ac:dyDescent="0.2">
      <c r="A485" s="34" t="s">
        <v>706</v>
      </c>
      <c r="B485" s="34">
        <v>6.99</v>
      </c>
      <c r="C485" s="18">
        <v>1</v>
      </c>
      <c r="D485" s="26">
        <f t="shared" ref="D485:D486" si="46">B485*C485</f>
        <v>6.99</v>
      </c>
      <c r="E485" s="25">
        <v>45568</v>
      </c>
      <c r="F485" s="13"/>
      <c r="G485" s="13"/>
      <c r="H485" s="13"/>
      <c r="I485" s="13"/>
      <c r="J485" s="13"/>
    </row>
    <row r="486" spans="1:10" ht="12.75" customHeight="1" x14ac:dyDescent="0.2">
      <c r="A486" s="34" t="s">
        <v>775</v>
      </c>
      <c r="B486" s="34">
        <v>42.93</v>
      </c>
      <c r="C486" s="18">
        <v>1</v>
      </c>
      <c r="D486" s="26">
        <f t="shared" si="46"/>
        <v>42.93</v>
      </c>
      <c r="E486" s="25">
        <v>45628</v>
      </c>
      <c r="F486" s="13"/>
      <c r="G486" s="13"/>
      <c r="H486" s="13"/>
      <c r="I486" s="13"/>
      <c r="J486" s="13"/>
    </row>
    <row r="487" spans="1:10" ht="12.75" customHeight="1" x14ac:dyDescent="0.2">
      <c r="C487" s="18"/>
      <c r="D487" s="26"/>
      <c r="E487" s="25"/>
      <c r="F487" s="13"/>
      <c r="G487" s="13"/>
      <c r="H487" s="13"/>
      <c r="I487" s="13"/>
      <c r="J487" s="13"/>
    </row>
    <row r="488" spans="1:10" ht="12.75" customHeight="1" x14ac:dyDescent="0.2">
      <c r="A488" s="17"/>
      <c r="B488" s="8"/>
      <c r="C488" s="18"/>
      <c r="D488" s="26"/>
      <c r="E488" s="25"/>
      <c r="F488" s="13"/>
      <c r="G488" s="13"/>
      <c r="H488" s="13"/>
      <c r="I488" s="13"/>
      <c r="J488" s="13"/>
    </row>
    <row r="489" spans="1:10" ht="12.75" customHeight="1" x14ac:dyDescent="0.2">
      <c r="A489" s="17"/>
      <c r="B489" s="23"/>
      <c r="C489" s="30" t="s">
        <v>3</v>
      </c>
      <c r="D489" s="31">
        <f>SUM(D2:D487)</f>
        <v>69564.130000000019</v>
      </c>
      <c r="E489" s="13"/>
      <c r="F489" s="13"/>
      <c r="G489" s="13"/>
      <c r="H489" s="13"/>
      <c r="I489" s="13"/>
      <c r="J489" s="13"/>
    </row>
    <row r="490" spans="1:10" ht="12.75" customHeight="1" x14ac:dyDescent="0.2">
      <c r="A490" s="32"/>
      <c r="B490" s="23"/>
    </row>
    <row r="491" spans="1:10" ht="12.75" customHeight="1" x14ac:dyDescent="0.2">
      <c r="A491" s="32"/>
      <c r="B491" s="23"/>
    </row>
    <row r="492" spans="1:10" ht="12.75" customHeight="1" x14ac:dyDescent="0.2">
      <c r="A492" s="32"/>
      <c r="B492" s="23"/>
    </row>
    <row r="493" spans="1:10" ht="12.75" customHeight="1" x14ac:dyDescent="0.2">
      <c r="A493" s="32"/>
      <c r="B493" s="23"/>
    </row>
    <row r="494" spans="1:10" ht="12.75" customHeight="1" x14ac:dyDescent="0.2">
      <c r="A494" s="32"/>
      <c r="B494" s="23"/>
    </row>
    <row r="495" spans="1:10" ht="12.75" customHeight="1" x14ac:dyDescent="0.2">
      <c r="A495" s="32"/>
      <c r="B495" s="23"/>
    </row>
    <row r="496" spans="1:10" ht="12.75" customHeight="1" x14ac:dyDescent="0.2">
      <c r="A496" s="32"/>
      <c r="B496" s="23"/>
    </row>
    <row r="497" spans="1:1" ht="12.75" customHeight="1" x14ac:dyDescent="0.2">
      <c r="A497" s="32"/>
    </row>
    <row r="498" spans="1:1" ht="12.75" customHeight="1" x14ac:dyDescent="0.2">
      <c r="A498" s="32"/>
    </row>
    <row r="499" spans="1:1" ht="12.75" customHeight="1" x14ac:dyDescent="0.2">
      <c r="A499" s="32"/>
    </row>
    <row r="500" spans="1:1" ht="12.75" customHeight="1" x14ac:dyDescent="0.2">
      <c r="A500" s="32"/>
    </row>
    <row r="501" spans="1:1" ht="12.75" customHeight="1" x14ac:dyDescent="0.2">
      <c r="A501" s="32"/>
    </row>
    <row r="502" spans="1:1" ht="12.75" customHeight="1" x14ac:dyDescent="0.2">
      <c r="A502" s="32"/>
    </row>
    <row r="503" spans="1:1" ht="12.75" customHeight="1" x14ac:dyDescent="0.2">
      <c r="A503" s="32"/>
    </row>
    <row r="504" spans="1:1" ht="12.75" customHeight="1" x14ac:dyDescent="0.2">
      <c r="A504" s="32"/>
    </row>
    <row r="505" spans="1:1" ht="12.75" customHeight="1" x14ac:dyDescent="0.2">
      <c r="A505" s="32"/>
    </row>
    <row r="506" spans="1:1" ht="12.75" customHeight="1" x14ac:dyDescent="0.2">
      <c r="A506" s="32"/>
    </row>
    <row r="507" spans="1:1" ht="12.75" customHeight="1" x14ac:dyDescent="0.2">
      <c r="A507" s="32"/>
    </row>
    <row r="508" spans="1:1" ht="12.75" customHeight="1" x14ac:dyDescent="0.2">
      <c r="A508" s="32"/>
    </row>
    <row r="509" spans="1:1" ht="12.75" customHeight="1" x14ac:dyDescent="0.2">
      <c r="A509" s="32"/>
    </row>
    <row r="510" spans="1:1" ht="12.75" customHeight="1" x14ac:dyDescent="0.2">
      <c r="A510" s="32"/>
    </row>
    <row r="511" spans="1:1" ht="12.75" customHeight="1" x14ac:dyDescent="0.2">
      <c r="A511" s="32"/>
    </row>
    <row r="512" spans="1:1" ht="12.75" customHeight="1" x14ac:dyDescent="0.2">
      <c r="A512" s="32"/>
    </row>
    <row r="513" spans="1:1" ht="12.75" customHeight="1" x14ac:dyDescent="0.2">
      <c r="A513" s="32"/>
    </row>
    <row r="514" spans="1:1" ht="12.75" customHeight="1" x14ac:dyDescent="0.2">
      <c r="A514" s="32"/>
    </row>
    <row r="515" spans="1:1" ht="12.75" customHeight="1" x14ac:dyDescent="0.2">
      <c r="A515" s="32"/>
    </row>
    <row r="516" spans="1:1" ht="12.75" customHeight="1" x14ac:dyDescent="0.2">
      <c r="A516" s="32"/>
    </row>
    <row r="517" spans="1:1" ht="12.75" customHeight="1" x14ac:dyDescent="0.2">
      <c r="A517" s="32"/>
    </row>
    <row r="518" spans="1:1" ht="12.75" customHeight="1" x14ac:dyDescent="0.2">
      <c r="A518" s="32"/>
    </row>
    <row r="519" spans="1:1" ht="12.75" customHeight="1" x14ac:dyDescent="0.2">
      <c r="A519" s="32"/>
    </row>
    <row r="520" spans="1:1" ht="12.75" customHeight="1" x14ac:dyDescent="0.2">
      <c r="A520" s="32"/>
    </row>
    <row r="521" spans="1:1" ht="12.75" customHeight="1" x14ac:dyDescent="0.2">
      <c r="A521" s="32"/>
    </row>
    <row r="522" spans="1:1" ht="12.75" customHeight="1" x14ac:dyDescent="0.2">
      <c r="A522" s="32"/>
    </row>
    <row r="523" spans="1:1" ht="12.75" customHeight="1" x14ac:dyDescent="0.2">
      <c r="A523" s="32"/>
    </row>
    <row r="524" spans="1:1" ht="12.75" customHeight="1" x14ac:dyDescent="0.2">
      <c r="A524" s="32"/>
    </row>
    <row r="525" spans="1:1" ht="12.75" customHeight="1" x14ac:dyDescent="0.2">
      <c r="A525" s="32"/>
    </row>
    <row r="526" spans="1:1" ht="12.75" customHeight="1" x14ac:dyDescent="0.2">
      <c r="A526" s="32"/>
    </row>
    <row r="527" spans="1:1" ht="12.75" customHeight="1" x14ac:dyDescent="0.2">
      <c r="A527" s="32"/>
    </row>
    <row r="528" spans="1:1" ht="12.75" customHeight="1" x14ac:dyDescent="0.2">
      <c r="A528" s="32"/>
    </row>
    <row r="529" spans="1:1" ht="12.75" customHeight="1" x14ac:dyDescent="0.2">
      <c r="A529" s="32"/>
    </row>
    <row r="530" spans="1:1" ht="12.75" customHeight="1" x14ac:dyDescent="0.2">
      <c r="A530" s="32"/>
    </row>
    <row r="531" spans="1:1" ht="12.75" customHeight="1" x14ac:dyDescent="0.2">
      <c r="A531" s="32"/>
    </row>
    <row r="532" spans="1:1" ht="12.75" customHeight="1" x14ac:dyDescent="0.2">
      <c r="A532" s="32"/>
    </row>
    <row r="533" spans="1:1" ht="12.75" customHeight="1" x14ac:dyDescent="0.2">
      <c r="A533" s="32"/>
    </row>
    <row r="534" spans="1:1" ht="12.75" customHeight="1" x14ac:dyDescent="0.2">
      <c r="A534" s="32"/>
    </row>
    <row r="535" spans="1:1" ht="12.75" customHeight="1" x14ac:dyDescent="0.2">
      <c r="A535" s="32"/>
    </row>
    <row r="536" spans="1:1" ht="12.75" customHeight="1" x14ac:dyDescent="0.2">
      <c r="A536" s="32"/>
    </row>
    <row r="537" spans="1:1" ht="12.75" customHeight="1" x14ac:dyDescent="0.2">
      <c r="A537" s="32"/>
    </row>
    <row r="538" spans="1:1" ht="12.75" customHeight="1" x14ac:dyDescent="0.2">
      <c r="A538" s="32"/>
    </row>
    <row r="539" spans="1:1" ht="12.75" customHeight="1" x14ac:dyDescent="0.2">
      <c r="A539" s="32"/>
    </row>
    <row r="540" spans="1:1" ht="12.75" customHeight="1" x14ac:dyDescent="0.2">
      <c r="A540" s="32"/>
    </row>
    <row r="541" spans="1:1" ht="12.75" customHeight="1" x14ac:dyDescent="0.2">
      <c r="A541" s="32"/>
    </row>
    <row r="542" spans="1:1" ht="12.75" customHeight="1" x14ac:dyDescent="0.2">
      <c r="A542" s="32"/>
    </row>
    <row r="543" spans="1:1" ht="12.75" customHeight="1" x14ac:dyDescent="0.2">
      <c r="A543" s="32"/>
    </row>
    <row r="544" spans="1:1" ht="12.75" customHeight="1" x14ac:dyDescent="0.2">
      <c r="A544" s="32"/>
    </row>
    <row r="545" spans="1:1" ht="12.75" customHeight="1" x14ac:dyDescent="0.2">
      <c r="A545" s="32"/>
    </row>
    <row r="546" spans="1:1" ht="12.75" customHeight="1" x14ac:dyDescent="0.2">
      <c r="A546" s="32"/>
    </row>
    <row r="547" spans="1:1" ht="12.75" customHeight="1" x14ac:dyDescent="0.2">
      <c r="A547" s="32"/>
    </row>
    <row r="548" spans="1:1" ht="12.75" customHeight="1" x14ac:dyDescent="0.2">
      <c r="A548" s="32"/>
    </row>
    <row r="549" spans="1:1" ht="12.75" customHeight="1" x14ac:dyDescent="0.2">
      <c r="A549" s="32"/>
    </row>
    <row r="550" spans="1:1" ht="12.75" customHeight="1" x14ac:dyDescent="0.2">
      <c r="A550" s="32"/>
    </row>
    <row r="551" spans="1:1" ht="12.75" customHeight="1" x14ac:dyDescent="0.2">
      <c r="A551" s="32"/>
    </row>
    <row r="552" spans="1:1" ht="12.75" customHeight="1" x14ac:dyDescent="0.2">
      <c r="A552" s="32"/>
    </row>
    <row r="553" spans="1:1" ht="12.75" customHeight="1" x14ac:dyDescent="0.2">
      <c r="A553" s="32"/>
    </row>
    <row r="554" spans="1:1" ht="12.75" customHeight="1" x14ac:dyDescent="0.2">
      <c r="A554" s="32"/>
    </row>
    <row r="555" spans="1:1" ht="12.75" customHeight="1" x14ac:dyDescent="0.2">
      <c r="A555" s="32"/>
    </row>
    <row r="556" spans="1:1" ht="12.75" customHeight="1" x14ac:dyDescent="0.2">
      <c r="A556" s="32"/>
    </row>
    <row r="557" spans="1:1" ht="12.75" customHeight="1" x14ac:dyDescent="0.2">
      <c r="A557" s="32"/>
    </row>
    <row r="558" spans="1:1" ht="12.75" customHeight="1" x14ac:dyDescent="0.2">
      <c r="A558" s="32"/>
    </row>
    <row r="559" spans="1:1" ht="12.75" customHeight="1" x14ac:dyDescent="0.2">
      <c r="A559" s="32"/>
    </row>
    <row r="560" spans="1:1" ht="12.75" customHeight="1" x14ac:dyDescent="0.2">
      <c r="A560" s="32"/>
    </row>
    <row r="561" spans="1:1" ht="12.75" customHeight="1" x14ac:dyDescent="0.2">
      <c r="A561" s="32"/>
    </row>
    <row r="562" spans="1:1" ht="12.75" customHeight="1" x14ac:dyDescent="0.2">
      <c r="A562" s="32"/>
    </row>
    <row r="563" spans="1:1" ht="12.75" customHeight="1" x14ac:dyDescent="0.2">
      <c r="A563" s="32"/>
    </row>
    <row r="564" spans="1:1" ht="12.75" customHeight="1" x14ac:dyDescent="0.2">
      <c r="A564" s="32"/>
    </row>
    <row r="565" spans="1:1" ht="12.75" customHeight="1" x14ac:dyDescent="0.2">
      <c r="A565" s="32"/>
    </row>
    <row r="566" spans="1:1" ht="12.75" customHeight="1" x14ac:dyDescent="0.2">
      <c r="A566" s="32"/>
    </row>
    <row r="567" spans="1:1" ht="12.75" customHeight="1" x14ac:dyDescent="0.2">
      <c r="A567" s="32"/>
    </row>
    <row r="568" spans="1:1" ht="12.75" customHeight="1" x14ac:dyDescent="0.2">
      <c r="A568" s="32"/>
    </row>
    <row r="569" spans="1:1" ht="12.75" customHeight="1" x14ac:dyDescent="0.2">
      <c r="A569" s="32"/>
    </row>
    <row r="570" spans="1:1" ht="12.75" customHeight="1" x14ac:dyDescent="0.2">
      <c r="A570" s="32"/>
    </row>
    <row r="571" spans="1:1" ht="12.75" customHeight="1" x14ac:dyDescent="0.2">
      <c r="A571" s="32"/>
    </row>
    <row r="572" spans="1:1" ht="12.75" customHeight="1" x14ac:dyDescent="0.2">
      <c r="A572" s="32"/>
    </row>
    <row r="573" spans="1:1" ht="12.75" customHeight="1" x14ac:dyDescent="0.2">
      <c r="A573" s="32"/>
    </row>
    <row r="574" spans="1:1" ht="12.75" customHeight="1" x14ac:dyDescent="0.2">
      <c r="A574" s="32"/>
    </row>
    <row r="575" spans="1:1" ht="12.75" customHeight="1" x14ac:dyDescent="0.2">
      <c r="A575" s="32"/>
    </row>
    <row r="576" spans="1:1" ht="12.75" customHeight="1" x14ac:dyDescent="0.2">
      <c r="A576" s="32"/>
    </row>
    <row r="577" spans="1:1" ht="12.75" customHeight="1" x14ac:dyDescent="0.2">
      <c r="A577" s="32"/>
    </row>
    <row r="578" spans="1:1" ht="12.75" customHeight="1" x14ac:dyDescent="0.2">
      <c r="A578" s="32"/>
    </row>
    <row r="579" spans="1:1" ht="12.75" customHeight="1" x14ac:dyDescent="0.2">
      <c r="A579" s="32"/>
    </row>
    <row r="580" spans="1:1" ht="12.75" customHeight="1" x14ac:dyDescent="0.2">
      <c r="A580" s="32"/>
    </row>
    <row r="581" spans="1:1" ht="12.75" customHeight="1" x14ac:dyDescent="0.2">
      <c r="A581" s="32"/>
    </row>
    <row r="582" spans="1:1" ht="12.75" customHeight="1" x14ac:dyDescent="0.2">
      <c r="A582" s="32"/>
    </row>
    <row r="583" spans="1:1" ht="12.75" customHeight="1" x14ac:dyDescent="0.2">
      <c r="A583" s="32"/>
    </row>
    <row r="584" spans="1:1" ht="12.75" customHeight="1" x14ac:dyDescent="0.2">
      <c r="A584" s="32"/>
    </row>
    <row r="585" spans="1:1" ht="12.75" customHeight="1" x14ac:dyDescent="0.2">
      <c r="A585" s="32"/>
    </row>
    <row r="586" spans="1:1" ht="12.75" customHeight="1" x14ac:dyDescent="0.2">
      <c r="A586" s="32"/>
    </row>
    <row r="587" spans="1:1" ht="12.75" customHeight="1" x14ac:dyDescent="0.2">
      <c r="A587" s="32"/>
    </row>
    <row r="588" spans="1:1" ht="12.75" customHeight="1" x14ac:dyDescent="0.2">
      <c r="A588" s="32"/>
    </row>
    <row r="589" spans="1:1" ht="12.75" customHeight="1" x14ac:dyDescent="0.2">
      <c r="A589" s="32"/>
    </row>
    <row r="590" spans="1:1" ht="12.75" customHeight="1" x14ac:dyDescent="0.2">
      <c r="A590" s="32"/>
    </row>
    <row r="591" spans="1:1" ht="12.75" customHeight="1" x14ac:dyDescent="0.2">
      <c r="A591" s="32"/>
    </row>
    <row r="592" spans="1:1" ht="12.75" customHeight="1" x14ac:dyDescent="0.2">
      <c r="A592" s="32"/>
    </row>
    <row r="593" spans="1:1" ht="12.75" customHeight="1" x14ac:dyDescent="0.2">
      <c r="A593" s="32"/>
    </row>
    <row r="594" spans="1:1" ht="12.75" customHeight="1" x14ac:dyDescent="0.2">
      <c r="A594" s="32"/>
    </row>
    <row r="595" spans="1:1" ht="12.75" customHeight="1" x14ac:dyDescent="0.2">
      <c r="A595" s="32"/>
    </row>
    <row r="596" spans="1:1" ht="12.75" customHeight="1" x14ac:dyDescent="0.2">
      <c r="A596" s="32"/>
    </row>
    <row r="597" spans="1:1" ht="12.75" customHeight="1" x14ac:dyDescent="0.2">
      <c r="A597" s="32"/>
    </row>
    <row r="598" spans="1:1" ht="12.75" customHeight="1" x14ac:dyDescent="0.2">
      <c r="A598" s="32"/>
    </row>
    <row r="599" spans="1:1" ht="12.75" customHeight="1" x14ac:dyDescent="0.2">
      <c r="A599" s="32"/>
    </row>
    <row r="600" spans="1:1" ht="12.75" customHeight="1" x14ac:dyDescent="0.2">
      <c r="A600" s="32"/>
    </row>
    <row r="601" spans="1:1" ht="12.75" customHeight="1" x14ac:dyDescent="0.2">
      <c r="A601" s="32"/>
    </row>
    <row r="602" spans="1:1" ht="12.75" customHeight="1" x14ac:dyDescent="0.2">
      <c r="A602" s="32"/>
    </row>
    <row r="603" spans="1:1" ht="12.75" customHeight="1" x14ac:dyDescent="0.2">
      <c r="A603" s="32"/>
    </row>
    <row r="604" spans="1:1" ht="12.75" customHeight="1" x14ac:dyDescent="0.2">
      <c r="A604" s="32"/>
    </row>
    <row r="605" spans="1:1" ht="12.75" customHeight="1" x14ac:dyDescent="0.2">
      <c r="A605" s="32"/>
    </row>
    <row r="606" spans="1:1" ht="12.75" customHeight="1" x14ac:dyDescent="0.2">
      <c r="A606" s="32"/>
    </row>
    <row r="607" spans="1:1" ht="12.75" customHeight="1" x14ac:dyDescent="0.2">
      <c r="A607" s="32"/>
    </row>
    <row r="608" spans="1:1" ht="12.75" customHeight="1" x14ac:dyDescent="0.2">
      <c r="A608" s="32"/>
    </row>
    <row r="609" spans="1:1" ht="12.75" customHeight="1" x14ac:dyDescent="0.2">
      <c r="A609" s="32"/>
    </row>
    <row r="610" spans="1:1" ht="12.75" customHeight="1" x14ac:dyDescent="0.2">
      <c r="A610" s="32"/>
    </row>
    <row r="611" spans="1:1" ht="12.75" customHeight="1" x14ac:dyDescent="0.2">
      <c r="A611" s="32"/>
    </row>
    <row r="612" spans="1:1" ht="12.75" customHeight="1" x14ac:dyDescent="0.2">
      <c r="A612" s="32"/>
    </row>
    <row r="613" spans="1:1" ht="12.75" customHeight="1" x14ac:dyDescent="0.2">
      <c r="A613" s="32"/>
    </row>
    <row r="614" spans="1:1" ht="12.75" customHeight="1" x14ac:dyDescent="0.2">
      <c r="A614" s="32"/>
    </row>
    <row r="615" spans="1:1" ht="12.75" customHeight="1" x14ac:dyDescent="0.2">
      <c r="A615" s="32"/>
    </row>
    <row r="616" spans="1:1" ht="12.75" customHeight="1" x14ac:dyDescent="0.2">
      <c r="A616" s="32"/>
    </row>
    <row r="617" spans="1:1" ht="12.75" customHeight="1" x14ac:dyDescent="0.2">
      <c r="A617" s="32"/>
    </row>
    <row r="618" spans="1:1" ht="12.75" customHeight="1" x14ac:dyDescent="0.2">
      <c r="A618" s="32"/>
    </row>
    <row r="619" spans="1:1" ht="12.75" customHeight="1" x14ac:dyDescent="0.2">
      <c r="A619" s="32"/>
    </row>
    <row r="620" spans="1:1" ht="12.75" customHeight="1" x14ac:dyDescent="0.2">
      <c r="A620" s="32"/>
    </row>
    <row r="621" spans="1:1" ht="12.75" customHeight="1" x14ac:dyDescent="0.2">
      <c r="A621" s="32"/>
    </row>
    <row r="622" spans="1:1" ht="12.75" customHeight="1" x14ac:dyDescent="0.2">
      <c r="A622" s="32"/>
    </row>
    <row r="623" spans="1:1" ht="12.75" customHeight="1" x14ac:dyDescent="0.2">
      <c r="A623" s="32"/>
    </row>
    <row r="624" spans="1:1" ht="12.75" customHeight="1" x14ac:dyDescent="0.2">
      <c r="A624" s="32"/>
    </row>
    <row r="625" spans="1:1" ht="12.75" customHeight="1" x14ac:dyDescent="0.2">
      <c r="A625" s="32"/>
    </row>
    <row r="626" spans="1:1" ht="12.75" customHeight="1" x14ac:dyDescent="0.2">
      <c r="A626" s="32"/>
    </row>
    <row r="627" spans="1:1" ht="12.75" customHeight="1" x14ac:dyDescent="0.2">
      <c r="A627" s="32"/>
    </row>
    <row r="628" spans="1:1" ht="12.75" customHeight="1" x14ac:dyDescent="0.2">
      <c r="A628" s="32"/>
    </row>
    <row r="629" spans="1:1" ht="12.75" customHeight="1" x14ac:dyDescent="0.2">
      <c r="A629" s="32"/>
    </row>
    <row r="630" spans="1:1" ht="12.75" customHeight="1" x14ac:dyDescent="0.2">
      <c r="A630" s="32"/>
    </row>
    <row r="631" spans="1:1" ht="12.75" customHeight="1" x14ac:dyDescent="0.2">
      <c r="A631" s="32"/>
    </row>
    <row r="632" spans="1:1" ht="12.75" customHeight="1" x14ac:dyDescent="0.2">
      <c r="A632" s="32"/>
    </row>
    <row r="633" spans="1:1" ht="12.75" customHeight="1" x14ac:dyDescent="0.2">
      <c r="A633" s="32"/>
    </row>
    <row r="634" spans="1:1" ht="12.75" customHeight="1" x14ac:dyDescent="0.2">
      <c r="A634" s="32"/>
    </row>
    <row r="635" spans="1:1" ht="12.75" customHeight="1" x14ac:dyDescent="0.2">
      <c r="A635" s="32"/>
    </row>
    <row r="636" spans="1:1" ht="12.75" customHeight="1" x14ac:dyDescent="0.2">
      <c r="A636" s="32"/>
    </row>
    <row r="637" spans="1:1" ht="12.75" customHeight="1" x14ac:dyDescent="0.2">
      <c r="A637" s="32"/>
    </row>
    <row r="638" spans="1:1" ht="12.75" customHeight="1" x14ac:dyDescent="0.2">
      <c r="A638" s="32"/>
    </row>
    <row r="639" spans="1:1" ht="12.75" customHeight="1" x14ac:dyDescent="0.2">
      <c r="A639" s="32"/>
    </row>
    <row r="640" spans="1:1" ht="12.75" customHeight="1" x14ac:dyDescent="0.2">
      <c r="A640" s="32"/>
    </row>
    <row r="641" spans="1:1" ht="12.75" customHeight="1" x14ac:dyDescent="0.2">
      <c r="A641" s="32"/>
    </row>
    <row r="642" spans="1:1" ht="12.75" customHeight="1" x14ac:dyDescent="0.2">
      <c r="A642" s="32"/>
    </row>
    <row r="643" spans="1:1" ht="12.75" customHeight="1" x14ac:dyDescent="0.2">
      <c r="A643" s="32"/>
    </row>
    <row r="644" spans="1:1" ht="12.75" customHeight="1" x14ac:dyDescent="0.2">
      <c r="A644" s="32"/>
    </row>
    <row r="645" spans="1:1" ht="12.75" customHeight="1" x14ac:dyDescent="0.2">
      <c r="A645" s="32"/>
    </row>
    <row r="646" spans="1:1" ht="12.75" customHeight="1" x14ac:dyDescent="0.2">
      <c r="A646" s="32"/>
    </row>
    <row r="647" spans="1:1" ht="12.75" customHeight="1" x14ac:dyDescent="0.2">
      <c r="A647" s="32"/>
    </row>
    <row r="648" spans="1:1" ht="12.75" customHeight="1" x14ac:dyDescent="0.2">
      <c r="A648" s="32"/>
    </row>
    <row r="649" spans="1:1" ht="12.75" customHeight="1" x14ac:dyDescent="0.2">
      <c r="A649" s="32"/>
    </row>
    <row r="650" spans="1:1" ht="12.75" customHeight="1" x14ac:dyDescent="0.2">
      <c r="A650" s="32"/>
    </row>
    <row r="651" spans="1:1" ht="12.75" customHeight="1" x14ac:dyDescent="0.2">
      <c r="A651" s="32"/>
    </row>
    <row r="652" spans="1:1" ht="12.75" customHeight="1" x14ac:dyDescent="0.2">
      <c r="A652" s="32"/>
    </row>
    <row r="653" spans="1:1" ht="12.75" customHeight="1" x14ac:dyDescent="0.2">
      <c r="A653" s="32"/>
    </row>
    <row r="654" spans="1:1" ht="12.75" customHeight="1" x14ac:dyDescent="0.2">
      <c r="A654" s="32"/>
    </row>
    <row r="655" spans="1:1" ht="12.75" customHeight="1" x14ac:dyDescent="0.2">
      <c r="A655" s="32"/>
    </row>
    <row r="656" spans="1:1" ht="12.75" customHeight="1" x14ac:dyDescent="0.2">
      <c r="A656" s="32"/>
    </row>
    <row r="657" spans="1:1" ht="12.75" customHeight="1" x14ac:dyDescent="0.2">
      <c r="A657" s="32"/>
    </row>
    <row r="658" spans="1:1" ht="12.75" customHeight="1" x14ac:dyDescent="0.2">
      <c r="A658" s="32"/>
    </row>
    <row r="659" spans="1:1" ht="12.75" customHeight="1" x14ac:dyDescent="0.2">
      <c r="A659" s="32"/>
    </row>
    <row r="660" spans="1:1" ht="12.75" customHeight="1" x14ac:dyDescent="0.2">
      <c r="A660" s="32"/>
    </row>
    <row r="661" spans="1:1" ht="12.75" customHeight="1" x14ac:dyDescent="0.2">
      <c r="A661" s="32"/>
    </row>
    <row r="662" spans="1:1" ht="12.75" customHeight="1" x14ac:dyDescent="0.2">
      <c r="A662" s="32"/>
    </row>
    <row r="663" spans="1:1" ht="12.75" customHeight="1" x14ac:dyDescent="0.2">
      <c r="A663" s="32"/>
    </row>
    <row r="664" spans="1:1" ht="12.75" customHeight="1" x14ac:dyDescent="0.2">
      <c r="A664" s="32"/>
    </row>
    <row r="665" spans="1:1" ht="12.75" customHeight="1" x14ac:dyDescent="0.2">
      <c r="A665" s="32"/>
    </row>
    <row r="666" spans="1:1" ht="12.75" customHeight="1" x14ac:dyDescent="0.2">
      <c r="A666" s="32"/>
    </row>
    <row r="667" spans="1:1" ht="12.75" customHeight="1" x14ac:dyDescent="0.2">
      <c r="A667" s="32"/>
    </row>
    <row r="668" spans="1:1" ht="12.75" customHeight="1" x14ac:dyDescent="0.2">
      <c r="A668" s="32"/>
    </row>
    <row r="669" spans="1:1" ht="12.75" customHeight="1" x14ac:dyDescent="0.2">
      <c r="A669" s="32"/>
    </row>
    <row r="670" spans="1:1" ht="12.75" customHeight="1" x14ac:dyDescent="0.2">
      <c r="A670" s="32"/>
    </row>
    <row r="671" spans="1:1" ht="12.75" customHeight="1" x14ac:dyDescent="0.2">
      <c r="A671" s="32"/>
    </row>
    <row r="672" spans="1:1" ht="12.75" customHeight="1" x14ac:dyDescent="0.2">
      <c r="A672" s="32"/>
    </row>
    <row r="673" spans="1:1" ht="12.75" customHeight="1" x14ac:dyDescent="0.2">
      <c r="A673" s="32"/>
    </row>
    <row r="674" spans="1:1" ht="12.75" customHeight="1" x14ac:dyDescent="0.2">
      <c r="A674" s="32"/>
    </row>
    <row r="675" spans="1:1" ht="12.75" customHeight="1" x14ac:dyDescent="0.2">
      <c r="A675" s="32"/>
    </row>
    <row r="676" spans="1:1" ht="12.75" customHeight="1" x14ac:dyDescent="0.2">
      <c r="A676" s="32"/>
    </row>
    <row r="677" spans="1:1" ht="12.75" customHeight="1" x14ac:dyDescent="0.2">
      <c r="A677" s="32"/>
    </row>
    <row r="678" spans="1:1" ht="12.75" customHeight="1" x14ac:dyDescent="0.2">
      <c r="A678" s="32"/>
    </row>
    <row r="679" spans="1:1" ht="12.75" customHeight="1" x14ac:dyDescent="0.2">
      <c r="A679" s="32"/>
    </row>
    <row r="680" spans="1:1" ht="12.75" customHeight="1" x14ac:dyDescent="0.2">
      <c r="A680" s="32"/>
    </row>
    <row r="681" spans="1:1" ht="12.75" customHeight="1" x14ac:dyDescent="0.2">
      <c r="A681" s="32"/>
    </row>
    <row r="682" spans="1:1" ht="12.75" customHeight="1" x14ac:dyDescent="0.2">
      <c r="A682" s="32"/>
    </row>
    <row r="683" spans="1:1" ht="12.75" customHeight="1" x14ac:dyDescent="0.2">
      <c r="A683" s="32"/>
    </row>
    <row r="684" spans="1:1" ht="12.75" customHeight="1" x14ac:dyDescent="0.2">
      <c r="A684" s="32"/>
    </row>
    <row r="685" spans="1:1" ht="12.75" customHeight="1" x14ac:dyDescent="0.2">
      <c r="A685" s="32"/>
    </row>
    <row r="686" spans="1:1" ht="12.75" customHeight="1" x14ac:dyDescent="0.2">
      <c r="A686" s="32"/>
    </row>
    <row r="687" spans="1:1" ht="12.75" customHeight="1" x14ac:dyDescent="0.2">
      <c r="A687" s="32"/>
    </row>
    <row r="688" spans="1:1" ht="12.75" customHeight="1" x14ac:dyDescent="0.2">
      <c r="A688" s="32"/>
    </row>
    <row r="689" spans="1:1" ht="12.75" customHeight="1" x14ac:dyDescent="0.2">
      <c r="A689" s="32"/>
    </row>
    <row r="690" spans="1:1" ht="12.75" customHeight="1" x14ac:dyDescent="0.2">
      <c r="A690" s="32"/>
    </row>
    <row r="691" spans="1:1" ht="12.75" customHeight="1" x14ac:dyDescent="0.2">
      <c r="A691" s="32"/>
    </row>
    <row r="692" spans="1:1" ht="12.75" customHeight="1" x14ac:dyDescent="0.2">
      <c r="A692" s="32"/>
    </row>
    <row r="693" spans="1:1" ht="12.75" customHeight="1" x14ac:dyDescent="0.2">
      <c r="A693" s="32"/>
    </row>
    <row r="694" spans="1:1" ht="12.75" customHeight="1" x14ac:dyDescent="0.2">
      <c r="A694" s="32"/>
    </row>
    <row r="695" spans="1:1" ht="12.75" customHeight="1" x14ac:dyDescent="0.2">
      <c r="A695" s="32"/>
    </row>
    <row r="696" spans="1:1" ht="12.75" customHeight="1" x14ac:dyDescent="0.2">
      <c r="A696" s="32"/>
    </row>
    <row r="697" spans="1:1" ht="12.75" customHeight="1" x14ac:dyDescent="0.2">
      <c r="A697" s="32"/>
    </row>
    <row r="698" spans="1:1" ht="12.75" customHeight="1" x14ac:dyDescent="0.2">
      <c r="A698" s="32"/>
    </row>
    <row r="699" spans="1:1" ht="12.75" customHeight="1" x14ac:dyDescent="0.2">
      <c r="A699" s="32"/>
    </row>
    <row r="700" spans="1:1" ht="12.75" customHeight="1" x14ac:dyDescent="0.2">
      <c r="A700" s="32"/>
    </row>
    <row r="701" spans="1:1" ht="12.75" customHeight="1" x14ac:dyDescent="0.2">
      <c r="A701" s="32"/>
    </row>
    <row r="702" spans="1:1" ht="12.75" customHeight="1" x14ac:dyDescent="0.2">
      <c r="A702" s="32"/>
    </row>
    <row r="703" spans="1:1" ht="12.75" customHeight="1" x14ac:dyDescent="0.2">
      <c r="A703" s="32"/>
    </row>
    <row r="704" spans="1:1" ht="12.75" customHeight="1" x14ac:dyDescent="0.2">
      <c r="A704" s="32"/>
    </row>
    <row r="705" spans="1:1" ht="12.75" customHeight="1" x14ac:dyDescent="0.2">
      <c r="A705" s="32"/>
    </row>
    <row r="706" spans="1:1" ht="12.75" customHeight="1" x14ac:dyDescent="0.2">
      <c r="A706" s="32"/>
    </row>
    <row r="707" spans="1:1" ht="12.75" customHeight="1" x14ac:dyDescent="0.2">
      <c r="A707" s="32"/>
    </row>
    <row r="708" spans="1:1" ht="12.75" customHeight="1" x14ac:dyDescent="0.2">
      <c r="A708" s="32"/>
    </row>
    <row r="709" spans="1:1" ht="12.75" customHeight="1" x14ac:dyDescent="0.2">
      <c r="A709" s="32"/>
    </row>
    <row r="710" spans="1:1" ht="12.75" customHeight="1" x14ac:dyDescent="0.2">
      <c r="A710" s="32"/>
    </row>
    <row r="711" spans="1:1" ht="12.75" customHeight="1" x14ac:dyDescent="0.2">
      <c r="A711" s="32"/>
    </row>
    <row r="712" spans="1:1" ht="12.75" customHeight="1" x14ac:dyDescent="0.2">
      <c r="A712" s="32"/>
    </row>
    <row r="713" spans="1:1" ht="12.75" customHeight="1" x14ac:dyDescent="0.2">
      <c r="A713" s="32"/>
    </row>
    <row r="714" spans="1:1" ht="12.75" customHeight="1" x14ac:dyDescent="0.2">
      <c r="A714" s="32"/>
    </row>
    <row r="715" spans="1:1" ht="12.75" customHeight="1" x14ac:dyDescent="0.2">
      <c r="A715" s="32"/>
    </row>
    <row r="716" spans="1:1" ht="12.75" customHeight="1" x14ac:dyDescent="0.2">
      <c r="A716" s="32"/>
    </row>
    <row r="717" spans="1:1" ht="12.75" customHeight="1" x14ac:dyDescent="0.2">
      <c r="A717" s="32"/>
    </row>
    <row r="718" spans="1:1" ht="12.75" customHeight="1" x14ac:dyDescent="0.2">
      <c r="A718" s="32"/>
    </row>
    <row r="719" spans="1:1" ht="12.75" customHeight="1" x14ac:dyDescent="0.2">
      <c r="A719" s="32"/>
    </row>
    <row r="720" spans="1:1" ht="12.75" customHeight="1" x14ac:dyDescent="0.2">
      <c r="A720" s="32"/>
    </row>
    <row r="721" spans="1:1" ht="12.75" customHeight="1" x14ac:dyDescent="0.2">
      <c r="A721" s="32"/>
    </row>
    <row r="722" spans="1:1" ht="12.75" customHeight="1" x14ac:dyDescent="0.2">
      <c r="A722" s="32"/>
    </row>
    <row r="723" spans="1:1" ht="12.75" customHeight="1" x14ac:dyDescent="0.2">
      <c r="A723" s="32"/>
    </row>
    <row r="724" spans="1:1" ht="12.75" customHeight="1" x14ac:dyDescent="0.2">
      <c r="A724" s="32"/>
    </row>
    <row r="725" spans="1:1" ht="12.75" customHeight="1" x14ac:dyDescent="0.2">
      <c r="A725" s="32"/>
    </row>
    <row r="726" spans="1:1" ht="12.75" customHeight="1" x14ac:dyDescent="0.2">
      <c r="A726" s="32"/>
    </row>
    <row r="727" spans="1:1" ht="12.75" customHeight="1" x14ac:dyDescent="0.2">
      <c r="A727" s="32"/>
    </row>
    <row r="728" spans="1:1" ht="12.75" customHeight="1" x14ac:dyDescent="0.2">
      <c r="A728" s="32"/>
    </row>
    <row r="729" spans="1:1" ht="12.75" customHeight="1" x14ac:dyDescent="0.2">
      <c r="A729" s="32"/>
    </row>
    <row r="730" spans="1:1" ht="12.75" customHeight="1" x14ac:dyDescent="0.2">
      <c r="A730" s="32"/>
    </row>
    <row r="731" spans="1:1" ht="12.75" customHeight="1" x14ac:dyDescent="0.2">
      <c r="A731" s="32"/>
    </row>
    <row r="732" spans="1:1" ht="12.75" customHeight="1" x14ac:dyDescent="0.2">
      <c r="A732" s="32"/>
    </row>
    <row r="733" spans="1:1" ht="12.75" customHeight="1" x14ac:dyDescent="0.2">
      <c r="A733" s="32"/>
    </row>
    <row r="734" spans="1:1" ht="12.75" customHeight="1" x14ac:dyDescent="0.2">
      <c r="A734" s="32"/>
    </row>
    <row r="735" spans="1:1" ht="12.75" customHeight="1" x14ac:dyDescent="0.2">
      <c r="A735" s="32"/>
    </row>
    <row r="736" spans="1:1" ht="12.75" customHeight="1" x14ac:dyDescent="0.2">
      <c r="A736" s="32"/>
    </row>
    <row r="737" spans="1:1" ht="12.75" customHeight="1" x14ac:dyDescent="0.2">
      <c r="A737" s="32"/>
    </row>
    <row r="738" spans="1:1" ht="12.75" customHeight="1" x14ac:dyDescent="0.2">
      <c r="A738" s="32"/>
    </row>
    <row r="739" spans="1:1" ht="12.75" customHeight="1" x14ac:dyDescent="0.2">
      <c r="A739" s="32"/>
    </row>
    <row r="740" spans="1:1" ht="12.75" customHeight="1" x14ac:dyDescent="0.2">
      <c r="A740" s="32"/>
    </row>
    <row r="741" spans="1:1" ht="12.75" customHeight="1" x14ac:dyDescent="0.2">
      <c r="A741" s="32"/>
    </row>
    <row r="742" spans="1:1" ht="12.75" customHeight="1" x14ac:dyDescent="0.2">
      <c r="A742" s="32"/>
    </row>
    <row r="743" spans="1:1" ht="12.75" customHeight="1" x14ac:dyDescent="0.2">
      <c r="A743" s="32"/>
    </row>
    <row r="744" spans="1:1" ht="12.75" customHeight="1" x14ac:dyDescent="0.2">
      <c r="A744" s="32"/>
    </row>
    <row r="745" spans="1:1" ht="12.75" customHeight="1" x14ac:dyDescent="0.2">
      <c r="A745" s="32"/>
    </row>
    <row r="746" spans="1:1" ht="12.75" customHeight="1" x14ac:dyDescent="0.2">
      <c r="A746" s="32"/>
    </row>
    <row r="747" spans="1:1" ht="12.75" customHeight="1" x14ac:dyDescent="0.2">
      <c r="A747" s="32"/>
    </row>
    <row r="748" spans="1:1" ht="12.75" customHeight="1" x14ac:dyDescent="0.2">
      <c r="A748" s="32"/>
    </row>
    <row r="749" spans="1:1" ht="12.75" customHeight="1" x14ac:dyDescent="0.2">
      <c r="A749" s="32"/>
    </row>
    <row r="750" spans="1:1" ht="12.75" customHeight="1" x14ac:dyDescent="0.2">
      <c r="A750" s="32"/>
    </row>
    <row r="751" spans="1:1" ht="12.75" customHeight="1" x14ac:dyDescent="0.2">
      <c r="A751" s="32"/>
    </row>
    <row r="752" spans="1:1" ht="12.75" customHeight="1" x14ac:dyDescent="0.2">
      <c r="A752" s="32"/>
    </row>
    <row r="753" spans="1:1" ht="12.75" customHeight="1" x14ac:dyDescent="0.2">
      <c r="A753" s="32"/>
    </row>
    <row r="754" spans="1:1" ht="12.75" customHeight="1" x14ac:dyDescent="0.2">
      <c r="A754" s="32"/>
    </row>
    <row r="755" spans="1:1" ht="12.75" customHeight="1" x14ac:dyDescent="0.2">
      <c r="A755" s="32"/>
    </row>
    <row r="756" spans="1:1" ht="12.75" customHeight="1" x14ac:dyDescent="0.2">
      <c r="A756" s="32"/>
    </row>
    <row r="757" spans="1:1" ht="12.75" customHeight="1" x14ac:dyDescent="0.2">
      <c r="A757" s="32"/>
    </row>
    <row r="758" spans="1:1" ht="12.75" customHeight="1" x14ac:dyDescent="0.2">
      <c r="A758" s="32"/>
    </row>
    <row r="759" spans="1:1" ht="12.75" customHeight="1" x14ac:dyDescent="0.2">
      <c r="A759" s="32"/>
    </row>
    <row r="760" spans="1:1" ht="12.75" customHeight="1" x14ac:dyDescent="0.2">
      <c r="A760" s="32"/>
    </row>
    <row r="761" spans="1:1" ht="12.75" customHeight="1" x14ac:dyDescent="0.2">
      <c r="A761" s="32"/>
    </row>
    <row r="762" spans="1:1" ht="12.75" customHeight="1" x14ac:dyDescent="0.2">
      <c r="A762" s="32"/>
    </row>
    <row r="763" spans="1:1" ht="12.75" customHeight="1" x14ac:dyDescent="0.2">
      <c r="A763" s="32"/>
    </row>
    <row r="764" spans="1:1" ht="12.75" customHeight="1" x14ac:dyDescent="0.2">
      <c r="A764" s="32"/>
    </row>
    <row r="765" spans="1:1" ht="12.75" customHeight="1" x14ac:dyDescent="0.2">
      <c r="A765" s="32"/>
    </row>
    <row r="766" spans="1:1" ht="12.75" customHeight="1" x14ac:dyDescent="0.2">
      <c r="A766" s="32"/>
    </row>
    <row r="767" spans="1:1" ht="12.75" customHeight="1" x14ac:dyDescent="0.2">
      <c r="A767" s="32"/>
    </row>
    <row r="768" spans="1:1" ht="12.75" customHeight="1" x14ac:dyDescent="0.2">
      <c r="A768" s="32"/>
    </row>
    <row r="769" spans="1:1" ht="12.75" customHeight="1" x14ac:dyDescent="0.2">
      <c r="A769" s="32"/>
    </row>
    <row r="770" spans="1:1" ht="12.75" customHeight="1" x14ac:dyDescent="0.2">
      <c r="A770" s="32"/>
    </row>
    <row r="771" spans="1:1" ht="12.75" customHeight="1" x14ac:dyDescent="0.2">
      <c r="A771" s="32"/>
    </row>
    <row r="772" spans="1:1" ht="12.75" customHeight="1" x14ac:dyDescent="0.2">
      <c r="A772" s="32"/>
    </row>
    <row r="773" spans="1:1" ht="12.75" customHeight="1" x14ac:dyDescent="0.2">
      <c r="A773" s="32"/>
    </row>
    <row r="774" spans="1:1" ht="12.75" customHeight="1" x14ac:dyDescent="0.2">
      <c r="A774" s="32"/>
    </row>
    <row r="775" spans="1:1" ht="12.75" customHeight="1" x14ac:dyDescent="0.2">
      <c r="A775" s="32"/>
    </row>
    <row r="776" spans="1:1" ht="12.75" customHeight="1" x14ac:dyDescent="0.2">
      <c r="A776" s="32"/>
    </row>
    <row r="777" spans="1:1" ht="12.75" customHeight="1" x14ac:dyDescent="0.2">
      <c r="A777" s="32"/>
    </row>
    <row r="778" spans="1:1" ht="12.75" customHeight="1" x14ac:dyDescent="0.2">
      <c r="A778" s="32"/>
    </row>
    <row r="779" spans="1:1" ht="12.75" customHeight="1" x14ac:dyDescent="0.2">
      <c r="A779" s="32"/>
    </row>
    <row r="780" spans="1:1" ht="12.75" customHeight="1" x14ac:dyDescent="0.2">
      <c r="A780" s="32"/>
    </row>
    <row r="781" spans="1:1" ht="12.75" customHeight="1" x14ac:dyDescent="0.2">
      <c r="A781" s="32"/>
    </row>
    <row r="782" spans="1:1" ht="12.75" customHeight="1" x14ac:dyDescent="0.2">
      <c r="A782" s="32"/>
    </row>
    <row r="783" spans="1:1" ht="12.75" customHeight="1" x14ac:dyDescent="0.2">
      <c r="A783" s="32"/>
    </row>
    <row r="784" spans="1:1" ht="12.75" customHeight="1" x14ac:dyDescent="0.2">
      <c r="A784" s="32"/>
    </row>
    <row r="785" spans="1:1" ht="12.75" customHeight="1" x14ac:dyDescent="0.2">
      <c r="A785" s="32"/>
    </row>
    <row r="786" spans="1:1" ht="12.75" customHeight="1" x14ac:dyDescent="0.2">
      <c r="A786" s="32"/>
    </row>
    <row r="787" spans="1:1" ht="12.75" customHeight="1" x14ac:dyDescent="0.2">
      <c r="A787" s="32"/>
    </row>
    <row r="788" spans="1:1" ht="12.75" customHeight="1" x14ac:dyDescent="0.2">
      <c r="A788" s="32"/>
    </row>
    <row r="789" spans="1:1" ht="12.75" customHeight="1" x14ac:dyDescent="0.2">
      <c r="A789" s="32"/>
    </row>
    <row r="790" spans="1:1" ht="12.75" customHeight="1" x14ac:dyDescent="0.2">
      <c r="A790" s="32"/>
    </row>
    <row r="791" spans="1:1" ht="12.75" customHeight="1" x14ac:dyDescent="0.2">
      <c r="A791" s="32"/>
    </row>
    <row r="792" spans="1:1" ht="12.75" customHeight="1" x14ac:dyDescent="0.2">
      <c r="A792" s="32"/>
    </row>
    <row r="793" spans="1:1" ht="12.75" customHeight="1" x14ac:dyDescent="0.2">
      <c r="A793" s="32"/>
    </row>
    <row r="794" spans="1:1" ht="12.75" customHeight="1" x14ac:dyDescent="0.2">
      <c r="A794" s="32"/>
    </row>
    <row r="795" spans="1:1" ht="12.75" customHeight="1" x14ac:dyDescent="0.2">
      <c r="A795" s="32"/>
    </row>
    <row r="796" spans="1:1" ht="12.75" customHeight="1" x14ac:dyDescent="0.2">
      <c r="A796" s="32"/>
    </row>
    <row r="797" spans="1:1" ht="12.75" customHeight="1" x14ac:dyDescent="0.2">
      <c r="A797" s="32"/>
    </row>
    <row r="798" spans="1:1" ht="12.75" customHeight="1" x14ac:dyDescent="0.2">
      <c r="A798" s="32"/>
    </row>
    <row r="799" spans="1:1" ht="12.75" customHeight="1" x14ac:dyDescent="0.2">
      <c r="A799" s="32"/>
    </row>
    <row r="800" spans="1:1" ht="12.75" customHeight="1" x14ac:dyDescent="0.2">
      <c r="A800" s="32"/>
    </row>
    <row r="801" spans="1:1" ht="12.75" customHeight="1" x14ac:dyDescent="0.2">
      <c r="A801" s="32"/>
    </row>
    <row r="802" spans="1:1" ht="12.75" customHeight="1" x14ac:dyDescent="0.2">
      <c r="A802" s="32"/>
    </row>
    <row r="803" spans="1:1" ht="12.75" customHeight="1" x14ac:dyDescent="0.2">
      <c r="A803" s="32"/>
    </row>
    <row r="804" spans="1:1" ht="12.75" customHeight="1" x14ac:dyDescent="0.2">
      <c r="A804" s="32"/>
    </row>
    <row r="805" spans="1:1" ht="12.75" customHeight="1" x14ac:dyDescent="0.2">
      <c r="A805" s="32"/>
    </row>
    <row r="806" spans="1:1" ht="12.75" customHeight="1" x14ac:dyDescent="0.2">
      <c r="A806" s="32"/>
    </row>
    <row r="807" spans="1:1" ht="12.75" customHeight="1" x14ac:dyDescent="0.2">
      <c r="A807" s="32"/>
    </row>
    <row r="808" spans="1:1" ht="12.75" customHeight="1" x14ac:dyDescent="0.2">
      <c r="A808" s="32"/>
    </row>
    <row r="809" spans="1:1" ht="12.75" customHeight="1" x14ac:dyDescent="0.2">
      <c r="A809" s="32"/>
    </row>
    <row r="810" spans="1:1" ht="12.75" customHeight="1" x14ac:dyDescent="0.2">
      <c r="A810" s="32"/>
    </row>
    <row r="811" spans="1:1" ht="12.75" customHeight="1" x14ac:dyDescent="0.2">
      <c r="A811" s="32"/>
    </row>
    <row r="812" spans="1:1" ht="12.75" customHeight="1" x14ac:dyDescent="0.2">
      <c r="A812" s="32"/>
    </row>
    <row r="813" spans="1:1" ht="12.75" customHeight="1" x14ac:dyDescent="0.2">
      <c r="A813" s="32"/>
    </row>
    <row r="814" spans="1:1" ht="12.75" customHeight="1" x14ac:dyDescent="0.2">
      <c r="A814" s="32"/>
    </row>
    <row r="815" spans="1:1" ht="12.75" customHeight="1" x14ac:dyDescent="0.2">
      <c r="A815" s="32"/>
    </row>
    <row r="816" spans="1:1" ht="12.75" customHeight="1" x14ac:dyDescent="0.2">
      <c r="A816" s="32"/>
    </row>
    <row r="817" spans="1:1" ht="12.75" customHeight="1" x14ac:dyDescent="0.2">
      <c r="A817" s="32"/>
    </row>
    <row r="818" spans="1:1" ht="12.75" customHeight="1" x14ac:dyDescent="0.2">
      <c r="A818" s="32"/>
    </row>
    <row r="819" spans="1:1" ht="12.75" customHeight="1" x14ac:dyDescent="0.2">
      <c r="A819" s="32"/>
    </row>
    <row r="820" spans="1:1" ht="12.75" customHeight="1" x14ac:dyDescent="0.2">
      <c r="A820" s="32"/>
    </row>
    <row r="821" spans="1:1" ht="12.75" customHeight="1" x14ac:dyDescent="0.2">
      <c r="A821" s="32"/>
    </row>
    <row r="822" spans="1:1" ht="12.75" customHeight="1" x14ac:dyDescent="0.2">
      <c r="A822" s="32"/>
    </row>
    <row r="823" spans="1:1" ht="12.75" customHeight="1" x14ac:dyDescent="0.2">
      <c r="A823" s="32"/>
    </row>
    <row r="824" spans="1:1" ht="12.75" customHeight="1" x14ac:dyDescent="0.2">
      <c r="A824" s="32"/>
    </row>
    <row r="825" spans="1:1" ht="12.75" customHeight="1" x14ac:dyDescent="0.2">
      <c r="A825" s="32"/>
    </row>
    <row r="826" spans="1:1" ht="12.75" customHeight="1" x14ac:dyDescent="0.2">
      <c r="A826" s="32"/>
    </row>
    <row r="827" spans="1:1" ht="12.75" customHeight="1" x14ac:dyDescent="0.2">
      <c r="A827" s="32"/>
    </row>
    <row r="828" spans="1:1" ht="12.75" customHeight="1" x14ac:dyDescent="0.2">
      <c r="A828" s="32"/>
    </row>
    <row r="829" spans="1:1" ht="12.75" customHeight="1" x14ac:dyDescent="0.2">
      <c r="A829" s="32"/>
    </row>
    <row r="830" spans="1:1" ht="12.75" customHeight="1" x14ac:dyDescent="0.2">
      <c r="A830" s="32"/>
    </row>
    <row r="831" spans="1:1" ht="12.75" customHeight="1" x14ac:dyDescent="0.2">
      <c r="A831" s="32"/>
    </row>
    <row r="832" spans="1:1" ht="12.75" customHeight="1" x14ac:dyDescent="0.2">
      <c r="A832" s="32"/>
    </row>
    <row r="833" spans="1:1" ht="12.75" customHeight="1" x14ac:dyDescent="0.2">
      <c r="A833" s="32"/>
    </row>
    <row r="834" spans="1:1" ht="12.75" customHeight="1" x14ac:dyDescent="0.2">
      <c r="A834" s="32"/>
    </row>
    <row r="835" spans="1:1" ht="12.75" customHeight="1" x14ac:dyDescent="0.2">
      <c r="A835" s="32"/>
    </row>
    <row r="836" spans="1:1" ht="12.75" customHeight="1" x14ac:dyDescent="0.2">
      <c r="A836" s="32"/>
    </row>
    <row r="837" spans="1:1" ht="12.75" customHeight="1" x14ac:dyDescent="0.2">
      <c r="A837" s="32"/>
    </row>
    <row r="838" spans="1:1" ht="12.75" customHeight="1" x14ac:dyDescent="0.2">
      <c r="A838" s="32"/>
    </row>
    <row r="839" spans="1:1" ht="12.75" customHeight="1" x14ac:dyDescent="0.2">
      <c r="A839" s="32"/>
    </row>
    <row r="840" spans="1:1" ht="12.75" customHeight="1" x14ac:dyDescent="0.2">
      <c r="A840" s="32"/>
    </row>
    <row r="841" spans="1:1" ht="12.75" customHeight="1" x14ac:dyDescent="0.2">
      <c r="A841" s="32"/>
    </row>
    <row r="842" spans="1:1" ht="12.75" customHeight="1" x14ac:dyDescent="0.2">
      <c r="A842" s="32"/>
    </row>
    <row r="843" spans="1:1" ht="12.75" customHeight="1" x14ac:dyDescent="0.2">
      <c r="A843" s="32"/>
    </row>
    <row r="844" spans="1:1" ht="12.75" customHeight="1" x14ac:dyDescent="0.2">
      <c r="A844" s="32"/>
    </row>
    <row r="845" spans="1:1" ht="12.75" customHeight="1" x14ac:dyDescent="0.2">
      <c r="A845" s="32"/>
    </row>
    <row r="846" spans="1:1" ht="12.75" customHeight="1" x14ac:dyDescent="0.2">
      <c r="A846" s="32"/>
    </row>
    <row r="847" spans="1:1" ht="12.75" customHeight="1" x14ac:dyDescent="0.2">
      <c r="A847" s="32"/>
    </row>
    <row r="848" spans="1:1" ht="12.75" customHeight="1" x14ac:dyDescent="0.2">
      <c r="A848" s="32"/>
    </row>
    <row r="849" spans="1:1" ht="12.75" customHeight="1" x14ac:dyDescent="0.2">
      <c r="A849" s="32"/>
    </row>
    <row r="850" spans="1:1" ht="12.75" customHeight="1" x14ac:dyDescent="0.2">
      <c r="A850" s="32"/>
    </row>
    <row r="851" spans="1:1" ht="12.75" customHeight="1" x14ac:dyDescent="0.2">
      <c r="A851" s="32"/>
    </row>
    <row r="852" spans="1:1" ht="12.75" customHeight="1" x14ac:dyDescent="0.2">
      <c r="A852" s="32"/>
    </row>
    <row r="853" spans="1:1" ht="12.75" customHeight="1" x14ac:dyDescent="0.2">
      <c r="A853" s="32"/>
    </row>
    <row r="854" spans="1:1" ht="12.75" customHeight="1" x14ac:dyDescent="0.2">
      <c r="A854" s="32"/>
    </row>
    <row r="855" spans="1:1" ht="12.75" customHeight="1" x14ac:dyDescent="0.2">
      <c r="A855" s="32"/>
    </row>
    <row r="856" spans="1:1" ht="12.75" customHeight="1" x14ac:dyDescent="0.2">
      <c r="A856" s="32"/>
    </row>
    <row r="857" spans="1:1" ht="12.75" customHeight="1" x14ac:dyDescent="0.2">
      <c r="A857" s="32"/>
    </row>
    <row r="858" spans="1:1" ht="12.75" customHeight="1" x14ac:dyDescent="0.2">
      <c r="A858" s="32"/>
    </row>
    <row r="859" spans="1:1" ht="12.75" customHeight="1" x14ac:dyDescent="0.2">
      <c r="A859" s="32"/>
    </row>
    <row r="860" spans="1:1" ht="12.75" customHeight="1" x14ac:dyDescent="0.2">
      <c r="A860" s="32"/>
    </row>
    <row r="861" spans="1:1" ht="12.75" customHeight="1" x14ac:dyDescent="0.2">
      <c r="A861" s="32"/>
    </row>
    <row r="862" spans="1:1" ht="12.75" customHeight="1" x14ac:dyDescent="0.2">
      <c r="A862" s="32"/>
    </row>
    <row r="863" spans="1:1" ht="12.75" customHeight="1" x14ac:dyDescent="0.2">
      <c r="A863" s="32"/>
    </row>
    <row r="864" spans="1:1" ht="12.75" customHeight="1" x14ac:dyDescent="0.2">
      <c r="A864" s="32"/>
    </row>
    <row r="865" spans="1:1" ht="12.75" customHeight="1" x14ac:dyDescent="0.2">
      <c r="A865" s="32"/>
    </row>
    <row r="866" spans="1:1" ht="12.75" customHeight="1" x14ac:dyDescent="0.2">
      <c r="A866" s="32"/>
    </row>
    <row r="867" spans="1:1" ht="12.75" customHeight="1" x14ac:dyDescent="0.2">
      <c r="A867" s="32"/>
    </row>
    <row r="868" spans="1:1" ht="12.75" customHeight="1" x14ac:dyDescent="0.2">
      <c r="A868" s="32"/>
    </row>
    <row r="869" spans="1:1" ht="12.75" customHeight="1" x14ac:dyDescent="0.2">
      <c r="A869" s="32"/>
    </row>
    <row r="870" spans="1:1" ht="12.75" customHeight="1" x14ac:dyDescent="0.2">
      <c r="A870" s="32"/>
    </row>
    <row r="871" spans="1:1" ht="12.75" customHeight="1" x14ac:dyDescent="0.2">
      <c r="A871" s="32"/>
    </row>
    <row r="872" spans="1:1" ht="12.75" customHeight="1" x14ac:dyDescent="0.2">
      <c r="A872" s="32"/>
    </row>
    <row r="873" spans="1:1" ht="12.75" customHeight="1" x14ac:dyDescent="0.2">
      <c r="A873" s="32"/>
    </row>
    <row r="874" spans="1:1" ht="12.75" customHeight="1" x14ac:dyDescent="0.2">
      <c r="A874" s="32"/>
    </row>
    <row r="875" spans="1:1" ht="12.75" customHeight="1" x14ac:dyDescent="0.2">
      <c r="A875" s="32"/>
    </row>
    <row r="876" spans="1:1" ht="12.75" customHeight="1" x14ac:dyDescent="0.2">
      <c r="A876" s="32"/>
    </row>
    <row r="877" spans="1:1" ht="12.75" customHeight="1" x14ac:dyDescent="0.2">
      <c r="A877" s="32"/>
    </row>
    <row r="878" spans="1:1" ht="12.75" customHeight="1" x14ac:dyDescent="0.2">
      <c r="A878" s="32"/>
    </row>
    <row r="879" spans="1:1" ht="12.75" customHeight="1" x14ac:dyDescent="0.2">
      <c r="A879" s="32"/>
    </row>
    <row r="880" spans="1:1" ht="12.75" customHeight="1" x14ac:dyDescent="0.2">
      <c r="A880" s="32"/>
    </row>
    <row r="881" spans="1:1" ht="12.75" customHeight="1" x14ac:dyDescent="0.2">
      <c r="A881" s="32"/>
    </row>
    <row r="882" spans="1:1" ht="12.75" customHeight="1" x14ac:dyDescent="0.2">
      <c r="A882" s="32"/>
    </row>
    <row r="883" spans="1:1" ht="12.75" customHeight="1" x14ac:dyDescent="0.2">
      <c r="A883" s="32"/>
    </row>
    <row r="884" spans="1:1" ht="12.75" customHeight="1" x14ac:dyDescent="0.2">
      <c r="A884" s="32"/>
    </row>
    <row r="885" spans="1:1" ht="12.75" customHeight="1" x14ac:dyDescent="0.2">
      <c r="A885" s="32"/>
    </row>
    <row r="886" spans="1:1" ht="12.75" customHeight="1" x14ac:dyDescent="0.2">
      <c r="A886" s="32"/>
    </row>
    <row r="887" spans="1:1" ht="12.75" customHeight="1" x14ac:dyDescent="0.2">
      <c r="A887" s="32"/>
    </row>
    <row r="888" spans="1:1" ht="12.75" customHeight="1" x14ac:dyDescent="0.2">
      <c r="A888" s="32"/>
    </row>
    <row r="889" spans="1:1" ht="12.75" customHeight="1" x14ac:dyDescent="0.2">
      <c r="A889" s="32"/>
    </row>
    <row r="890" spans="1:1" ht="12.75" customHeight="1" x14ac:dyDescent="0.2">
      <c r="A890" s="32"/>
    </row>
    <row r="891" spans="1:1" ht="12.75" customHeight="1" x14ac:dyDescent="0.2">
      <c r="A891" s="32"/>
    </row>
    <row r="892" spans="1:1" ht="12.75" customHeight="1" x14ac:dyDescent="0.2">
      <c r="A892" s="32"/>
    </row>
    <row r="893" spans="1:1" ht="12.75" customHeight="1" x14ac:dyDescent="0.2">
      <c r="A893" s="32"/>
    </row>
    <row r="894" spans="1:1" ht="12.75" customHeight="1" x14ac:dyDescent="0.2">
      <c r="A894" s="32"/>
    </row>
    <row r="895" spans="1:1" ht="12.75" customHeight="1" x14ac:dyDescent="0.2">
      <c r="A895" s="32"/>
    </row>
    <row r="896" spans="1:1" ht="12.75" customHeight="1" x14ac:dyDescent="0.2">
      <c r="A896" s="32"/>
    </row>
    <row r="897" spans="1:1" ht="12.75" customHeight="1" x14ac:dyDescent="0.2">
      <c r="A897" s="32"/>
    </row>
    <row r="898" spans="1:1" ht="12.75" customHeight="1" x14ac:dyDescent="0.2">
      <c r="A898" s="32"/>
    </row>
    <row r="899" spans="1:1" ht="12.75" customHeight="1" x14ac:dyDescent="0.2">
      <c r="A899" s="32"/>
    </row>
    <row r="900" spans="1:1" ht="12.75" customHeight="1" x14ac:dyDescent="0.2">
      <c r="A900" s="32"/>
    </row>
    <row r="901" spans="1:1" ht="12.75" customHeight="1" x14ac:dyDescent="0.2">
      <c r="A901" s="32"/>
    </row>
    <row r="902" spans="1:1" ht="12.75" customHeight="1" x14ac:dyDescent="0.2">
      <c r="A902" s="32"/>
    </row>
    <row r="903" spans="1:1" ht="12.75" customHeight="1" x14ac:dyDescent="0.2">
      <c r="A903" s="32"/>
    </row>
    <row r="904" spans="1:1" ht="12.75" customHeight="1" x14ac:dyDescent="0.2">
      <c r="A904" s="32"/>
    </row>
    <row r="905" spans="1:1" ht="12.75" customHeight="1" x14ac:dyDescent="0.2">
      <c r="A905" s="32"/>
    </row>
    <row r="906" spans="1:1" ht="12.75" customHeight="1" x14ac:dyDescent="0.2">
      <c r="A906" s="32"/>
    </row>
    <row r="907" spans="1:1" ht="12.75" customHeight="1" x14ac:dyDescent="0.2">
      <c r="A907" s="32"/>
    </row>
    <row r="908" spans="1:1" ht="12.75" customHeight="1" x14ac:dyDescent="0.2">
      <c r="A908" s="32"/>
    </row>
    <row r="909" spans="1:1" ht="12.75" customHeight="1" x14ac:dyDescent="0.2">
      <c r="A909" s="32"/>
    </row>
    <row r="910" spans="1:1" ht="12.75" customHeight="1" x14ac:dyDescent="0.2">
      <c r="A910" s="32"/>
    </row>
    <row r="911" spans="1:1" ht="12.75" customHeight="1" x14ac:dyDescent="0.2">
      <c r="A911" s="32"/>
    </row>
    <row r="912" spans="1:1" ht="12.75" customHeight="1" x14ac:dyDescent="0.2">
      <c r="A912" s="32"/>
    </row>
    <row r="913" spans="1:1" ht="12.75" customHeight="1" x14ac:dyDescent="0.2">
      <c r="A913" s="32"/>
    </row>
    <row r="914" spans="1:1" ht="12.75" customHeight="1" x14ac:dyDescent="0.2">
      <c r="A914" s="32"/>
    </row>
    <row r="915" spans="1:1" ht="12.75" customHeight="1" x14ac:dyDescent="0.2">
      <c r="A915" s="32"/>
    </row>
    <row r="916" spans="1:1" ht="12.75" customHeight="1" x14ac:dyDescent="0.2">
      <c r="A916" s="32"/>
    </row>
    <row r="917" spans="1:1" ht="12.75" customHeight="1" x14ac:dyDescent="0.2">
      <c r="A917" s="32"/>
    </row>
    <row r="918" spans="1:1" ht="12.75" customHeight="1" x14ac:dyDescent="0.2">
      <c r="A918" s="32"/>
    </row>
    <row r="919" spans="1:1" ht="12.75" customHeight="1" x14ac:dyDescent="0.2">
      <c r="A919" s="32"/>
    </row>
    <row r="920" spans="1:1" ht="12.75" customHeight="1" x14ac:dyDescent="0.2">
      <c r="A920" s="32"/>
    </row>
    <row r="921" spans="1:1" ht="12.75" customHeight="1" x14ac:dyDescent="0.2">
      <c r="A921" s="32"/>
    </row>
    <row r="922" spans="1:1" ht="12.75" customHeight="1" x14ac:dyDescent="0.2">
      <c r="A922" s="32"/>
    </row>
    <row r="923" spans="1:1" ht="12.75" customHeight="1" x14ac:dyDescent="0.2">
      <c r="A923" s="32"/>
    </row>
    <row r="924" spans="1:1" ht="12.75" customHeight="1" x14ac:dyDescent="0.2">
      <c r="A924" s="32"/>
    </row>
    <row r="925" spans="1:1" ht="12.75" customHeight="1" x14ac:dyDescent="0.2">
      <c r="A925" s="32"/>
    </row>
    <row r="926" spans="1:1" ht="12.75" customHeight="1" x14ac:dyDescent="0.2">
      <c r="A926" s="32"/>
    </row>
    <row r="927" spans="1:1" ht="12.75" customHeight="1" x14ac:dyDescent="0.2">
      <c r="A927" s="32"/>
    </row>
    <row r="928" spans="1:1" ht="12.75" customHeight="1" x14ac:dyDescent="0.2">
      <c r="A928" s="32"/>
    </row>
    <row r="929" spans="1:1" ht="12.75" customHeight="1" x14ac:dyDescent="0.2">
      <c r="A929" s="32"/>
    </row>
    <row r="930" spans="1:1" ht="12.75" customHeight="1" x14ac:dyDescent="0.2">
      <c r="A930" s="32"/>
    </row>
    <row r="931" spans="1:1" ht="12.75" customHeight="1" x14ac:dyDescent="0.2">
      <c r="A931" s="32"/>
    </row>
    <row r="932" spans="1:1" ht="12.75" customHeight="1" x14ac:dyDescent="0.2">
      <c r="A932" s="32"/>
    </row>
    <row r="933" spans="1:1" ht="12.75" customHeight="1" x14ac:dyDescent="0.2">
      <c r="A933" s="32"/>
    </row>
    <row r="934" spans="1:1" ht="12.75" customHeight="1" x14ac:dyDescent="0.2">
      <c r="A934" s="32"/>
    </row>
    <row r="935" spans="1:1" ht="12.75" customHeight="1" x14ac:dyDescent="0.2">
      <c r="A935" s="32"/>
    </row>
    <row r="936" spans="1:1" ht="12.75" customHeight="1" x14ac:dyDescent="0.2">
      <c r="A936" s="32"/>
    </row>
    <row r="937" spans="1:1" ht="12.75" customHeight="1" x14ac:dyDescent="0.2">
      <c r="A937" s="32"/>
    </row>
    <row r="938" spans="1:1" ht="12.75" customHeight="1" x14ac:dyDescent="0.2">
      <c r="A938" s="32"/>
    </row>
    <row r="939" spans="1:1" ht="12.75" customHeight="1" x14ac:dyDescent="0.2">
      <c r="A939" s="32"/>
    </row>
    <row r="940" spans="1:1" ht="12.75" customHeight="1" x14ac:dyDescent="0.2">
      <c r="A940" s="32"/>
    </row>
    <row r="941" spans="1:1" ht="12.75" customHeight="1" x14ac:dyDescent="0.2">
      <c r="A941" s="32"/>
    </row>
    <row r="942" spans="1:1" ht="12.75" customHeight="1" x14ac:dyDescent="0.2">
      <c r="A942" s="32"/>
    </row>
    <row r="943" spans="1:1" ht="12.75" customHeight="1" x14ac:dyDescent="0.2">
      <c r="A943" s="32"/>
    </row>
    <row r="944" spans="1:1" ht="12.75" customHeight="1" x14ac:dyDescent="0.2">
      <c r="A944" s="32"/>
    </row>
    <row r="945" spans="1:1" ht="12.75" customHeight="1" x14ac:dyDescent="0.2">
      <c r="A945" s="32"/>
    </row>
    <row r="946" spans="1:1" ht="12.75" customHeight="1" x14ac:dyDescent="0.2">
      <c r="A946" s="32"/>
    </row>
    <row r="947" spans="1:1" ht="12.75" customHeight="1" x14ac:dyDescent="0.2">
      <c r="A947" s="32"/>
    </row>
    <row r="948" spans="1:1" ht="12.75" customHeight="1" x14ac:dyDescent="0.2">
      <c r="A948" s="32"/>
    </row>
    <row r="949" spans="1:1" ht="12.75" customHeight="1" x14ac:dyDescent="0.2">
      <c r="A949" s="32"/>
    </row>
    <row r="950" spans="1:1" ht="12.75" customHeight="1" x14ac:dyDescent="0.2">
      <c r="A950" s="32"/>
    </row>
    <row r="951" spans="1:1" ht="12.75" customHeight="1" x14ac:dyDescent="0.2">
      <c r="A951" s="32"/>
    </row>
    <row r="952" spans="1:1" ht="12.75" customHeight="1" x14ac:dyDescent="0.2">
      <c r="A952" s="32"/>
    </row>
    <row r="953" spans="1:1" ht="12.75" customHeight="1" x14ac:dyDescent="0.2">
      <c r="A953" s="32"/>
    </row>
    <row r="954" spans="1:1" ht="12.75" customHeight="1" x14ac:dyDescent="0.2">
      <c r="A954" s="32"/>
    </row>
    <row r="955" spans="1:1" ht="12.75" customHeight="1" x14ac:dyDescent="0.2">
      <c r="A955" s="32"/>
    </row>
    <row r="956" spans="1:1" ht="12.75" customHeight="1" x14ac:dyDescent="0.2">
      <c r="A956" s="32"/>
    </row>
    <row r="957" spans="1:1" ht="12.75" customHeight="1" x14ac:dyDescent="0.2">
      <c r="A957" s="32"/>
    </row>
    <row r="958" spans="1:1" ht="12.75" customHeight="1" x14ac:dyDescent="0.2">
      <c r="A958" s="32"/>
    </row>
    <row r="959" spans="1:1" ht="12.75" customHeight="1" x14ac:dyDescent="0.2">
      <c r="A959" s="32"/>
    </row>
    <row r="960" spans="1:1" ht="12.75" customHeight="1" x14ac:dyDescent="0.2">
      <c r="A960" s="32"/>
    </row>
    <row r="961" spans="1:1" ht="12.75" customHeight="1" x14ac:dyDescent="0.2">
      <c r="A961" s="32"/>
    </row>
    <row r="962" spans="1:1" ht="12.75" customHeight="1" x14ac:dyDescent="0.2">
      <c r="A962" s="32"/>
    </row>
    <row r="963" spans="1:1" ht="12.75" customHeight="1" x14ac:dyDescent="0.2">
      <c r="A963" s="32"/>
    </row>
    <row r="964" spans="1:1" ht="12.75" customHeight="1" x14ac:dyDescent="0.2">
      <c r="A964" s="32"/>
    </row>
    <row r="965" spans="1:1" ht="12.75" customHeight="1" x14ac:dyDescent="0.2">
      <c r="A965" s="32"/>
    </row>
    <row r="966" spans="1:1" ht="12.75" customHeight="1" x14ac:dyDescent="0.2">
      <c r="A966" s="32"/>
    </row>
    <row r="967" spans="1:1" ht="12.75" customHeight="1" x14ac:dyDescent="0.2">
      <c r="A967" s="32"/>
    </row>
    <row r="968" spans="1:1" ht="12.75" customHeight="1" x14ac:dyDescent="0.2">
      <c r="A968" s="32"/>
    </row>
    <row r="969" spans="1:1" ht="12.75" customHeight="1" x14ac:dyDescent="0.2">
      <c r="A969" s="32"/>
    </row>
    <row r="970" spans="1:1" ht="12.75" customHeight="1" x14ac:dyDescent="0.2">
      <c r="A970" s="32"/>
    </row>
    <row r="971" spans="1:1" ht="12.75" customHeight="1" x14ac:dyDescent="0.2">
      <c r="A971" s="32"/>
    </row>
    <row r="972" spans="1:1" ht="12.75" customHeight="1" x14ac:dyDescent="0.2">
      <c r="A972" s="32"/>
    </row>
    <row r="973" spans="1:1" ht="12.75" customHeight="1" x14ac:dyDescent="0.2">
      <c r="A973" s="32"/>
    </row>
    <row r="974" spans="1:1" ht="12.75" customHeight="1" x14ac:dyDescent="0.2">
      <c r="A974" s="32"/>
    </row>
    <row r="975" spans="1:1" ht="12.75" customHeight="1" x14ac:dyDescent="0.2">
      <c r="A975" s="32"/>
    </row>
    <row r="976" spans="1:1" ht="12.75" customHeight="1" x14ac:dyDescent="0.2">
      <c r="A976" s="32"/>
    </row>
    <row r="977" spans="1:1" ht="12.75" customHeight="1" x14ac:dyDescent="0.2">
      <c r="A977" s="32"/>
    </row>
    <row r="978" spans="1:1" ht="12.75" customHeight="1" x14ac:dyDescent="0.2">
      <c r="A978" s="32"/>
    </row>
    <row r="979" spans="1:1" ht="12.75" customHeight="1" x14ac:dyDescent="0.2">
      <c r="A979" s="32"/>
    </row>
    <row r="980" spans="1:1" ht="12.75" customHeight="1" x14ac:dyDescent="0.2">
      <c r="A980" s="32"/>
    </row>
    <row r="981" spans="1:1" ht="12.75" customHeight="1" x14ac:dyDescent="0.2">
      <c r="A981" s="32"/>
    </row>
    <row r="982" spans="1:1" ht="12.75" customHeight="1" x14ac:dyDescent="0.2">
      <c r="A982" s="32"/>
    </row>
    <row r="983" spans="1:1" ht="12.75" customHeight="1" x14ac:dyDescent="0.2">
      <c r="A983" s="32"/>
    </row>
    <row r="984" spans="1:1" ht="12.75" customHeight="1" x14ac:dyDescent="0.2">
      <c r="A984" s="32"/>
    </row>
    <row r="985" spans="1:1" ht="12.75" customHeight="1" x14ac:dyDescent="0.2">
      <c r="A985" s="32"/>
    </row>
    <row r="986" spans="1:1" ht="12.75" customHeight="1" x14ac:dyDescent="0.2">
      <c r="A986" s="32"/>
    </row>
    <row r="987" spans="1:1" ht="12.75" customHeight="1" x14ac:dyDescent="0.2">
      <c r="A987" s="32"/>
    </row>
    <row r="988" spans="1:1" ht="12.75" customHeight="1" x14ac:dyDescent="0.2">
      <c r="A988" s="32"/>
    </row>
    <row r="989" spans="1:1" ht="12.75" customHeight="1" x14ac:dyDescent="0.2">
      <c r="A989" s="32"/>
    </row>
    <row r="990" spans="1:1" ht="12.75" customHeight="1" x14ac:dyDescent="0.2">
      <c r="A990" s="32"/>
    </row>
    <row r="991" spans="1:1" ht="12.75" customHeight="1" x14ac:dyDescent="0.2">
      <c r="A991" s="32"/>
    </row>
    <row r="992" spans="1:1" ht="12.75" customHeight="1" x14ac:dyDescent="0.2">
      <c r="A992" s="32"/>
    </row>
    <row r="993" spans="1:1" ht="12.75" customHeight="1" x14ac:dyDescent="0.2">
      <c r="A993" s="32"/>
    </row>
    <row r="994" spans="1:1" ht="12.75" customHeight="1" x14ac:dyDescent="0.2">
      <c r="A994" s="32"/>
    </row>
    <row r="995" spans="1:1" ht="12.75" customHeight="1" x14ac:dyDescent="0.2">
      <c r="A995" s="32"/>
    </row>
    <row r="996" spans="1:1" ht="12.75" customHeight="1" x14ac:dyDescent="0.2">
      <c r="A996" s="32"/>
    </row>
    <row r="997" spans="1:1" ht="12.75" customHeight="1" x14ac:dyDescent="0.2">
      <c r="A997" s="32"/>
    </row>
    <row r="998" spans="1:1" ht="12.75" customHeight="1" x14ac:dyDescent="0.2">
      <c r="A998" s="32"/>
    </row>
    <row r="999" spans="1:1" ht="12.75" customHeight="1" x14ac:dyDescent="0.2">
      <c r="A999" s="32"/>
    </row>
    <row r="1000" spans="1:1" ht="12.75" customHeight="1" x14ac:dyDescent="0.2">
      <c r="A1000" s="32"/>
    </row>
    <row r="1001" spans="1:1" ht="12.75" customHeight="1" x14ac:dyDescent="0.2">
      <c r="A1001" s="32"/>
    </row>
    <row r="1002" spans="1:1" ht="12.75" customHeight="1" x14ac:dyDescent="0.2">
      <c r="A1002" s="32"/>
    </row>
    <row r="1003" spans="1:1" ht="12.75" customHeight="1" x14ac:dyDescent="0.2">
      <c r="A1003" s="32"/>
    </row>
    <row r="1004" spans="1:1" ht="12.75" customHeight="1" x14ac:dyDescent="0.2">
      <c r="A1004" s="32"/>
    </row>
    <row r="1005" spans="1:1" ht="12.75" customHeight="1" x14ac:dyDescent="0.2">
      <c r="A1005" s="32"/>
    </row>
    <row r="1006" spans="1:1" ht="12.75" customHeight="1" x14ac:dyDescent="0.2">
      <c r="A1006" s="32"/>
    </row>
    <row r="1007" spans="1:1" ht="12.75" customHeight="1" x14ac:dyDescent="0.2">
      <c r="A1007" s="32"/>
    </row>
    <row r="1008" spans="1:1" ht="12.75" customHeight="1" x14ac:dyDescent="0.2">
      <c r="A1008" s="32"/>
    </row>
    <row r="1009" spans="1:1" ht="12.75" customHeight="1" x14ac:dyDescent="0.2">
      <c r="A1009" s="32"/>
    </row>
    <row r="1010" spans="1:1" ht="12.75" customHeight="1" x14ac:dyDescent="0.2">
      <c r="A1010" s="32"/>
    </row>
    <row r="1011" spans="1:1" ht="12.75" customHeight="1" x14ac:dyDescent="0.2">
      <c r="A1011" s="32"/>
    </row>
    <row r="1012" spans="1:1" ht="12.75" customHeight="1" x14ac:dyDescent="0.2">
      <c r="A1012" s="32"/>
    </row>
    <row r="1013" spans="1:1" ht="12.75" customHeight="1" x14ac:dyDescent="0.2">
      <c r="A1013" s="32"/>
    </row>
    <row r="1014" spans="1:1" ht="12.75" customHeight="1" x14ac:dyDescent="0.2">
      <c r="A1014" s="32"/>
    </row>
    <row r="1015" spans="1:1" ht="12.75" customHeight="1" x14ac:dyDescent="0.2">
      <c r="A1015" s="32"/>
    </row>
    <row r="1016" spans="1:1" ht="12.75" customHeight="1" x14ac:dyDescent="0.2">
      <c r="A1016" s="32"/>
    </row>
    <row r="1017" spans="1:1" ht="12.75" customHeight="1" x14ac:dyDescent="0.2">
      <c r="A1017" s="32"/>
    </row>
    <row r="1018" spans="1:1" ht="12.75" customHeight="1" x14ac:dyDescent="0.2">
      <c r="A1018" s="32"/>
    </row>
    <row r="1019" spans="1:1" ht="12.75" customHeight="1" x14ac:dyDescent="0.2">
      <c r="A1019" s="32"/>
    </row>
    <row r="1020" spans="1:1" ht="12.75" customHeight="1" x14ac:dyDescent="0.2">
      <c r="A1020" s="32"/>
    </row>
    <row r="1021" spans="1:1" ht="12.75" customHeight="1" x14ac:dyDescent="0.2">
      <c r="A1021" s="32"/>
    </row>
    <row r="1022" spans="1:1" ht="12.75" customHeight="1" x14ac:dyDescent="0.2">
      <c r="A1022" s="32"/>
    </row>
    <row r="1023" spans="1:1" ht="12.75" customHeight="1" x14ac:dyDescent="0.2">
      <c r="A1023" s="32"/>
    </row>
    <row r="1024" spans="1:1" ht="12.75" customHeight="1" x14ac:dyDescent="0.2">
      <c r="A1024" s="32"/>
    </row>
    <row r="1025" spans="1:1" ht="12.75" customHeight="1" x14ac:dyDescent="0.2">
      <c r="A1025" s="32"/>
    </row>
    <row r="1026" spans="1:1" ht="12.75" customHeight="1" x14ac:dyDescent="0.2">
      <c r="A1026" s="32"/>
    </row>
    <row r="1027" spans="1:1" ht="12.75" customHeight="1" x14ac:dyDescent="0.2">
      <c r="A1027" s="32"/>
    </row>
    <row r="1028" spans="1:1" ht="12.75" customHeight="1" x14ac:dyDescent="0.2">
      <c r="A1028" s="32"/>
    </row>
    <row r="1029" spans="1:1" ht="12.75" customHeight="1" x14ac:dyDescent="0.2">
      <c r="A1029" s="32"/>
    </row>
    <row r="1030" spans="1:1" ht="12.75" customHeight="1" x14ac:dyDescent="0.2">
      <c r="A1030" s="32"/>
    </row>
    <row r="1031" spans="1:1" ht="12.75" customHeight="1" x14ac:dyDescent="0.2">
      <c r="A1031" s="32"/>
    </row>
    <row r="1032" spans="1:1" ht="12.75" customHeight="1" x14ac:dyDescent="0.2">
      <c r="A1032" s="32"/>
    </row>
    <row r="1033" spans="1:1" ht="12.75" customHeight="1" x14ac:dyDescent="0.2">
      <c r="A1033" s="32"/>
    </row>
    <row r="1034" spans="1:1" ht="12.75" customHeight="1" x14ac:dyDescent="0.2">
      <c r="A1034" s="32"/>
    </row>
    <row r="1035" spans="1:1" ht="12.75" customHeight="1" x14ac:dyDescent="0.2">
      <c r="A1035" s="32"/>
    </row>
    <row r="1036" spans="1:1" ht="12.75" customHeight="1" x14ac:dyDescent="0.2">
      <c r="A1036" s="32"/>
    </row>
    <row r="1037" spans="1:1" ht="12.75" customHeight="1" x14ac:dyDescent="0.2">
      <c r="A1037" s="32"/>
    </row>
    <row r="1038" spans="1:1" ht="12.75" customHeight="1" x14ac:dyDescent="0.2">
      <c r="A1038" s="32"/>
    </row>
    <row r="1039" spans="1:1" ht="12.75" customHeight="1" x14ac:dyDescent="0.2">
      <c r="A1039" s="32"/>
    </row>
    <row r="1040" spans="1:1" ht="12.75" customHeight="1" x14ac:dyDescent="0.2">
      <c r="A1040" s="32"/>
    </row>
    <row r="1041" spans="1:1" ht="12.75" customHeight="1" x14ac:dyDescent="0.2">
      <c r="A1041" s="32"/>
    </row>
    <row r="1042" spans="1:1" ht="12.75" customHeight="1" x14ac:dyDescent="0.2">
      <c r="A1042" s="32"/>
    </row>
    <row r="1043" spans="1:1" ht="12.75" customHeight="1" x14ac:dyDescent="0.2">
      <c r="A1043" s="32"/>
    </row>
    <row r="1044" spans="1:1" ht="12.75" customHeight="1" x14ac:dyDescent="0.2">
      <c r="A1044" s="32"/>
    </row>
    <row r="1045" spans="1:1" ht="12.75" customHeight="1" x14ac:dyDescent="0.2">
      <c r="A1045" s="32"/>
    </row>
    <row r="1046" spans="1:1" ht="12.75" customHeight="1" x14ac:dyDescent="0.2">
      <c r="A1046" s="32"/>
    </row>
    <row r="1047" spans="1:1" ht="12.75" customHeight="1" x14ac:dyDescent="0.2">
      <c r="A1047" s="32"/>
    </row>
    <row r="1048" spans="1:1" ht="12.75" customHeight="1" x14ac:dyDescent="0.2">
      <c r="A1048" s="32"/>
    </row>
    <row r="1049" spans="1:1" ht="12.75" customHeight="1" x14ac:dyDescent="0.2">
      <c r="A1049" s="32"/>
    </row>
    <row r="1050" spans="1:1" ht="12.75" customHeight="1" x14ac:dyDescent="0.2">
      <c r="A1050" s="32"/>
    </row>
    <row r="1051" spans="1:1" ht="12.75" customHeight="1" x14ac:dyDescent="0.2">
      <c r="A1051" s="32"/>
    </row>
    <row r="1052" spans="1:1" ht="12.75" customHeight="1" x14ac:dyDescent="0.2">
      <c r="A1052" s="32"/>
    </row>
    <row r="1053" spans="1:1" ht="12.75" customHeight="1" x14ac:dyDescent="0.2">
      <c r="A1053" s="32"/>
    </row>
    <row r="1054" spans="1:1" ht="12.75" customHeight="1" x14ac:dyDescent="0.2">
      <c r="A1054" s="32"/>
    </row>
    <row r="1055" spans="1:1" ht="12.75" customHeight="1" x14ac:dyDescent="0.2">
      <c r="A1055" s="32"/>
    </row>
    <row r="1056" spans="1:1" ht="12.75" customHeight="1" x14ac:dyDescent="0.2">
      <c r="A1056" s="32"/>
    </row>
    <row r="1057" spans="1:1" ht="12.75" customHeight="1" x14ac:dyDescent="0.2">
      <c r="A1057" s="32"/>
    </row>
    <row r="1058" spans="1:1" ht="12.75" customHeight="1" x14ac:dyDescent="0.2">
      <c r="A1058" s="32"/>
    </row>
    <row r="1059" spans="1:1" ht="12.75" customHeight="1" x14ac:dyDescent="0.2">
      <c r="A1059" s="32"/>
    </row>
    <row r="1060" spans="1:1" ht="12.75" customHeight="1" x14ac:dyDescent="0.2">
      <c r="A1060" s="32"/>
    </row>
    <row r="1061" spans="1:1" ht="12.75" customHeight="1" x14ac:dyDescent="0.2">
      <c r="A1061" s="32"/>
    </row>
    <row r="1062" spans="1:1" ht="12.75" customHeight="1" x14ac:dyDescent="0.2">
      <c r="A1062" s="32"/>
    </row>
    <row r="1063" spans="1:1" ht="12.75" customHeight="1" x14ac:dyDescent="0.2">
      <c r="A1063" s="32"/>
    </row>
    <row r="1064" spans="1:1" ht="12.75" customHeight="1" x14ac:dyDescent="0.2">
      <c r="A1064" s="32"/>
    </row>
    <row r="1065" spans="1:1" ht="12.75" customHeight="1" x14ac:dyDescent="0.2">
      <c r="A1065" s="32"/>
    </row>
    <row r="1066" spans="1:1" ht="12.75" customHeight="1" x14ac:dyDescent="0.2">
      <c r="A1066" s="32"/>
    </row>
    <row r="1067" spans="1:1" ht="12.75" customHeight="1" x14ac:dyDescent="0.2">
      <c r="A1067" s="32"/>
    </row>
    <row r="1068" spans="1:1" ht="12.75" customHeight="1" x14ac:dyDescent="0.2">
      <c r="A1068" s="32"/>
    </row>
    <row r="1069" spans="1:1" ht="12.75" customHeight="1" x14ac:dyDescent="0.2">
      <c r="A1069" s="32"/>
    </row>
    <row r="1070" spans="1:1" ht="12.75" customHeight="1" x14ac:dyDescent="0.2">
      <c r="A1070" s="32"/>
    </row>
    <row r="1071" spans="1:1" ht="12.75" customHeight="1" x14ac:dyDescent="0.2">
      <c r="A1071" s="32"/>
    </row>
    <row r="1072" spans="1:1" ht="12.75" customHeight="1" x14ac:dyDescent="0.2">
      <c r="A1072" s="32"/>
    </row>
    <row r="1073" spans="1:1" ht="12.75" customHeight="1" x14ac:dyDescent="0.2">
      <c r="A1073" s="32"/>
    </row>
    <row r="1074" spans="1:1" ht="12.75" customHeight="1" x14ac:dyDescent="0.2">
      <c r="A1074" s="32"/>
    </row>
    <row r="1075" spans="1:1" ht="12.75" customHeight="1" x14ac:dyDescent="0.2">
      <c r="A1075" s="32"/>
    </row>
    <row r="1076" spans="1:1" ht="12.75" customHeight="1" x14ac:dyDescent="0.2">
      <c r="A1076" s="32"/>
    </row>
    <row r="1077" spans="1:1" ht="12.75" customHeight="1" x14ac:dyDescent="0.2">
      <c r="A1077" s="32"/>
    </row>
    <row r="1078" spans="1:1" ht="12.75" customHeight="1" x14ac:dyDescent="0.2">
      <c r="A1078" s="32"/>
    </row>
    <row r="1079" spans="1:1" ht="12.75" customHeight="1" x14ac:dyDescent="0.2">
      <c r="A1079" s="32"/>
    </row>
    <row r="1080" spans="1:1" ht="12.75" customHeight="1" x14ac:dyDescent="0.2">
      <c r="A1080" s="32"/>
    </row>
    <row r="1081" spans="1:1" ht="12.75" customHeight="1" x14ac:dyDescent="0.2">
      <c r="A1081" s="32"/>
    </row>
    <row r="1082" spans="1:1" ht="12.75" customHeight="1" x14ac:dyDescent="0.2">
      <c r="A1082" s="32"/>
    </row>
    <row r="1083" spans="1:1" ht="12.75" customHeight="1" x14ac:dyDescent="0.2">
      <c r="A1083" s="32"/>
    </row>
    <row r="1084" spans="1:1" ht="12.75" customHeight="1" x14ac:dyDescent="0.2">
      <c r="A1084" s="32"/>
    </row>
    <row r="1085" spans="1:1" ht="12.75" customHeight="1" x14ac:dyDescent="0.2">
      <c r="A1085" s="32"/>
    </row>
    <row r="1086" spans="1:1" ht="12.75" customHeight="1" x14ac:dyDescent="0.2">
      <c r="A1086" s="32"/>
    </row>
    <row r="1087" spans="1:1" ht="12.75" customHeight="1" x14ac:dyDescent="0.2">
      <c r="A1087" s="32"/>
    </row>
    <row r="1088" spans="1:1" ht="12.75" customHeight="1" x14ac:dyDescent="0.2">
      <c r="A1088" s="32"/>
    </row>
    <row r="1089" spans="1:1" ht="12.75" customHeight="1" x14ac:dyDescent="0.2">
      <c r="A1089" s="32"/>
    </row>
    <row r="1090" spans="1:1" ht="12.75" customHeight="1" x14ac:dyDescent="0.2">
      <c r="A1090" s="32"/>
    </row>
    <row r="1091" spans="1:1" ht="12.75" customHeight="1" x14ac:dyDescent="0.2">
      <c r="A1091" s="32"/>
    </row>
    <row r="1092" spans="1:1" ht="12.75" customHeight="1" x14ac:dyDescent="0.2">
      <c r="A1092" s="32"/>
    </row>
    <row r="1093" spans="1:1" ht="12.75" customHeight="1" x14ac:dyDescent="0.2">
      <c r="A1093" s="32"/>
    </row>
    <row r="1094" spans="1:1" ht="12.75" customHeight="1" x14ac:dyDescent="0.2">
      <c r="A1094" s="32"/>
    </row>
    <row r="1095" spans="1:1" ht="12.75" customHeight="1" x14ac:dyDescent="0.2">
      <c r="A1095" s="32"/>
    </row>
    <row r="1096" spans="1:1" ht="12.75" customHeight="1" x14ac:dyDescent="0.2">
      <c r="A1096" s="32"/>
    </row>
    <row r="1097" spans="1:1" ht="12.75" customHeight="1" x14ac:dyDescent="0.2">
      <c r="A1097" s="32"/>
    </row>
    <row r="1098" spans="1:1" ht="12.75" customHeight="1" x14ac:dyDescent="0.2">
      <c r="A1098" s="32"/>
    </row>
    <row r="1099" spans="1:1" ht="12.75" customHeight="1" x14ac:dyDescent="0.2">
      <c r="A1099" s="32"/>
    </row>
    <row r="1100" spans="1:1" ht="12.75" customHeight="1" x14ac:dyDescent="0.2">
      <c r="A1100" s="32"/>
    </row>
    <row r="1101" spans="1:1" ht="12.75" customHeight="1" x14ac:dyDescent="0.2">
      <c r="A1101" s="32"/>
    </row>
    <row r="1102" spans="1:1" ht="12.75" customHeight="1" x14ac:dyDescent="0.2">
      <c r="A1102" s="32"/>
    </row>
    <row r="1103" spans="1:1" ht="12.75" customHeight="1" x14ac:dyDescent="0.2">
      <c r="A1103" s="32"/>
    </row>
    <row r="1104" spans="1:1" ht="12.75" customHeight="1" x14ac:dyDescent="0.2">
      <c r="A1104" s="32"/>
    </row>
    <row r="1105" spans="1:1" ht="12.75" customHeight="1" x14ac:dyDescent="0.2">
      <c r="A1105" s="32"/>
    </row>
    <row r="1106" spans="1:1" ht="12.75" customHeight="1" x14ac:dyDescent="0.2">
      <c r="A1106" s="32"/>
    </row>
    <row r="1107" spans="1:1" ht="12.75" customHeight="1" x14ac:dyDescent="0.2">
      <c r="A1107" s="32"/>
    </row>
    <row r="1108" spans="1:1" ht="12.75" customHeight="1" x14ac:dyDescent="0.2">
      <c r="A1108" s="32"/>
    </row>
    <row r="1109" spans="1:1" ht="12.75" customHeight="1" x14ac:dyDescent="0.2">
      <c r="A1109" s="32"/>
    </row>
    <row r="1110" spans="1:1" ht="12.75" customHeight="1" x14ac:dyDescent="0.2">
      <c r="A1110" s="32"/>
    </row>
    <row r="1111" spans="1:1" ht="12.75" customHeight="1" x14ac:dyDescent="0.2">
      <c r="A1111" s="32"/>
    </row>
    <row r="1112" spans="1:1" ht="12.75" customHeight="1" x14ac:dyDescent="0.2">
      <c r="A1112" s="32"/>
    </row>
    <row r="1113" spans="1:1" ht="12.75" customHeight="1" x14ac:dyDescent="0.2">
      <c r="A1113" s="32"/>
    </row>
    <row r="1114" spans="1:1" ht="12.75" customHeight="1" x14ac:dyDescent="0.2">
      <c r="A1114" s="32"/>
    </row>
    <row r="1115" spans="1:1" ht="12.75" customHeight="1" x14ac:dyDescent="0.2">
      <c r="A1115" s="32"/>
    </row>
    <row r="1116" spans="1:1" ht="12.75" customHeight="1" x14ac:dyDescent="0.2">
      <c r="A1116" s="32"/>
    </row>
    <row r="1117" spans="1:1" ht="12.75" customHeight="1" x14ac:dyDescent="0.2">
      <c r="A1117" s="32"/>
    </row>
    <row r="1118" spans="1:1" ht="12.75" customHeight="1" x14ac:dyDescent="0.2">
      <c r="A1118" s="32"/>
    </row>
    <row r="1119" spans="1:1" ht="12.75" customHeight="1" x14ac:dyDescent="0.2">
      <c r="A1119" s="32"/>
    </row>
    <row r="1120" spans="1:1" ht="12.75" customHeight="1" x14ac:dyDescent="0.2">
      <c r="A1120" s="32"/>
    </row>
    <row r="1121" spans="1:1" ht="12.75" customHeight="1" x14ac:dyDescent="0.2">
      <c r="A1121" s="32"/>
    </row>
    <row r="1122" spans="1:1" ht="12.75" customHeight="1" x14ac:dyDescent="0.2">
      <c r="A1122" s="32"/>
    </row>
    <row r="1123" spans="1:1" ht="12.75" customHeight="1" x14ac:dyDescent="0.2">
      <c r="A1123" s="32"/>
    </row>
    <row r="1124" spans="1:1" ht="12.75" customHeight="1" x14ac:dyDescent="0.2">
      <c r="A1124" s="32"/>
    </row>
    <row r="1125" spans="1:1" ht="12.75" customHeight="1" x14ac:dyDescent="0.2">
      <c r="A1125" s="32"/>
    </row>
    <row r="1126" spans="1:1" ht="12.75" customHeight="1" x14ac:dyDescent="0.2">
      <c r="A1126" s="32"/>
    </row>
    <row r="1127" spans="1:1" ht="12.75" customHeight="1" x14ac:dyDescent="0.2">
      <c r="A1127" s="32"/>
    </row>
    <row r="1128" spans="1:1" ht="12.75" customHeight="1" x14ac:dyDescent="0.2">
      <c r="A1128" s="32"/>
    </row>
    <row r="1129" spans="1:1" ht="12.75" customHeight="1" x14ac:dyDescent="0.2">
      <c r="A1129" s="32"/>
    </row>
    <row r="1130" spans="1:1" ht="12.75" customHeight="1" x14ac:dyDescent="0.2">
      <c r="A1130" s="32"/>
    </row>
    <row r="1131" spans="1:1" ht="12.75" customHeight="1" x14ac:dyDescent="0.2">
      <c r="A1131" s="32"/>
    </row>
    <row r="1132" spans="1:1" ht="12.75" customHeight="1" x14ac:dyDescent="0.2">
      <c r="A1132" s="32"/>
    </row>
    <row r="1133" spans="1:1" ht="12.75" customHeight="1" x14ac:dyDescent="0.2">
      <c r="A1133" s="32"/>
    </row>
    <row r="1134" spans="1:1" ht="12.75" customHeight="1" x14ac:dyDescent="0.2">
      <c r="A1134" s="32"/>
    </row>
    <row r="1135" spans="1:1" ht="12.75" customHeight="1" x14ac:dyDescent="0.2">
      <c r="A1135" s="32"/>
    </row>
    <row r="1136" spans="1:1" ht="12.75" customHeight="1" x14ac:dyDescent="0.2">
      <c r="A1136" s="32"/>
    </row>
    <row r="1137" spans="1:1" ht="12.75" customHeight="1" x14ac:dyDescent="0.2">
      <c r="A1137" s="32"/>
    </row>
    <row r="1138" spans="1:1" ht="12.75" customHeight="1" x14ac:dyDescent="0.2">
      <c r="A1138" s="32"/>
    </row>
    <row r="1139" spans="1:1" ht="12.75" customHeight="1" x14ac:dyDescent="0.2">
      <c r="A1139" s="32"/>
    </row>
    <row r="1140" spans="1:1" ht="12.75" customHeight="1" x14ac:dyDescent="0.2">
      <c r="A1140" s="32"/>
    </row>
    <row r="1141" spans="1:1" ht="12.75" customHeight="1" x14ac:dyDescent="0.2">
      <c r="A1141" s="32"/>
    </row>
    <row r="1142" spans="1:1" ht="12.75" customHeight="1" x14ac:dyDescent="0.2">
      <c r="A1142" s="32"/>
    </row>
    <row r="1143" spans="1:1" ht="12.75" customHeight="1" x14ac:dyDescent="0.2">
      <c r="A1143" s="32"/>
    </row>
    <row r="1144" spans="1:1" ht="12.75" customHeight="1" x14ac:dyDescent="0.2">
      <c r="A1144" s="32"/>
    </row>
    <row r="1145" spans="1:1" ht="12.75" customHeight="1" x14ac:dyDescent="0.2">
      <c r="A1145" s="32"/>
    </row>
    <row r="1146" spans="1:1" ht="12.75" customHeight="1" x14ac:dyDescent="0.2">
      <c r="A1146" s="32"/>
    </row>
    <row r="1147" spans="1:1" ht="12.75" customHeight="1" x14ac:dyDescent="0.2">
      <c r="A1147" s="32"/>
    </row>
    <row r="1148" spans="1:1" ht="12.75" customHeight="1" x14ac:dyDescent="0.2">
      <c r="A1148" s="32"/>
    </row>
    <row r="1149" spans="1:1" ht="12.75" customHeight="1" x14ac:dyDescent="0.2">
      <c r="A1149" s="32"/>
    </row>
    <row r="1150" spans="1:1" ht="12.75" customHeight="1" x14ac:dyDescent="0.2">
      <c r="A1150" s="32"/>
    </row>
    <row r="1151" spans="1:1" ht="12.75" customHeight="1" x14ac:dyDescent="0.2">
      <c r="A1151" s="32"/>
    </row>
    <row r="1152" spans="1:1" ht="12.75" customHeight="1" x14ac:dyDescent="0.2">
      <c r="A1152" s="32"/>
    </row>
    <row r="1153" spans="1:1" ht="12.75" customHeight="1" x14ac:dyDescent="0.2">
      <c r="A1153" s="32"/>
    </row>
    <row r="1154" spans="1:1" ht="12.75" customHeight="1" x14ac:dyDescent="0.2">
      <c r="A1154" s="32"/>
    </row>
    <row r="1155" spans="1:1" ht="12.75" customHeight="1" x14ac:dyDescent="0.2">
      <c r="A1155" s="32"/>
    </row>
    <row r="1156" spans="1:1" ht="12.75" customHeight="1" x14ac:dyDescent="0.2">
      <c r="A1156" s="32"/>
    </row>
    <row r="1157" spans="1:1" ht="12.75" customHeight="1" x14ac:dyDescent="0.2">
      <c r="A1157" s="32"/>
    </row>
    <row r="1158" spans="1:1" ht="12.75" customHeight="1" x14ac:dyDescent="0.2">
      <c r="A1158" s="32"/>
    </row>
    <row r="1159" spans="1:1" ht="12.75" customHeight="1" x14ac:dyDescent="0.2">
      <c r="A1159" s="32"/>
    </row>
    <row r="1160" spans="1:1" ht="12.75" customHeight="1" x14ac:dyDescent="0.2">
      <c r="A1160" s="32"/>
    </row>
    <row r="1161" spans="1:1" ht="12.75" customHeight="1" x14ac:dyDescent="0.2">
      <c r="A1161" s="32"/>
    </row>
    <row r="1162" spans="1:1" ht="12.75" customHeight="1" x14ac:dyDescent="0.2">
      <c r="A1162" s="32"/>
    </row>
    <row r="1163" spans="1:1" ht="12.75" customHeight="1" x14ac:dyDescent="0.2">
      <c r="A1163" s="32"/>
    </row>
    <row r="1164" spans="1:1" ht="12.75" customHeight="1" x14ac:dyDescent="0.2">
      <c r="A1164" s="32"/>
    </row>
    <row r="1165" spans="1:1" ht="12.75" customHeight="1" x14ac:dyDescent="0.2">
      <c r="A1165" s="32"/>
    </row>
    <row r="1166" spans="1:1" ht="12.75" customHeight="1" x14ac:dyDescent="0.2">
      <c r="A1166" s="32"/>
    </row>
    <row r="1167" spans="1:1" ht="12.75" customHeight="1" x14ac:dyDescent="0.2">
      <c r="A1167" s="32"/>
    </row>
    <row r="1168" spans="1:1" ht="12.75" customHeight="1" x14ac:dyDescent="0.2">
      <c r="A1168" s="32"/>
    </row>
    <row r="1169" spans="1:1" ht="12.75" customHeight="1" x14ac:dyDescent="0.2">
      <c r="A1169" s="32"/>
    </row>
    <row r="1170" spans="1:1" ht="12.75" customHeight="1" x14ac:dyDescent="0.2">
      <c r="A1170" s="32"/>
    </row>
    <row r="1171" spans="1:1" ht="12.75" customHeight="1" x14ac:dyDescent="0.2">
      <c r="A1171" s="32"/>
    </row>
    <row r="1172" spans="1:1" ht="12.75" customHeight="1" x14ac:dyDescent="0.2">
      <c r="A1172" s="32"/>
    </row>
    <row r="1173" spans="1:1" ht="12.75" customHeight="1" x14ac:dyDescent="0.2">
      <c r="A1173" s="32"/>
    </row>
    <row r="1174" spans="1:1" ht="12.75" customHeight="1" x14ac:dyDescent="0.2">
      <c r="A1174" s="32"/>
    </row>
    <row r="1175" spans="1:1" ht="12.75" customHeight="1" x14ac:dyDescent="0.2">
      <c r="A1175" s="32"/>
    </row>
    <row r="1176" spans="1:1" ht="12.75" customHeight="1" x14ac:dyDescent="0.2">
      <c r="A1176" s="32"/>
    </row>
    <row r="1177" spans="1:1" ht="12.75" customHeight="1" x14ac:dyDescent="0.2">
      <c r="A1177" s="32"/>
    </row>
    <row r="1178" spans="1:1" ht="12.75" customHeight="1" x14ac:dyDescent="0.2">
      <c r="A1178" s="32"/>
    </row>
    <row r="1179" spans="1:1" ht="12.75" customHeight="1" x14ac:dyDescent="0.2">
      <c r="A1179" s="32"/>
    </row>
    <row r="1180" spans="1:1" ht="12.75" customHeight="1" x14ac:dyDescent="0.2">
      <c r="A1180" s="32"/>
    </row>
    <row r="1181" spans="1:1" ht="12.75" customHeight="1" x14ac:dyDescent="0.2">
      <c r="A1181" s="32"/>
    </row>
    <row r="1182" spans="1:1" ht="12.75" customHeight="1" x14ac:dyDescent="0.2">
      <c r="A1182" s="32"/>
    </row>
    <row r="1183" spans="1:1" ht="12.75" customHeight="1" x14ac:dyDescent="0.2">
      <c r="A1183" s="32"/>
    </row>
    <row r="1184" spans="1:1" ht="12.75" customHeight="1" x14ac:dyDescent="0.2">
      <c r="A1184" s="32"/>
    </row>
    <row r="1185" spans="1:1" ht="12.75" customHeight="1" x14ac:dyDescent="0.2">
      <c r="A1185" s="32"/>
    </row>
    <row r="1186" spans="1:1" ht="12.75" customHeight="1" x14ac:dyDescent="0.2">
      <c r="A1186" s="32"/>
    </row>
    <row r="1187" spans="1:1" ht="12.75" customHeight="1" x14ac:dyDescent="0.2">
      <c r="A1187" s="32"/>
    </row>
    <row r="1188" spans="1:1" ht="12.75" customHeight="1" x14ac:dyDescent="0.2">
      <c r="A1188" s="32"/>
    </row>
    <row r="1189" spans="1:1" ht="12.75" customHeight="1" x14ac:dyDescent="0.2">
      <c r="A1189" s="32"/>
    </row>
    <row r="1190" spans="1:1" ht="12.75" customHeight="1" x14ac:dyDescent="0.2">
      <c r="A1190" s="32"/>
    </row>
    <row r="1191" spans="1:1" ht="12.75" customHeight="1" x14ac:dyDescent="0.2">
      <c r="A1191" s="32"/>
    </row>
    <row r="1192" spans="1:1" ht="12.75" customHeight="1" x14ac:dyDescent="0.2">
      <c r="A1192" s="32"/>
    </row>
    <row r="1193" spans="1:1" ht="12.75" customHeight="1" x14ac:dyDescent="0.2">
      <c r="A1193" s="32"/>
    </row>
    <row r="1194" spans="1:1" ht="12.75" customHeight="1" x14ac:dyDescent="0.2">
      <c r="A1194" s="32"/>
    </row>
    <row r="1195" spans="1:1" ht="12.75" customHeight="1" x14ac:dyDescent="0.2">
      <c r="A1195" s="32"/>
    </row>
    <row r="1196" spans="1:1" ht="12.75" customHeight="1" x14ac:dyDescent="0.2">
      <c r="A1196" s="32"/>
    </row>
    <row r="1197" spans="1:1" ht="12.75" customHeight="1" x14ac:dyDescent="0.2">
      <c r="A1197" s="32"/>
    </row>
    <row r="1198" spans="1:1" ht="12.75" customHeight="1" x14ac:dyDescent="0.2">
      <c r="A1198" s="32"/>
    </row>
    <row r="1199" spans="1:1" ht="12.75" customHeight="1" x14ac:dyDescent="0.2">
      <c r="A1199" s="32"/>
    </row>
    <row r="1200" spans="1:1" ht="12.75" customHeight="1" x14ac:dyDescent="0.2">
      <c r="A1200" s="32"/>
    </row>
    <row r="1201" spans="1:1" ht="12.75" customHeight="1" x14ac:dyDescent="0.2">
      <c r="A1201" s="32"/>
    </row>
    <row r="1202" spans="1:1" ht="12.75" customHeight="1" x14ac:dyDescent="0.2">
      <c r="A1202" s="32"/>
    </row>
    <row r="1203" spans="1:1" ht="12.75" customHeight="1" x14ac:dyDescent="0.2">
      <c r="A1203" s="32"/>
    </row>
    <row r="1204" spans="1:1" ht="12.75" customHeight="1" x14ac:dyDescent="0.2">
      <c r="A1204" s="32"/>
    </row>
    <row r="1205" spans="1:1" ht="12.75" customHeight="1" x14ac:dyDescent="0.2">
      <c r="A1205" s="32"/>
    </row>
    <row r="1206" spans="1:1" ht="12.75" customHeight="1" x14ac:dyDescent="0.2">
      <c r="A1206" s="32"/>
    </row>
    <row r="1207" spans="1:1" ht="12.75" customHeight="1" x14ac:dyDescent="0.2">
      <c r="A1207" s="32"/>
    </row>
    <row r="1208" spans="1:1" ht="12.75" customHeight="1" x14ac:dyDescent="0.2">
      <c r="A1208" s="32"/>
    </row>
    <row r="1209" spans="1:1" ht="12.75" customHeight="1" x14ac:dyDescent="0.2">
      <c r="A1209" s="32"/>
    </row>
    <row r="1210" spans="1:1" ht="12.75" customHeight="1" x14ac:dyDescent="0.2">
      <c r="A1210" s="32"/>
    </row>
    <row r="1211" spans="1:1" ht="12.75" customHeight="1" x14ac:dyDescent="0.2">
      <c r="A1211" s="32"/>
    </row>
    <row r="1212" spans="1:1" ht="12.75" customHeight="1" x14ac:dyDescent="0.2">
      <c r="A1212" s="32"/>
    </row>
    <row r="1213" spans="1:1" ht="12.75" customHeight="1" x14ac:dyDescent="0.2">
      <c r="A1213" s="32"/>
    </row>
    <row r="1214" spans="1:1" ht="12.75" customHeight="1" x14ac:dyDescent="0.2">
      <c r="A1214" s="32"/>
    </row>
    <row r="1215" spans="1:1" ht="12.75" customHeight="1" x14ac:dyDescent="0.2">
      <c r="A1215" s="32"/>
    </row>
    <row r="1216" spans="1:1" ht="12.75" customHeight="1" x14ac:dyDescent="0.2">
      <c r="A1216" s="32"/>
    </row>
    <row r="1217" spans="1:1" ht="12.75" customHeight="1" x14ac:dyDescent="0.2">
      <c r="A1217" s="32"/>
    </row>
    <row r="1218" spans="1:1" ht="12.75" customHeight="1" x14ac:dyDescent="0.2">
      <c r="A1218" s="32"/>
    </row>
    <row r="1219" spans="1:1" ht="12.75" customHeight="1" x14ac:dyDescent="0.2">
      <c r="A1219" s="32"/>
    </row>
    <row r="1220" spans="1:1" ht="12.75" customHeight="1" x14ac:dyDescent="0.2">
      <c r="A1220" s="32"/>
    </row>
    <row r="1221" spans="1:1" ht="12.75" customHeight="1" x14ac:dyDescent="0.2">
      <c r="A1221" s="32"/>
    </row>
    <row r="1222" spans="1:1" ht="12.75" customHeight="1" x14ac:dyDescent="0.2">
      <c r="A1222" s="32"/>
    </row>
    <row r="1223" spans="1:1" ht="12.75" customHeight="1" x14ac:dyDescent="0.2">
      <c r="A1223" s="32"/>
    </row>
    <row r="1224" spans="1:1" ht="12.75" customHeight="1" x14ac:dyDescent="0.2">
      <c r="A1224" s="32"/>
    </row>
    <row r="1225" spans="1:1" ht="12.75" customHeight="1" x14ac:dyDescent="0.2">
      <c r="A1225" s="32"/>
    </row>
    <row r="1226" spans="1:1" ht="12.75" customHeight="1" x14ac:dyDescent="0.2">
      <c r="A1226" s="32"/>
    </row>
    <row r="1227" spans="1:1" ht="12.75" customHeight="1" x14ac:dyDescent="0.2">
      <c r="A1227" s="32"/>
    </row>
    <row r="1228" spans="1:1" ht="12.75" customHeight="1" x14ac:dyDescent="0.2">
      <c r="A1228" s="32"/>
    </row>
    <row r="1229" spans="1:1" ht="12.75" customHeight="1" x14ac:dyDescent="0.2">
      <c r="A1229" s="32"/>
    </row>
    <row r="1230" spans="1:1" ht="12.75" customHeight="1" x14ac:dyDescent="0.2">
      <c r="A1230" s="32"/>
    </row>
    <row r="1231" spans="1:1" ht="12.75" customHeight="1" x14ac:dyDescent="0.2">
      <c r="A1231" s="32"/>
    </row>
    <row r="1232" spans="1:1" ht="12.75" customHeight="1" x14ac:dyDescent="0.2">
      <c r="A1232" s="32"/>
    </row>
    <row r="1233" spans="1:1" ht="12.75" customHeight="1" x14ac:dyDescent="0.2">
      <c r="A1233" s="32"/>
    </row>
    <row r="1234" spans="1:1" ht="12.75" customHeight="1" x14ac:dyDescent="0.2">
      <c r="A1234" s="32"/>
    </row>
    <row r="1235" spans="1:1" ht="12.75" customHeight="1" x14ac:dyDescent="0.2">
      <c r="A1235" s="32"/>
    </row>
    <row r="1236" spans="1:1" ht="12.75" customHeight="1" x14ac:dyDescent="0.2">
      <c r="A1236" s="32"/>
    </row>
    <row r="1237" spans="1:1" ht="12.75" customHeight="1" x14ac:dyDescent="0.2">
      <c r="A1237" s="32"/>
    </row>
    <row r="1238" spans="1:1" ht="12.75" customHeight="1" x14ac:dyDescent="0.2">
      <c r="A1238" s="32"/>
    </row>
    <row r="1239" spans="1:1" ht="12.75" customHeight="1" x14ac:dyDescent="0.2">
      <c r="A1239" s="32"/>
    </row>
    <row r="1240" spans="1:1" ht="12.75" customHeight="1" x14ac:dyDescent="0.2">
      <c r="A1240" s="32"/>
    </row>
    <row r="1241" spans="1:1" ht="12.75" customHeight="1" x14ac:dyDescent="0.2">
      <c r="A1241" s="32"/>
    </row>
    <row r="1242" spans="1:1" ht="12.75" customHeight="1" x14ac:dyDescent="0.2">
      <c r="A1242" s="32"/>
    </row>
    <row r="1243" spans="1:1" ht="12.75" customHeight="1" x14ac:dyDescent="0.2">
      <c r="A1243" s="32"/>
    </row>
    <row r="1244" spans="1:1" ht="12.75" customHeight="1" x14ac:dyDescent="0.2">
      <c r="A1244" s="32"/>
    </row>
    <row r="1245" spans="1:1" ht="12.75" customHeight="1" x14ac:dyDescent="0.2">
      <c r="A1245" s="32"/>
    </row>
    <row r="1246" spans="1:1" ht="12.75" customHeight="1" x14ac:dyDescent="0.2">
      <c r="A1246" s="32"/>
    </row>
    <row r="1247" spans="1:1" ht="12.75" customHeight="1" x14ac:dyDescent="0.2">
      <c r="A1247" s="32"/>
    </row>
    <row r="1248" spans="1:1" ht="12.75" customHeight="1" x14ac:dyDescent="0.2">
      <c r="A1248" s="32"/>
    </row>
    <row r="1249" spans="1:1" ht="12.75" customHeight="1" x14ac:dyDescent="0.2">
      <c r="A1249" s="32"/>
    </row>
    <row r="1250" spans="1:1" ht="12.75" customHeight="1" x14ac:dyDescent="0.2">
      <c r="A1250" s="32"/>
    </row>
    <row r="1251" spans="1:1" ht="12.75" customHeight="1" x14ac:dyDescent="0.2">
      <c r="A1251" s="32"/>
    </row>
    <row r="1252" spans="1:1" ht="12.75" customHeight="1" x14ac:dyDescent="0.2">
      <c r="A1252" s="32"/>
    </row>
    <row r="1253" spans="1:1" ht="12.75" customHeight="1" x14ac:dyDescent="0.2">
      <c r="A1253" s="32"/>
    </row>
    <row r="1254" spans="1:1" ht="12.75" customHeight="1" x14ac:dyDescent="0.2">
      <c r="A1254" s="32"/>
    </row>
    <row r="1255" spans="1:1" ht="12.75" customHeight="1" x14ac:dyDescent="0.2">
      <c r="A1255" s="32"/>
    </row>
    <row r="1256" spans="1:1" ht="12.75" customHeight="1" x14ac:dyDescent="0.2">
      <c r="A1256" s="32"/>
    </row>
    <row r="1257" spans="1:1" ht="12.75" customHeight="1" x14ac:dyDescent="0.2">
      <c r="A1257" s="32"/>
    </row>
    <row r="1258" spans="1:1" ht="12.75" customHeight="1" x14ac:dyDescent="0.2">
      <c r="A1258" s="32"/>
    </row>
    <row r="1259" spans="1:1" ht="12.75" customHeight="1" x14ac:dyDescent="0.2">
      <c r="A1259" s="32"/>
    </row>
    <row r="1260" spans="1:1" ht="12.75" customHeight="1" x14ac:dyDescent="0.2">
      <c r="A1260" s="32"/>
    </row>
    <row r="1261" spans="1:1" ht="12.75" customHeight="1" x14ac:dyDescent="0.2">
      <c r="A1261" s="32"/>
    </row>
    <row r="1262" spans="1:1" ht="12.75" customHeight="1" x14ac:dyDescent="0.2">
      <c r="A1262" s="32"/>
    </row>
    <row r="1263" spans="1:1" ht="12.75" customHeight="1" x14ac:dyDescent="0.2">
      <c r="A1263" s="32"/>
    </row>
    <row r="1264" spans="1:1" ht="12.75" customHeight="1" x14ac:dyDescent="0.2">
      <c r="A1264" s="32"/>
    </row>
    <row r="1265" spans="1:1" ht="12.75" customHeight="1" x14ac:dyDescent="0.2">
      <c r="A1265" s="32"/>
    </row>
    <row r="1266" spans="1:1" ht="12.75" customHeight="1" x14ac:dyDescent="0.2">
      <c r="A1266" s="32"/>
    </row>
    <row r="1267" spans="1:1" ht="12.75" customHeight="1" x14ac:dyDescent="0.2">
      <c r="A1267" s="32"/>
    </row>
    <row r="1268" spans="1:1" ht="12.75" customHeight="1" x14ac:dyDescent="0.2">
      <c r="A1268" s="32"/>
    </row>
    <row r="1269" spans="1:1" ht="12.75" customHeight="1" x14ac:dyDescent="0.2">
      <c r="A1269" s="32"/>
    </row>
    <row r="1270" spans="1:1" ht="12.75" customHeight="1" x14ac:dyDescent="0.2">
      <c r="A1270" s="32"/>
    </row>
    <row r="1271" spans="1:1" ht="12.75" customHeight="1" x14ac:dyDescent="0.2">
      <c r="A1271" s="32"/>
    </row>
    <row r="1272" spans="1:1" ht="12.75" customHeight="1" x14ac:dyDescent="0.2">
      <c r="A1272" s="32"/>
    </row>
    <row r="1273" spans="1:1" ht="12.75" customHeight="1" x14ac:dyDescent="0.2">
      <c r="A1273" s="32"/>
    </row>
    <row r="1274" spans="1:1" ht="12.75" customHeight="1" x14ac:dyDescent="0.2">
      <c r="A1274" s="32"/>
    </row>
    <row r="1275" spans="1:1" ht="12.75" customHeight="1" x14ac:dyDescent="0.2">
      <c r="A1275" s="32"/>
    </row>
    <row r="1276" spans="1:1" ht="12.75" customHeight="1" x14ac:dyDescent="0.2">
      <c r="A1276" s="32"/>
    </row>
    <row r="1277" spans="1:1" ht="12.75" customHeight="1" x14ac:dyDescent="0.2">
      <c r="A1277" s="32"/>
    </row>
    <row r="1278" spans="1:1" ht="12.75" customHeight="1" x14ac:dyDescent="0.2">
      <c r="A1278" s="32"/>
    </row>
    <row r="1279" spans="1:1" ht="12.75" customHeight="1" x14ac:dyDescent="0.2">
      <c r="A1279" s="32"/>
    </row>
    <row r="1280" spans="1:1" ht="12.75" customHeight="1" x14ac:dyDescent="0.2">
      <c r="A1280" s="32"/>
    </row>
    <row r="1281" spans="1:1" ht="12.75" customHeight="1" x14ac:dyDescent="0.2">
      <c r="A1281" s="32"/>
    </row>
    <row r="1282" spans="1:1" ht="12.75" customHeight="1" x14ac:dyDescent="0.2">
      <c r="A1282" s="32"/>
    </row>
    <row r="1283" spans="1:1" ht="12.75" customHeight="1" x14ac:dyDescent="0.2">
      <c r="A1283" s="32"/>
    </row>
    <row r="1284" spans="1:1" ht="12.75" customHeight="1" x14ac:dyDescent="0.2">
      <c r="A1284" s="32"/>
    </row>
    <row r="1285" spans="1:1" ht="12.75" customHeight="1" x14ac:dyDescent="0.2">
      <c r="A1285" s="32"/>
    </row>
    <row r="1286" spans="1:1" ht="12.75" customHeight="1" x14ac:dyDescent="0.2">
      <c r="A1286" s="32"/>
    </row>
    <row r="1287" spans="1:1" ht="12.75" customHeight="1" x14ac:dyDescent="0.2">
      <c r="A1287" s="32"/>
    </row>
    <row r="1288" spans="1:1" ht="12.75" customHeight="1" x14ac:dyDescent="0.2">
      <c r="A1288" s="32"/>
    </row>
    <row r="1289" spans="1:1" ht="12.75" customHeight="1" x14ac:dyDescent="0.2">
      <c r="A1289" s="32"/>
    </row>
    <row r="1290" spans="1:1" ht="12.75" customHeight="1" x14ac:dyDescent="0.2">
      <c r="A1290" s="32"/>
    </row>
    <row r="1291" spans="1:1" ht="12.75" customHeight="1" x14ac:dyDescent="0.2">
      <c r="A1291" s="32"/>
    </row>
    <row r="1292" spans="1:1" ht="12.75" customHeight="1" x14ac:dyDescent="0.2">
      <c r="A1292" s="32"/>
    </row>
    <row r="1293" spans="1:1" ht="12.75" customHeight="1" x14ac:dyDescent="0.2">
      <c r="A1293" s="32"/>
    </row>
    <row r="1294" spans="1:1" ht="12.75" customHeight="1" x14ac:dyDescent="0.2">
      <c r="A1294" s="32"/>
    </row>
    <row r="1295" spans="1:1" ht="12.75" customHeight="1" x14ac:dyDescent="0.2">
      <c r="A1295" s="32"/>
    </row>
    <row r="1296" spans="1:1" ht="12.75" customHeight="1" x14ac:dyDescent="0.2">
      <c r="A1296" s="32"/>
    </row>
    <row r="1297" spans="1:1" ht="12.75" customHeight="1" x14ac:dyDescent="0.2">
      <c r="A1297" s="32"/>
    </row>
    <row r="1298" spans="1:1" ht="12.75" customHeight="1" x14ac:dyDescent="0.2">
      <c r="A1298" s="32"/>
    </row>
    <row r="1299" spans="1:1" ht="12.75" customHeight="1" x14ac:dyDescent="0.2">
      <c r="A1299" s="32"/>
    </row>
    <row r="1300" spans="1:1" ht="12.75" customHeight="1" x14ac:dyDescent="0.2">
      <c r="A1300" s="32"/>
    </row>
    <row r="1301" spans="1:1" ht="12.75" customHeight="1" x14ac:dyDescent="0.2">
      <c r="A1301" s="32"/>
    </row>
    <row r="1302" spans="1:1" ht="12.75" customHeight="1" x14ac:dyDescent="0.2">
      <c r="A1302" s="32"/>
    </row>
    <row r="1303" spans="1:1" ht="12.75" customHeight="1" x14ac:dyDescent="0.2">
      <c r="A1303" s="32"/>
    </row>
    <row r="1304" spans="1:1" ht="12.75" customHeight="1" x14ac:dyDescent="0.2">
      <c r="A1304" s="32"/>
    </row>
    <row r="1305" spans="1:1" ht="12.75" customHeight="1" x14ac:dyDescent="0.2">
      <c r="A1305" s="32"/>
    </row>
    <row r="1306" spans="1:1" ht="12.75" customHeight="1" x14ac:dyDescent="0.2">
      <c r="A1306" s="32"/>
    </row>
    <row r="1307" spans="1:1" ht="12.75" customHeight="1" x14ac:dyDescent="0.2">
      <c r="A1307" s="32"/>
    </row>
    <row r="1308" spans="1:1" ht="12.75" customHeight="1" x14ac:dyDescent="0.2">
      <c r="A1308" s="32"/>
    </row>
    <row r="1309" spans="1:1" ht="12.75" customHeight="1" x14ac:dyDescent="0.2">
      <c r="A1309" s="32"/>
    </row>
    <row r="1310" spans="1:1" ht="12.75" customHeight="1" x14ac:dyDescent="0.2">
      <c r="A1310" s="32"/>
    </row>
    <row r="1311" spans="1:1" ht="12.75" customHeight="1" x14ac:dyDescent="0.2">
      <c r="A1311" s="32"/>
    </row>
    <row r="1312" spans="1:1" ht="12.75" customHeight="1" x14ac:dyDescent="0.2">
      <c r="A1312" s="32"/>
    </row>
    <row r="1313" spans="1:1" ht="12.75" customHeight="1" x14ac:dyDescent="0.2">
      <c r="A1313" s="32"/>
    </row>
    <row r="1314" spans="1:1" ht="12.75" customHeight="1" x14ac:dyDescent="0.2">
      <c r="A1314" s="32"/>
    </row>
    <row r="1315" spans="1:1" ht="12.75" customHeight="1" x14ac:dyDescent="0.2">
      <c r="A1315" s="32"/>
    </row>
    <row r="1316" spans="1:1" ht="12.75" customHeight="1" x14ac:dyDescent="0.2">
      <c r="A1316" s="32"/>
    </row>
    <row r="1317" spans="1:1" ht="12.75" customHeight="1" x14ac:dyDescent="0.2">
      <c r="A1317" s="32"/>
    </row>
    <row r="1318" spans="1:1" ht="12.75" customHeight="1" x14ac:dyDescent="0.2">
      <c r="A1318" s="32"/>
    </row>
    <row r="1319" spans="1:1" ht="12.75" customHeight="1" x14ac:dyDescent="0.2">
      <c r="A1319" s="32"/>
    </row>
    <row r="1320" spans="1:1" ht="12.75" customHeight="1" x14ac:dyDescent="0.2">
      <c r="A1320" s="32"/>
    </row>
    <row r="1321" spans="1:1" ht="12.75" customHeight="1" x14ac:dyDescent="0.2">
      <c r="A1321" s="32"/>
    </row>
    <row r="1322" spans="1:1" ht="12.75" customHeight="1" x14ac:dyDescent="0.2">
      <c r="A1322" s="32"/>
    </row>
    <row r="1323" spans="1:1" ht="12.75" customHeight="1" x14ac:dyDescent="0.2">
      <c r="A1323" s="32"/>
    </row>
    <row r="1324" spans="1:1" ht="12.75" customHeight="1" x14ac:dyDescent="0.2">
      <c r="A1324" s="32"/>
    </row>
    <row r="1325" spans="1:1" ht="12.75" customHeight="1" x14ac:dyDescent="0.2">
      <c r="A1325" s="32"/>
    </row>
    <row r="1326" spans="1:1" ht="12.75" customHeight="1" x14ac:dyDescent="0.2">
      <c r="A1326" s="32"/>
    </row>
    <row r="1327" spans="1:1" ht="12.75" customHeight="1" x14ac:dyDescent="0.2">
      <c r="A1327" s="32"/>
    </row>
    <row r="1328" spans="1:1" ht="12.75" customHeight="1" x14ac:dyDescent="0.2">
      <c r="A1328" s="32"/>
    </row>
    <row r="1329" spans="1:1" ht="12.75" customHeight="1" x14ac:dyDescent="0.2">
      <c r="A1329" s="32"/>
    </row>
    <row r="1330" spans="1:1" ht="12.75" customHeight="1" x14ac:dyDescent="0.2">
      <c r="A1330" s="32"/>
    </row>
    <row r="1331" spans="1:1" ht="12.75" customHeight="1" x14ac:dyDescent="0.2">
      <c r="A1331" s="32"/>
    </row>
    <row r="1332" spans="1:1" ht="12.75" customHeight="1" x14ac:dyDescent="0.2">
      <c r="A1332" s="32"/>
    </row>
    <row r="1333" spans="1:1" ht="12.75" customHeight="1" x14ac:dyDescent="0.2">
      <c r="A1333" s="32"/>
    </row>
    <row r="1334" spans="1:1" ht="12.75" customHeight="1" x14ac:dyDescent="0.2">
      <c r="A1334" s="32"/>
    </row>
    <row r="1335" spans="1:1" ht="12.75" customHeight="1" x14ac:dyDescent="0.2">
      <c r="A1335" s="32"/>
    </row>
    <row r="1336" spans="1:1" ht="12.75" customHeight="1" x14ac:dyDescent="0.2">
      <c r="A1336" s="32"/>
    </row>
    <row r="1337" spans="1:1" ht="12.75" customHeight="1" x14ac:dyDescent="0.2">
      <c r="A1337" s="32"/>
    </row>
    <row r="1338" spans="1:1" ht="12.75" customHeight="1" x14ac:dyDescent="0.2">
      <c r="A1338" s="32"/>
    </row>
    <row r="1339" spans="1:1" ht="12.75" customHeight="1" x14ac:dyDescent="0.2">
      <c r="A1339" s="32"/>
    </row>
    <row r="1340" spans="1:1" ht="12.75" customHeight="1" x14ac:dyDescent="0.2">
      <c r="A1340" s="32"/>
    </row>
    <row r="1341" spans="1:1" ht="12.75" customHeight="1" x14ac:dyDescent="0.2">
      <c r="A1341" s="32"/>
    </row>
    <row r="1342" spans="1:1" ht="12.75" customHeight="1" x14ac:dyDescent="0.2">
      <c r="A1342" s="32"/>
    </row>
    <row r="1343" spans="1:1" ht="12.75" customHeight="1" x14ac:dyDescent="0.2">
      <c r="A1343" s="32"/>
    </row>
    <row r="1344" spans="1:1" ht="12.75" customHeight="1" x14ac:dyDescent="0.2">
      <c r="A1344" s="32"/>
    </row>
    <row r="1345" spans="1:1" ht="12.75" customHeight="1" x14ac:dyDescent="0.2">
      <c r="A1345" s="32"/>
    </row>
    <row r="1346" spans="1:1" ht="12.75" customHeight="1" x14ac:dyDescent="0.2">
      <c r="A1346" s="32"/>
    </row>
    <row r="1347" spans="1:1" ht="12.75" customHeight="1" x14ac:dyDescent="0.2">
      <c r="A1347" s="32"/>
    </row>
    <row r="1348" spans="1:1" ht="12.75" customHeight="1" x14ac:dyDescent="0.2">
      <c r="A1348" s="32"/>
    </row>
    <row r="1349" spans="1:1" ht="12.75" customHeight="1" x14ac:dyDescent="0.2">
      <c r="A1349" s="32"/>
    </row>
    <row r="1350" spans="1:1" ht="12.75" customHeight="1" x14ac:dyDescent="0.2">
      <c r="A1350" s="32"/>
    </row>
    <row r="1351" spans="1:1" ht="12.75" customHeight="1" x14ac:dyDescent="0.2">
      <c r="A1351" s="32"/>
    </row>
    <row r="1352" spans="1:1" ht="12.75" customHeight="1" x14ac:dyDescent="0.2">
      <c r="A1352" s="32"/>
    </row>
    <row r="1353" spans="1:1" ht="12.75" customHeight="1" x14ac:dyDescent="0.2">
      <c r="A1353" s="32"/>
    </row>
    <row r="1354" spans="1:1" ht="12.75" customHeight="1" x14ac:dyDescent="0.2">
      <c r="A1354" s="32"/>
    </row>
    <row r="1355" spans="1:1" ht="12.75" customHeight="1" x14ac:dyDescent="0.2">
      <c r="A1355" s="32"/>
    </row>
    <row r="1356" spans="1:1" ht="12.75" customHeight="1" x14ac:dyDescent="0.2">
      <c r="A1356" s="32"/>
    </row>
    <row r="1357" spans="1:1" ht="12.75" customHeight="1" x14ac:dyDescent="0.2">
      <c r="A1357" s="32"/>
    </row>
    <row r="1358" spans="1:1" ht="12.75" customHeight="1" x14ac:dyDescent="0.2">
      <c r="A1358" s="32"/>
    </row>
    <row r="1359" spans="1:1" ht="12.75" customHeight="1" x14ac:dyDescent="0.2">
      <c r="A1359" s="32"/>
    </row>
    <row r="1360" spans="1:1" ht="12.75" customHeight="1" x14ac:dyDescent="0.2">
      <c r="A1360" s="32"/>
    </row>
    <row r="1361" spans="1:1" ht="12.75" customHeight="1" x14ac:dyDescent="0.2">
      <c r="A1361" s="32"/>
    </row>
    <row r="1362" spans="1:1" ht="12.75" customHeight="1" x14ac:dyDescent="0.2">
      <c r="A1362" s="32"/>
    </row>
    <row r="1363" spans="1:1" ht="12.75" customHeight="1" x14ac:dyDescent="0.2">
      <c r="A1363" s="32"/>
    </row>
    <row r="1364" spans="1:1" ht="12.75" customHeight="1" x14ac:dyDescent="0.2">
      <c r="A1364" s="32"/>
    </row>
    <row r="1365" spans="1:1" ht="12.75" customHeight="1" x14ac:dyDescent="0.2">
      <c r="A1365" s="32"/>
    </row>
    <row r="1366" spans="1:1" ht="12.75" customHeight="1" x14ac:dyDescent="0.2">
      <c r="A1366" s="32"/>
    </row>
    <row r="1367" spans="1:1" ht="12.75" customHeight="1" x14ac:dyDescent="0.2">
      <c r="A1367" s="32"/>
    </row>
    <row r="1368" spans="1:1" ht="12.75" customHeight="1" x14ac:dyDescent="0.2">
      <c r="A1368" s="32"/>
    </row>
    <row r="1369" spans="1:1" ht="12.75" customHeight="1" x14ac:dyDescent="0.2">
      <c r="A1369" s="32"/>
    </row>
    <row r="1370" spans="1:1" ht="12.75" customHeight="1" x14ac:dyDescent="0.2">
      <c r="A1370" s="32"/>
    </row>
    <row r="1371" spans="1:1" ht="12.75" customHeight="1" x14ac:dyDescent="0.2">
      <c r="A1371" s="32"/>
    </row>
    <row r="1372" spans="1:1" ht="12.75" customHeight="1" x14ac:dyDescent="0.2">
      <c r="A1372" s="32"/>
    </row>
    <row r="1373" spans="1:1" ht="12.75" customHeight="1" x14ac:dyDescent="0.2">
      <c r="A1373" s="32"/>
    </row>
    <row r="1374" spans="1:1" ht="12.75" customHeight="1" x14ac:dyDescent="0.2">
      <c r="A1374" s="32"/>
    </row>
    <row r="1375" spans="1:1" ht="12.75" customHeight="1" x14ac:dyDescent="0.2">
      <c r="A1375" s="32"/>
    </row>
    <row r="1376" spans="1:1" ht="12.75" customHeight="1" x14ac:dyDescent="0.2">
      <c r="A1376" s="32"/>
    </row>
    <row r="1377" spans="1:1" ht="12.75" customHeight="1" x14ac:dyDescent="0.2">
      <c r="A1377" s="32"/>
    </row>
    <row r="1378" spans="1:1" ht="12.75" customHeight="1" x14ac:dyDescent="0.2">
      <c r="A1378" s="32"/>
    </row>
    <row r="1379" spans="1:1" ht="12.75" customHeight="1" x14ac:dyDescent="0.2">
      <c r="A1379" s="32"/>
    </row>
    <row r="1380" spans="1:1" ht="12.75" customHeight="1" x14ac:dyDescent="0.2">
      <c r="A1380" s="32"/>
    </row>
    <row r="1381" spans="1:1" ht="12.75" customHeight="1" x14ac:dyDescent="0.2">
      <c r="A1381" s="32"/>
    </row>
    <row r="1382" spans="1:1" ht="12.75" customHeight="1" x14ac:dyDescent="0.2">
      <c r="A1382" s="32"/>
    </row>
    <row r="1383" spans="1:1" ht="12.75" customHeight="1" x14ac:dyDescent="0.2">
      <c r="A1383" s="32"/>
    </row>
    <row r="1384" spans="1:1" ht="12.75" customHeight="1" x14ac:dyDescent="0.2">
      <c r="A1384" s="32"/>
    </row>
    <row r="1385" spans="1:1" ht="12.75" customHeight="1" x14ac:dyDescent="0.2">
      <c r="A1385" s="32"/>
    </row>
    <row r="1386" spans="1:1" ht="12.75" customHeight="1" x14ac:dyDescent="0.2">
      <c r="A1386" s="32"/>
    </row>
    <row r="1387" spans="1:1" ht="12.75" customHeight="1" x14ac:dyDescent="0.2">
      <c r="A1387" s="32"/>
    </row>
    <row r="1388" spans="1:1" ht="12.75" customHeight="1" x14ac:dyDescent="0.2">
      <c r="A1388" s="32"/>
    </row>
    <row r="1389" spans="1:1" ht="12.75" customHeight="1" x14ac:dyDescent="0.2">
      <c r="A1389" s="32"/>
    </row>
    <row r="1390" spans="1:1" ht="12.75" customHeight="1" x14ac:dyDescent="0.2">
      <c r="A1390" s="32"/>
    </row>
    <row r="1391" spans="1:1" ht="12.75" customHeight="1" x14ac:dyDescent="0.2">
      <c r="A1391" s="32"/>
    </row>
    <row r="1392" spans="1:1" ht="12.75" customHeight="1" x14ac:dyDescent="0.2">
      <c r="A1392" s="32"/>
    </row>
    <row r="1393" spans="1:1" ht="12.75" customHeight="1" x14ac:dyDescent="0.2">
      <c r="A1393" s="32"/>
    </row>
    <row r="1394" spans="1:1" ht="12.75" customHeight="1" x14ac:dyDescent="0.2">
      <c r="A1394" s="32"/>
    </row>
    <row r="1395" spans="1:1" ht="12.75" customHeight="1" x14ac:dyDescent="0.2">
      <c r="A1395" s="32"/>
    </row>
    <row r="1396" spans="1:1" ht="12.75" customHeight="1" x14ac:dyDescent="0.2">
      <c r="A1396" s="32"/>
    </row>
    <row r="1397" spans="1:1" ht="12.75" customHeight="1" x14ac:dyDescent="0.2">
      <c r="A1397" s="32"/>
    </row>
    <row r="1398" spans="1:1" ht="12.75" customHeight="1" x14ac:dyDescent="0.2">
      <c r="A1398" s="32"/>
    </row>
    <row r="1399" spans="1:1" ht="12.75" customHeight="1" x14ac:dyDescent="0.2">
      <c r="A1399" s="32"/>
    </row>
    <row r="1400" spans="1:1" ht="12.75" customHeight="1" x14ac:dyDescent="0.2">
      <c r="A1400" s="32"/>
    </row>
    <row r="1401" spans="1:1" ht="12.75" customHeight="1" x14ac:dyDescent="0.2">
      <c r="A1401" s="32"/>
    </row>
    <row r="1402" spans="1:1" ht="12.75" customHeight="1" x14ac:dyDescent="0.2">
      <c r="A1402" s="32"/>
    </row>
    <row r="1403" spans="1:1" ht="12.75" customHeight="1" x14ac:dyDescent="0.2">
      <c r="A1403" s="32"/>
    </row>
    <row r="1404" spans="1:1" ht="12.75" customHeight="1" x14ac:dyDescent="0.2">
      <c r="A1404" s="32"/>
    </row>
    <row r="1405" spans="1:1" ht="12.75" customHeight="1" x14ac:dyDescent="0.2">
      <c r="A1405" s="32"/>
    </row>
    <row r="1406" spans="1:1" ht="12.75" customHeight="1" x14ac:dyDescent="0.2">
      <c r="A1406" s="32"/>
    </row>
    <row r="1407" spans="1:1" ht="12.75" customHeight="1" x14ac:dyDescent="0.2">
      <c r="A1407" s="32"/>
    </row>
    <row r="1408" spans="1:1" ht="12.75" customHeight="1" x14ac:dyDescent="0.2">
      <c r="A1408" s="32"/>
    </row>
    <row r="1409" spans="1:1" ht="12.75" customHeight="1" x14ac:dyDescent="0.2">
      <c r="A1409" s="32"/>
    </row>
    <row r="1410" spans="1:1" ht="12.75" customHeight="1" x14ac:dyDescent="0.2">
      <c r="A1410" s="32"/>
    </row>
    <row r="1411" spans="1:1" ht="12.75" customHeight="1" x14ac:dyDescent="0.2">
      <c r="A1411" s="32"/>
    </row>
    <row r="1412" spans="1:1" ht="12.75" customHeight="1" x14ac:dyDescent="0.2">
      <c r="A1412" s="32"/>
    </row>
    <row r="1413" spans="1:1" ht="12.75" customHeight="1" x14ac:dyDescent="0.2">
      <c r="A1413" s="32"/>
    </row>
    <row r="1414" spans="1:1" ht="12.75" customHeight="1" x14ac:dyDescent="0.2">
      <c r="A1414" s="32"/>
    </row>
    <row r="1415" spans="1:1" ht="12.75" customHeight="1" x14ac:dyDescent="0.2">
      <c r="A1415" s="32"/>
    </row>
    <row r="1416" spans="1:1" ht="12.75" customHeight="1" x14ac:dyDescent="0.2">
      <c r="A1416" s="32"/>
    </row>
    <row r="1417" spans="1:1" ht="12.75" customHeight="1" x14ac:dyDescent="0.2">
      <c r="A1417" s="32"/>
    </row>
    <row r="1418" spans="1:1" ht="12.75" customHeight="1" x14ac:dyDescent="0.2">
      <c r="A1418" s="32"/>
    </row>
    <row r="1419" spans="1:1" ht="12.75" customHeight="1" x14ac:dyDescent="0.2">
      <c r="A1419" s="32"/>
    </row>
    <row r="1420" spans="1:1" ht="12.75" customHeight="1" x14ac:dyDescent="0.2">
      <c r="A1420" s="32"/>
    </row>
    <row r="1421" spans="1:1" ht="12.75" customHeight="1" x14ac:dyDescent="0.2">
      <c r="A1421" s="32"/>
    </row>
    <row r="1422" spans="1:1" ht="12.75" customHeight="1" x14ac:dyDescent="0.2">
      <c r="A1422" s="32"/>
    </row>
    <row r="1423" spans="1:1" ht="12.75" customHeight="1" x14ac:dyDescent="0.2">
      <c r="A1423" s="32"/>
    </row>
    <row r="1424" spans="1:1" ht="12.75" customHeight="1" x14ac:dyDescent="0.2">
      <c r="A1424" s="32"/>
    </row>
    <row r="1425" spans="1:1" ht="12.75" customHeight="1" x14ac:dyDescent="0.2">
      <c r="A1425" s="32"/>
    </row>
    <row r="1426" spans="1:1" ht="12.75" customHeight="1" x14ac:dyDescent="0.2">
      <c r="A1426" s="32"/>
    </row>
    <row r="1427" spans="1:1" ht="12.75" customHeight="1" x14ac:dyDescent="0.2">
      <c r="A1427" s="32"/>
    </row>
    <row r="1428" spans="1:1" ht="12.75" customHeight="1" x14ac:dyDescent="0.2">
      <c r="A1428" s="32"/>
    </row>
    <row r="1429" spans="1:1" ht="12.75" customHeight="1" x14ac:dyDescent="0.2">
      <c r="A1429" s="32"/>
    </row>
    <row r="1430" spans="1:1" ht="12.75" customHeight="1" x14ac:dyDescent="0.2">
      <c r="A1430" s="32"/>
    </row>
    <row r="1431" spans="1:1" ht="12.75" customHeight="1" x14ac:dyDescent="0.2">
      <c r="A1431" s="32"/>
    </row>
    <row r="1432" spans="1:1" ht="12.75" customHeight="1" x14ac:dyDescent="0.2">
      <c r="A1432" s="32"/>
    </row>
    <row r="1433" spans="1:1" ht="12.75" customHeight="1" x14ac:dyDescent="0.2">
      <c r="A1433" s="32"/>
    </row>
    <row r="1434" spans="1:1" ht="12.75" customHeight="1" x14ac:dyDescent="0.2">
      <c r="A1434" s="32"/>
    </row>
    <row r="1435" spans="1:1" ht="12.75" customHeight="1" x14ac:dyDescent="0.2">
      <c r="A1435" s="32"/>
    </row>
    <row r="1436" spans="1:1" ht="12.75" customHeight="1" x14ac:dyDescent="0.2">
      <c r="A1436" s="32"/>
    </row>
    <row r="1437" spans="1:1" ht="12.75" customHeight="1" x14ac:dyDescent="0.2">
      <c r="A1437" s="32"/>
    </row>
    <row r="1438" spans="1:1" ht="12.75" customHeight="1" x14ac:dyDescent="0.2">
      <c r="A1438" s="32"/>
    </row>
    <row r="1439" spans="1:1" ht="12.75" customHeight="1" x14ac:dyDescent="0.2">
      <c r="A1439" s="32"/>
    </row>
    <row r="1440" spans="1:1" ht="12.75" customHeight="1" x14ac:dyDescent="0.2">
      <c r="A1440" s="32"/>
    </row>
    <row r="1441" spans="1:1" ht="12.75" customHeight="1" x14ac:dyDescent="0.2">
      <c r="A1441" s="32"/>
    </row>
    <row r="1442" spans="1:1" ht="12.75" customHeight="1" x14ac:dyDescent="0.2">
      <c r="A1442" s="32"/>
    </row>
    <row r="1443" spans="1:1" ht="12.75" customHeight="1" x14ac:dyDescent="0.2">
      <c r="A1443" s="32"/>
    </row>
    <row r="1444" spans="1:1" ht="12.75" customHeight="1" x14ac:dyDescent="0.2">
      <c r="A1444" s="32"/>
    </row>
    <row r="1445" spans="1:1" ht="12.75" customHeight="1" x14ac:dyDescent="0.2">
      <c r="A1445" s="32"/>
    </row>
    <row r="1446" spans="1:1" ht="12.75" customHeight="1" x14ac:dyDescent="0.2">
      <c r="A1446" s="32"/>
    </row>
    <row r="1447" spans="1:1" ht="12.75" customHeight="1" x14ac:dyDescent="0.2">
      <c r="A1447" s="32"/>
    </row>
  </sheetData>
  <phoneticPr fontId="15" type="noConversion"/>
  <hyperlinks>
    <hyperlink ref="J221" r:id="rId1" xr:uid="{C7ACF026-371F-48EF-BA28-3F1FC67A1943}"/>
  </hyperlinks>
  <pageMargins left="0.78749999999999998" right="0.78749999999999998" top="1.0249999999999999" bottom="1.0249999999999999" header="0" footer="0"/>
  <pageSetup orientation="portrait" r:id="rId2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1B9B5-8038-4601-A2ED-6E1025BB7622}">
  <dimension ref="A1:AC28"/>
  <sheetViews>
    <sheetView workbookViewId="0">
      <selection activeCell="K38" sqref="K38"/>
    </sheetView>
  </sheetViews>
  <sheetFormatPr defaultRowHeight="12.75" x14ac:dyDescent="0.2"/>
  <sheetData>
    <row r="1" spans="1:27" x14ac:dyDescent="0.2">
      <c r="A1">
        <v>1</v>
      </c>
      <c r="B1">
        <v>8.82</v>
      </c>
      <c r="C1">
        <f>B1/A1</f>
        <v>8.82</v>
      </c>
      <c r="E1">
        <f>A1*12</f>
        <v>12</v>
      </c>
    </row>
    <row r="2" spans="1:27" x14ac:dyDescent="0.2">
      <c r="A2">
        <v>1.5</v>
      </c>
      <c r="B2">
        <v>12.76</v>
      </c>
      <c r="C2">
        <f t="shared" ref="C2:C7" si="0">B2/A2</f>
        <v>8.5066666666666659</v>
      </c>
      <c r="E2">
        <f t="shared" ref="E2:E7" si="1">A2*12</f>
        <v>18</v>
      </c>
    </row>
    <row r="3" spans="1:27" x14ac:dyDescent="0.2">
      <c r="A3">
        <v>2</v>
      </c>
      <c r="B3">
        <v>16.86</v>
      </c>
      <c r="C3">
        <f t="shared" si="0"/>
        <v>8.43</v>
      </c>
      <c r="E3">
        <f t="shared" si="1"/>
        <v>24</v>
      </c>
    </row>
    <row r="4" spans="1:27" x14ac:dyDescent="0.2">
      <c r="A4">
        <v>3</v>
      </c>
      <c r="B4">
        <v>25.14</v>
      </c>
      <c r="C4">
        <f t="shared" si="0"/>
        <v>8.3800000000000008</v>
      </c>
      <c r="E4">
        <f t="shared" si="1"/>
        <v>36</v>
      </c>
    </row>
    <row r="5" spans="1:27" x14ac:dyDescent="0.2">
      <c r="A5">
        <v>4</v>
      </c>
      <c r="B5">
        <v>34.79</v>
      </c>
      <c r="C5">
        <f t="shared" si="0"/>
        <v>8.6974999999999998</v>
      </c>
      <c r="E5">
        <f t="shared" si="1"/>
        <v>48</v>
      </c>
      <c r="H5" s="34" t="s">
        <v>300</v>
      </c>
      <c r="M5" s="34" t="s">
        <v>301</v>
      </c>
    </row>
    <row r="6" spans="1:27" x14ac:dyDescent="0.2">
      <c r="A6">
        <v>5</v>
      </c>
      <c r="B6">
        <v>45.37</v>
      </c>
      <c r="C6">
        <f t="shared" si="0"/>
        <v>9.0739999999999998</v>
      </c>
      <c r="E6">
        <f t="shared" si="1"/>
        <v>60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  <c r="N6">
        <v>7</v>
      </c>
      <c r="O6">
        <v>8</v>
      </c>
      <c r="P6">
        <v>9</v>
      </c>
      <c r="Q6">
        <v>10</v>
      </c>
      <c r="R6">
        <v>11</v>
      </c>
      <c r="S6">
        <v>12</v>
      </c>
      <c r="T6">
        <v>13</v>
      </c>
      <c r="U6">
        <v>14</v>
      </c>
      <c r="V6">
        <v>15</v>
      </c>
      <c r="W6">
        <v>16</v>
      </c>
      <c r="X6">
        <v>17</v>
      </c>
      <c r="Y6">
        <v>18</v>
      </c>
      <c r="Z6">
        <v>19</v>
      </c>
      <c r="AA6">
        <v>20</v>
      </c>
    </row>
    <row r="7" spans="1:27" x14ac:dyDescent="0.2">
      <c r="A7">
        <v>10</v>
      </c>
      <c r="B7">
        <v>74.23</v>
      </c>
      <c r="C7">
        <f t="shared" si="0"/>
        <v>7.423</v>
      </c>
      <c r="E7">
        <f t="shared" si="1"/>
        <v>120</v>
      </c>
      <c r="H7">
        <v>54</v>
      </c>
      <c r="I7">
        <v>54</v>
      </c>
      <c r="J7">
        <v>32</v>
      </c>
      <c r="K7">
        <v>31</v>
      </c>
      <c r="M7">
        <v>43</v>
      </c>
      <c r="N7">
        <v>32</v>
      </c>
      <c r="O7">
        <v>43</v>
      </c>
    </row>
    <row r="8" spans="1:27" x14ac:dyDescent="0.2">
      <c r="H8">
        <v>32</v>
      </c>
      <c r="I8">
        <v>32</v>
      </c>
      <c r="J8">
        <v>31</v>
      </c>
      <c r="M8">
        <v>32</v>
      </c>
      <c r="N8">
        <v>32</v>
      </c>
      <c r="O8">
        <v>31</v>
      </c>
    </row>
    <row r="9" spans="1:27" x14ac:dyDescent="0.2">
      <c r="H9">
        <v>30</v>
      </c>
      <c r="I9">
        <v>30</v>
      </c>
      <c r="J9">
        <v>31</v>
      </c>
      <c r="K9">
        <v>17</v>
      </c>
      <c r="M9">
        <v>31</v>
      </c>
      <c r="N9">
        <v>17</v>
      </c>
      <c r="O9">
        <v>31</v>
      </c>
    </row>
    <row r="10" spans="1:27" x14ac:dyDescent="0.2">
      <c r="J10">
        <v>19</v>
      </c>
      <c r="K10">
        <v>16</v>
      </c>
      <c r="N10">
        <v>15</v>
      </c>
      <c r="O10">
        <v>2</v>
      </c>
    </row>
    <row r="11" spans="1:27" x14ac:dyDescent="0.2">
      <c r="K11">
        <v>16</v>
      </c>
      <c r="N11">
        <v>15</v>
      </c>
      <c r="O11">
        <v>2</v>
      </c>
    </row>
    <row r="12" spans="1:27" x14ac:dyDescent="0.2">
      <c r="K12">
        <v>12</v>
      </c>
      <c r="O12">
        <v>2</v>
      </c>
    </row>
    <row r="13" spans="1:27" x14ac:dyDescent="0.2">
      <c r="K13">
        <v>12</v>
      </c>
      <c r="N13">
        <v>2</v>
      </c>
      <c r="O13">
        <v>2</v>
      </c>
    </row>
    <row r="14" spans="1:27" x14ac:dyDescent="0.2">
      <c r="K14">
        <v>15</v>
      </c>
      <c r="L14">
        <v>15</v>
      </c>
      <c r="N14">
        <v>2</v>
      </c>
      <c r="O14">
        <v>2</v>
      </c>
    </row>
    <row r="15" spans="1:27" x14ac:dyDescent="0.2">
      <c r="O15">
        <v>2</v>
      </c>
    </row>
    <row r="16" spans="1:27" x14ac:dyDescent="0.2">
      <c r="L16">
        <v>2</v>
      </c>
      <c r="O16">
        <v>2</v>
      </c>
    </row>
    <row r="17" spans="7:29" x14ac:dyDescent="0.2">
      <c r="L17">
        <v>2</v>
      </c>
      <c r="M17">
        <v>2</v>
      </c>
    </row>
    <row r="18" spans="7:29" x14ac:dyDescent="0.2">
      <c r="L18">
        <v>2</v>
      </c>
      <c r="M18">
        <v>2</v>
      </c>
    </row>
    <row r="19" spans="7:29" x14ac:dyDescent="0.2">
      <c r="M19">
        <v>2</v>
      </c>
    </row>
    <row r="20" spans="7:29" x14ac:dyDescent="0.2">
      <c r="M20">
        <v>2</v>
      </c>
    </row>
    <row r="21" spans="7:29" x14ac:dyDescent="0.2">
      <c r="M21">
        <v>2</v>
      </c>
    </row>
    <row r="22" spans="7:29" x14ac:dyDescent="0.2">
      <c r="M22">
        <v>2</v>
      </c>
    </row>
    <row r="26" spans="7:29" x14ac:dyDescent="0.2">
      <c r="G26" s="34" t="s">
        <v>299</v>
      </c>
      <c r="H26">
        <f t="shared" ref="H26:R26" si="2">SUM(H7:H25)</f>
        <v>116</v>
      </c>
      <c r="I26">
        <f t="shared" si="2"/>
        <v>116</v>
      </c>
      <c r="J26">
        <f t="shared" si="2"/>
        <v>113</v>
      </c>
      <c r="K26">
        <f t="shared" si="2"/>
        <v>119</v>
      </c>
      <c r="L26">
        <f t="shared" si="2"/>
        <v>21</v>
      </c>
      <c r="M26">
        <f t="shared" si="2"/>
        <v>118</v>
      </c>
      <c r="N26">
        <f t="shared" si="2"/>
        <v>115</v>
      </c>
      <c r="O26">
        <f t="shared" si="2"/>
        <v>119</v>
      </c>
      <c r="P26">
        <f t="shared" si="2"/>
        <v>0</v>
      </c>
      <c r="Q26">
        <f t="shared" si="2"/>
        <v>0</v>
      </c>
      <c r="R26">
        <f t="shared" si="2"/>
        <v>0</v>
      </c>
      <c r="S26">
        <f t="shared" ref="S26:AA26" si="3">SUM(S7:S25)</f>
        <v>0</v>
      </c>
      <c r="T26">
        <f t="shared" si="3"/>
        <v>0</v>
      </c>
      <c r="U26">
        <f t="shared" si="3"/>
        <v>0</v>
      </c>
      <c r="V26">
        <f t="shared" si="3"/>
        <v>0</v>
      </c>
      <c r="W26">
        <f t="shared" si="3"/>
        <v>0</v>
      </c>
      <c r="X26">
        <f t="shared" si="3"/>
        <v>0</v>
      </c>
      <c r="Y26">
        <f t="shared" si="3"/>
        <v>0</v>
      </c>
      <c r="Z26">
        <f t="shared" si="3"/>
        <v>0</v>
      </c>
      <c r="AA26">
        <f t="shared" si="3"/>
        <v>0</v>
      </c>
      <c r="AC26" s="34"/>
    </row>
    <row r="27" spans="7:29" x14ac:dyDescent="0.2">
      <c r="G27">
        <f>SUM(H26:P26)</f>
        <v>837</v>
      </c>
    </row>
    <row r="28" spans="7:29" x14ac:dyDescent="0.2">
      <c r="G28">
        <f>SUM(H26:K26)</f>
        <v>464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ED9D4-6E2C-4786-8CD4-38F8FF14EE06}">
  <dimension ref="A2:X15"/>
  <sheetViews>
    <sheetView topLeftCell="F1" workbookViewId="0">
      <selection activeCell="W16" sqref="W16"/>
    </sheetView>
  </sheetViews>
  <sheetFormatPr defaultColWidth="9.33203125" defaultRowHeight="15" x14ac:dyDescent="0.25"/>
  <cols>
    <col min="1" max="2" width="9.33203125" style="45"/>
    <col min="3" max="3" width="35.6640625" style="45" bestFit="1" customWidth="1"/>
    <col min="4" max="4" width="17.83203125" style="45" bestFit="1" customWidth="1"/>
    <col min="5" max="5" width="35.6640625" style="45" customWidth="1"/>
    <col min="6" max="7" width="16.33203125" style="45" bestFit="1" customWidth="1"/>
    <col min="8" max="8" width="9.33203125" style="45"/>
    <col min="9" max="9" width="10.6640625" style="45" bestFit="1" customWidth="1"/>
    <col min="10" max="10" width="14.83203125" style="45" bestFit="1" customWidth="1"/>
    <col min="11" max="11" width="21.83203125" style="45" bestFit="1" customWidth="1"/>
    <col min="12" max="12" width="17.83203125" style="45" bestFit="1" customWidth="1"/>
    <col min="13" max="13" width="17.83203125" style="45" customWidth="1"/>
    <col min="14" max="14" width="13" style="45" bestFit="1" customWidth="1"/>
    <col min="15" max="20" width="13.6640625" style="45" customWidth="1"/>
    <col min="21" max="16384" width="9.33203125" style="45"/>
  </cols>
  <sheetData>
    <row r="2" spans="1:24" x14ac:dyDescent="0.25">
      <c r="A2" s="45" t="s">
        <v>572</v>
      </c>
      <c r="B2" s="45" t="s">
        <v>571</v>
      </c>
      <c r="C2" s="45" t="s">
        <v>570</v>
      </c>
      <c r="D2" s="45" t="s">
        <v>569</v>
      </c>
      <c r="E2" s="45" t="s">
        <v>568</v>
      </c>
      <c r="F2" s="45" t="s">
        <v>575</v>
      </c>
      <c r="G2" s="45" t="s">
        <v>576</v>
      </c>
      <c r="H2" s="45" t="s">
        <v>567</v>
      </c>
      <c r="I2" s="45" t="s">
        <v>566</v>
      </c>
      <c r="J2" s="45" t="s">
        <v>565</v>
      </c>
      <c r="K2" s="45" t="s">
        <v>564</v>
      </c>
      <c r="L2" s="45" t="s">
        <v>563</v>
      </c>
      <c r="N2" s="45" t="s">
        <v>584</v>
      </c>
      <c r="O2" s="45" t="s">
        <v>593</v>
      </c>
      <c r="P2" s="45" t="s">
        <v>594</v>
      </c>
      <c r="R2" s="45" t="s">
        <v>579</v>
      </c>
      <c r="S2" s="45" t="s">
        <v>596</v>
      </c>
      <c r="T2" s="45" t="s">
        <v>597</v>
      </c>
      <c r="U2" s="45" t="s">
        <v>580</v>
      </c>
      <c r="W2" s="45" t="s">
        <v>581</v>
      </c>
    </row>
    <row r="3" spans="1:24" x14ac:dyDescent="0.25">
      <c r="A3" s="45">
        <f>4*2+2</f>
        <v>10</v>
      </c>
      <c r="B3" s="45">
        <f>8*3+4*2</f>
        <v>32</v>
      </c>
      <c r="C3" s="45" t="s">
        <v>562</v>
      </c>
      <c r="D3" s="45">
        <v>0.25</v>
      </c>
      <c r="E3" s="45">
        <v>0</v>
      </c>
      <c r="F3" s="45">
        <v>0.105</v>
      </c>
      <c r="G3" s="45">
        <v>0</v>
      </c>
      <c r="H3" s="45">
        <v>9.5000000000000001E-2</v>
      </c>
      <c r="I3" s="45">
        <v>9.5000000000000001E-2</v>
      </c>
      <c r="J3" s="45">
        <v>0.5</v>
      </c>
      <c r="K3" s="45">
        <f t="shared" ref="K3:K9" si="0">SUM(D3:I3)</f>
        <v>0.54499999999999993</v>
      </c>
      <c r="L3" s="45">
        <f t="shared" ref="L3:L9" si="1">SUM(D3:J3)</f>
        <v>1.0449999999999999</v>
      </c>
      <c r="N3" s="45">
        <v>2</v>
      </c>
      <c r="O3" s="45">
        <v>1</v>
      </c>
      <c r="P3" s="45">
        <v>0</v>
      </c>
      <c r="R3" s="45">
        <f>N3*(A3+B3)</f>
        <v>84</v>
      </c>
      <c r="S3" s="45">
        <f>O3*(A3+B3)</f>
        <v>42</v>
      </c>
      <c r="T3" s="45">
        <f>P3*(A3+B3)</f>
        <v>0</v>
      </c>
      <c r="U3" s="45">
        <f>A3+B3</f>
        <v>42</v>
      </c>
      <c r="W3" s="45" t="s">
        <v>583</v>
      </c>
    </row>
    <row r="4" spans="1:24" x14ac:dyDescent="0.25">
      <c r="A4" s="45">
        <v>7</v>
      </c>
      <c r="B4" s="45">
        <v>10</v>
      </c>
      <c r="C4" s="45" t="s">
        <v>578</v>
      </c>
      <c r="D4" s="45">
        <v>0</v>
      </c>
      <c r="E4" s="45">
        <v>0.125</v>
      </c>
      <c r="F4" s="45">
        <v>0.105</v>
      </c>
      <c r="G4" s="45">
        <v>0</v>
      </c>
      <c r="H4" s="45">
        <v>9.5000000000000001E-2</v>
      </c>
      <c r="I4" s="45">
        <v>9.5000000000000001E-2</v>
      </c>
      <c r="J4" s="45">
        <v>0.5</v>
      </c>
      <c r="K4" s="45">
        <f t="shared" si="0"/>
        <v>0.41999999999999993</v>
      </c>
      <c r="L4" s="45">
        <f t="shared" si="1"/>
        <v>0.91999999999999993</v>
      </c>
      <c r="N4" s="45">
        <v>2</v>
      </c>
      <c r="O4" s="45">
        <v>1</v>
      </c>
      <c r="P4" s="45">
        <v>0</v>
      </c>
      <c r="R4" s="45">
        <f t="shared" ref="R4:R9" si="2">N4*(A4+B4)</f>
        <v>34</v>
      </c>
      <c r="S4" s="45">
        <f t="shared" ref="S4:S9" si="3">O4*(A4+B4)</f>
        <v>17</v>
      </c>
      <c r="T4" s="45">
        <f t="shared" ref="T4:T9" si="4">P4*(A4+B4)</f>
        <v>0</v>
      </c>
      <c r="U4" s="45">
        <f t="shared" ref="U4:U9" si="5">A4+B4</f>
        <v>17</v>
      </c>
      <c r="W4" s="45" t="s">
        <v>582</v>
      </c>
    </row>
    <row r="5" spans="1:24" x14ac:dyDescent="0.25">
      <c r="A5" s="45">
        <v>7</v>
      </c>
      <c r="B5" s="45">
        <v>8</v>
      </c>
      <c r="C5" s="45" t="s">
        <v>577</v>
      </c>
      <c r="D5" s="45">
        <v>0</v>
      </c>
      <c r="E5" s="45">
        <v>0.125</v>
      </c>
      <c r="F5" s="45">
        <v>0.3</v>
      </c>
      <c r="G5" s="45">
        <v>0</v>
      </c>
      <c r="H5" s="45">
        <v>9.5000000000000001E-2</v>
      </c>
      <c r="I5" s="45">
        <v>0</v>
      </c>
      <c r="J5" s="45">
        <v>0.5</v>
      </c>
      <c r="K5" s="45">
        <f t="shared" si="0"/>
        <v>0.52</v>
      </c>
      <c r="L5" s="45">
        <f t="shared" si="1"/>
        <v>1.02</v>
      </c>
      <c r="N5" s="45">
        <v>1</v>
      </c>
      <c r="O5" s="45">
        <v>0</v>
      </c>
      <c r="P5" s="45">
        <v>1</v>
      </c>
      <c r="R5" s="45">
        <f t="shared" si="2"/>
        <v>15</v>
      </c>
      <c r="S5" s="45">
        <f t="shared" si="3"/>
        <v>0</v>
      </c>
      <c r="T5" s="45">
        <f t="shared" si="4"/>
        <v>15</v>
      </c>
      <c r="U5" s="45">
        <f t="shared" si="5"/>
        <v>15</v>
      </c>
      <c r="W5" s="45" t="s">
        <v>582</v>
      </c>
    </row>
    <row r="6" spans="1:24" x14ac:dyDescent="0.25">
      <c r="A6" s="45">
        <v>4</v>
      </c>
      <c r="B6" s="45">
        <v>16</v>
      </c>
      <c r="C6" s="45" t="s">
        <v>561</v>
      </c>
      <c r="D6" s="45">
        <v>0.25</v>
      </c>
      <c r="E6" s="45">
        <v>0</v>
      </c>
      <c r="F6" s="45">
        <v>0.3</v>
      </c>
      <c r="G6" s="45">
        <v>0</v>
      </c>
      <c r="H6" s="45">
        <v>9.5000000000000001E-2</v>
      </c>
      <c r="I6" s="45">
        <v>0</v>
      </c>
      <c r="J6" s="45">
        <v>0.5</v>
      </c>
      <c r="K6" s="45">
        <f t="shared" si="0"/>
        <v>0.64500000000000002</v>
      </c>
      <c r="L6" s="45">
        <f t="shared" si="1"/>
        <v>1.145</v>
      </c>
      <c r="N6" s="45">
        <v>1</v>
      </c>
      <c r="O6" s="45">
        <v>0</v>
      </c>
      <c r="P6" s="45">
        <v>1</v>
      </c>
      <c r="R6" s="45">
        <f t="shared" si="2"/>
        <v>20</v>
      </c>
      <c r="S6" s="45">
        <f t="shared" si="3"/>
        <v>0</v>
      </c>
      <c r="T6" s="45">
        <f t="shared" si="4"/>
        <v>20</v>
      </c>
      <c r="U6" s="45">
        <f t="shared" si="5"/>
        <v>20</v>
      </c>
      <c r="W6" s="45" t="s">
        <v>583</v>
      </c>
    </row>
    <row r="7" spans="1:24" x14ac:dyDescent="0.25">
      <c r="A7" s="45">
        <v>4</v>
      </c>
      <c r="B7" s="45">
        <v>10</v>
      </c>
      <c r="C7" s="45" t="s">
        <v>560</v>
      </c>
      <c r="D7" s="45">
        <v>0.25</v>
      </c>
      <c r="E7" s="45">
        <v>0.125</v>
      </c>
      <c r="F7" s="45">
        <v>0.3</v>
      </c>
      <c r="G7" s="45">
        <v>0</v>
      </c>
      <c r="H7" s="45">
        <v>9.5000000000000001E-2</v>
      </c>
      <c r="I7" s="45">
        <v>0</v>
      </c>
      <c r="J7" s="45">
        <v>0.5</v>
      </c>
      <c r="K7" s="45">
        <f t="shared" si="0"/>
        <v>0.77</v>
      </c>
      <c r="L7" s="45">
        <f t="shared" si="1"/>
        <v>1.27</v>
      </c>
      <c r="N7" s="45">
        <v>1</v>
      </c>
      <c r="O7" s="45">
        <v>0</v>
      </c>
      <c r="P7" s="45">
        <v>1</v>
      </c>
      <c r="R7" s="45">
        <f t="shared" si="2"/>
        <v>14</v>
      </c>
      <c r="S7" s="45">
        <f t="shared" si="3"/>
        <v>0</v>
      </c>
      <c r="T7" s="45">
        <f t="shared" si="4"/>
        <v>14</v>
      </c>
      <c r="U7" s="45">
        <f t="shared" si="5"/>
        <v>14</v>
      </c>
      <c r="W7" s="45" t="s">
        <v>585</v>
      </c>
    </row>
    <row r="8" spans="1:24" x14ac:dyDescent="0.25">
      <c r="A8" s="45">
        <v>9</v>
      </c>
      <c r="B8" s="45">
        <v>9</v>
      </c>
      <c r="C8" s="45" t="s">
        <v>573</v>
      </c>
      <c r="D8" s="45">
        <v>0</v>
      </c>
      <c r="E8" s="45">
        <v>0</v>
      </c>
      <c r="F8" s="45">
        <v>0.3</v>
      </c>
      <c r="G8" s="45">
        <v>0.105</v>
      </c>
      <c r="H8" s="45">
        <v>9.5000000000000001E-2</v>
      </c>
      <c r="I8" s="45">
        <v>0</v>
      </c>
      <c r="J8" s="45">
        <v>0.5</v>
      </c>
      <c r="K8" s="45">
        <f t="shared" si="0"/>
        <v>0.5</v>
      </c>
      <c r="L8" s="45">
        <f t="shared" si="1"/>
        <v>1</v>
      </c>
      <c r="N8" s="45">
        <v>1</v>
      </c>
      <c r="O8" s="45">
        <v>0</v>
      </c>
      <c r="P8" s="45">
        <v>1</v>
      </c>
      <c r="R8" s="45">
        <f t="shared" si="2"/>
        <v>18</v>
      </c>
      <c r="S8" s="45">
        <f t="shared" si="3"/>
        <v>0</v>
      </c>
      <c r="T8" s="45">
        <f t="shared" si="4"/>
        <v>18</v>
      </c>
      <c r="U8" s="45">
        <f t="shared" si="5"/>
        <v>18</v>
      </c>
      <c r="W8" s="45" t="s">
        <v>582</v>
      </c>
    </row>
    <row r="9" spans="1:24" x14ac:dyDescent="0.25">
      <c r="A9" s="45">
        <v>9</v>
      </c>
      <c r="B9" s="45">
        <v>9</v>
      </c>
      <c r="C9" s="45" t="s">
        <v>574</v>
      </c>
      <c r="D9" s="45">
        <v>0</v>
      </c>
      <c r="E9" s="45">
        <v>0</v>
      </c>
      <c r="F9" s="45">
        <v>0.105</v>
      </c>
      <c r="G9" s="45">
        <v>0.105</v>
      </c>
      <c r="H9" s="45">
        <v>9.5000000000000001E-2</v>
      </c>
      <c r="I9" s="45">
        <v>9.5000000000000001E-2</v>
      </c>
      <c r="J9" s="45">
        <v>0.5</v>
      </c>
      <c r="K9" s="45">
        <f t="shared" si="0"/>
        <v>0.4</v>
      </c>
      <c r="L9" s="45">
        <f t="shared" si="1"/>
        <v>0.9</v>
      </c>
      <c r="N9" s="45">
        <v>2</v>
      </c>
      <c r="O9" s="45">
        <v>0</v>
      </c>
      <c r="P9" s="45">
        <v>1</v>
      </c>
      <c r="R9" s="45">
        <f t="shared" si="2"/>
        <v>36</v>
      </c>
      <c r="S9" s="45">
        <f t="shared" si="3"/>
        <v>0</v>
      </c>
      <c r="T9" s="45">
        <f t="shared" si="4"/>
        <v>18</v>
      </c>
      <c r="U9" s="45">
        <f t="shared" si="5"/>
        <v>18</v>
      </c>
      <c r="W9" s="45" t="s">
        <v>582</v>
      </c>
    </row>
    <row r="12" spans="1:24" x14ac:dyDescent="0.25">
      <c r="W12" s="45" t="s">
        <v>586</v>
      </c>
      <c r="X12" s="45" t="s">
        <v>587</v>
      </c>
    </row>
    <row r="13" spans="1:24" x14ac:dyDescent="0.25">
      <c r="Q13" s="45" t="s">
        <v>595</v>
      </c>
      <c r="R13" s="45">
        <f>SUM(R3:R9)</f>
        <v>221</v>
      </c>
      <c r="S13" s="45">
        <f>SUM(S3:S9)</f>
        <v>59</v>
      </c>
      <c r="T13" s="45">
        <f>SUM(T3:T9)</f>
        <v>85</v>
      </c>
      <c r="W13" s="45" t="s">
        <v>582</v>
      </c>
      <c r="X13" s="45">
        <f>SUM(U4,U5,U8,U9)</f>
        <v>68</v>
      </c>
    </row>
    <row r="14" spans="1:24" x14ac:dyDescent="0.25">
      <c r="W14" s="45" t="s">
        <v>583</v>
      </c>
      <c r="X14" s="45">
        <f>SUM(U3,U6)</f>
        <v>62</v>
      </c>
    </row>
    <row r="15" spans="1:24" x14ac:dyDescent="0.25">
      <c r="W15" s="45" t="s">
        <v>585</v>
      </c>
      <c r="X15" s="45">
        <f>U7</f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8D378-BF80-4657-81E8-9E9A384A4F21}">
  <dimension ref="A1:L41"/>
  <sheetViews>
    <sheetView topLeftCell="C1" workbookViewId="0">
      <selection activeCell="O24" sqref="O24"/>
    </sheetView>
  </sheetViews>
  <sheetFormatPr defaultRowHeight="12.75" x14ac:dyDescent="0.2"/>
  <cols>
    <col min="1" max="1" width="6" bestFit="1" customWidth="1"/>
    <col min="2" max="2" width="68.1640625" bestFit="1" customWidth="1"/>
    <col min="3" max="3" width="15" bestFit="1" customWidth="1"/>
    <col min="6" max="6" width="8.83203125" bestFit="1" customWidth="1"/>
  </cols>
  <sheetData>
    <row r="1" spans="1:12" ht="14.25" x14ac:dyDescent="0.2">
      <c r="A1" s="3" t="s">
        <v>2</v>
      </c>
      <c r="B1" s="1" t="s">
        <v>409</v>
      </c>
      <c r="C1" s="2" t="s">
        <v>410</v>
      </c>
      <c r="D1" s="2" t="s">
        <v>448</v>
      </c>
    </row>
    <row r="2" spans="1:12" x14ac:dyDescent="0.2">
      <c r="A2" s="38">
        <v>2</v>
      </c>
      <c r="B2" s="39" t="s">
        <v>449</v>
      </c>
      <c r="C2" s="40" t="s">
        <v>450</v>
      </c>
      <c r="I2" t="s">
        <v>479</v>
      </c>
      <c r="J2">
        <v>469.32</v>
      </c>
    </row>
    <row r="3" spans="1:12" x14ac:dyDescent="0.2">
      <c r="A3" s="13">
        <v>4</v>
      </c>
      <c r="B3" s="39" t="s">
        <v>451</v>
      </c>
      <c r="C3" s="23">
        <v>7.6</v>
      </c>
      <c r="D3" s="23" t="s">
        <v>185</v>
      </c>
      <c r="F3" s="41">
        <f>A3*C3</f>
        <v>30.4</v>
      </c>
      <c r="I3" t="s">
        <v>480</v>
      </c>
      <c r="J3">
        <v>6.93</v>
      </c>
      <c r="K3">
        <f>J3*A3</f>
        <v>27.72</v>
      </c>
      <c r="L3">
        <f>IF(C3&gt;J3,1,0)</f>
        <v>1</v>
      </c>
    </row>
    <row r="4" spans="1:12" x14ac:dyDescent="0.2">
      <c r="A4" s="13">
        <v>4</v>
      </c>
      <c r="B4" s="39" t="s">
        <v>452</v>
      </c>
      <c r="C4" s="23">
        <v>7.79</v>
      </c>
      <c r="D4" s="23" t="s">
        <v>185</v>
      </c>
      <c r="F4" s="41">
        <f t="shared" ref="F4:F37" si="0">A4*C4</f>
        <v>31.16</v>
      </c>
      <c r="I4" t="s">
        <v>481</v>
      </c>
      <c r="J4">
        <v>5.7</v>
      </c>
      <c r="K4">
        <f t="shared" ref="K4:K39" si="1">J4*A4</f>
        <v>22.8</v>
      </c>
      <c r="L4">
        <f t="shared" ref="L4:L37" si="2">IF(C4&gt;J4,1,0)</f>
        <v>1</v>
      </c>
    </row>
    <row r="5" spans="1:12" x14ac:dyDescent="0.2">
      <c r="A5" s="13">
        <v>2</v>
      </c>
      <c r="B5" s="13" t="s">
        <v>411</v>
      </c>
      <c r="C5" s="23">
        <v>10.89</v>
      </c>
      <c r="D5" s="23" t="s">
        <v>185</v>
      </c>
      <c r="F5" s="41">
        <f t="shared" si="0"/>
        <v>21.78</v>
      </c>
      <c r="I5" t="s">
        <v>482</v>
      </c>
      <c r="J5">
        <v>7.65</v>
      </c>
      <c r="K5">
        <f t="shared" si="1"/>
        <v>15.3</v>
      </c>
      <c r="L5">
        <f t="shared" si="2"/>
        <v>1</v>
      </c>
    </row>
    <row r="6" spans="1:12" x14ac:dyDescent="0.2">
      <c r="A6" s="13">
        <v>1</v>
      </c>
      <c r="B6" s="13" t="s">
        <v>412</v>
      </c>
      <c r="C6" s="23">
        <v>16.82</v>
      </c>
      <c r="D6" s="23" t="s">
        <v>185</v>
      </c>
      <c r="F6" s="41">
        <f t="shared" si="0"/>
        <v>16.82</v>
      </c>
      <c r="I6" t="s">
        <v>483</v>
      </c>
      <c r="J6">
        <v>11.68</v>
      </c>
      <c r="K6">
        <f t="shared" si="1"/>
        <v>11.68</v>
      </c>
      <c r="L6">
        <f t="shared" si="2"/>
        <v>1</v>
      </c>
    </row>
    <row r="7" spans="1:12" x14ac:dyDescent="0.2">
      <c r="A7" s="13">
        <v>5</v>
      </c>
      <c r="B7" s="13" t="s">
        <v>413</v>
      </c>
      <c r="C7" s="23">
        <v>32.57</v>
      </c>
      <c r="D7" s="23" t="s">
        <v>185</v>
      </c>
      <c r="F7" s="41">
        <f t="shared" si="0"/>
        <v>162.85</v>
      </c>
      <c r="I7" t="s">
        <v>484</v>
      </c>
      <c r="J7">
        <v>23.7</v>
      </c>
      <c r="K7">
        <f t="shared" si="1"/>
        <v>118.5</v>
      </c>
      <c r="L7">
        <f t="shared" si="2"/>
        <v>1</v>
      </c>
    </row>
    <row r="8" spans="1:12" x14ac:dyDescent="0.2">
      <c r="A8" s="13">
        <v>2</v>
      </c>
      <c r="B8" s="13" t="s">
        <v>414</v>
      </c>
      <c r="C8" s="23">
        <v>30.14</v>
      </c>
      <c r="D8" s="23" t="s">
        <v>185</v>
      </c>
      <c r="F8" s="41">
        <f t="shared" si="0"/>
        <v>60.28</v>
      </c>
      <c r="I8" t="s">
        <v>485</v>
      </c>
      <c r="J8">
        <v>21.65</v>
      </c>
      <c r="K8">
        <f t="shared" si="1"/>
        <v>43.3</v>
      </c>
      <c r="L8">
        <f t="shared" si="2"/>
        <v>1</v>
      </c>
    </row>
    <row r="9" spans="1:12" x14ac:dyDescent="0.2">
      <c r="A9" s="13">
        <v>1</v>
      </c>
      <c r="B9" s="13" t="s">
        <v>415</v>
      </c>
      <c r="C9" s="23">
        <v>44.68</v>
      </c>
      <c r="D9" s="23" t="s">
        <v>185</v>
      </c>
      <c r="F9" s="41">
        <f t="shared" si="0"/>
        <v>44.68</v>
      </c>
      <c r="I9" t="s">
        <v>486</v>
      </c>
      <c r="J9">
        <v>32.47</v>
      </c>
      <c r="K9">
        <f t="shared" si="1"/>
        <v>32.47</v>
      </c>
      <c r="L9">
        <f t="shared" si="2"/>
        <v>1</v>
      </c>
    </row>
    <row r="10" spans="1:12" x14ac:dyDescent="0.2">
      <c r="A10" s="13">
        <v>4</v>
      </c>
      <c r="B10" s="13" t="s">
        <v>453</v>
      </c>
      <c r="C10" s="23">
        <v>41.18</v>
      </c>
      <c r="D10" s="23" t="s">
        <v>185</v>
      </c>
      <c r="F10" s="41">
        <f t="shared" si="0"/>
        <v>164.72</v>
      </c>
      <c r="I10" t="s">
        <v>487</v>
      </c>
      <c r="J10">
        <v>25.53</v>
      </c>
      <c r="K10">
        <f t="shared" si="1"/>
        <v>102.12</v>
      </c>
      <c r="L10">
        <f t="shared" si="2"/>
        <v>1</v>
      </c>
    </row>
    <row r="11" spans="1:12" x14ac:dyDescent="0.2">
      <c r="A11" s="13">
        <v>1</v>
      </c>
      <c r="B11" s="13" t="s">
        <v>416</v>
      </c>
      <c r="C11" s="23">
        <v>66.260000000000005</v>
      </c>
      <c r="D11" s="23" t="s">
        <v>185</v>
      </c>
      <c r="F11" s="41">
        <f t="shared" si="0"/>
        <v>66.260000000000005</v>
      </c>
      <c r="I11" t="s">
        <v>488</v>
      </c>
      <c r="J11">
        <v>44.68</v>
      </c>
      <c r="K11">
        <f t="shared" si="1"/>
        <v>44.68</v>
      </c>
      <c r="L11">
        <f t="shared" si="2"/>
        <v>1</v>
      </c>
    </row>
    <row r="12" spans="1:12" x14ac:dyDescent="0.2">
      <c r="A12" s="13">
        <v>4</v>
      </c>
      <c r="B12" s="39" t="s">
        <v>454</v>
      </c>
      <c r="C12" s="23">
        <v>18.28</v>
      </c>
      <c r="D12" s="23" t="s">
        <v>33</v>
      </c>
      <c r="F12" s="41">
        <f t="shared" si="0"/>
        <v>73.12</v>
      </c>
      <c r="I12" t="s">
        <v>489</v>
      </c>
      <c r="J12">
        <v>23.38</v>
      </c>
      <c r="K12">
        <f t="shared" si="1"/>
        <v>93.52</v>
      </c>
      <c r="L12">
        <f t="shared" si="2"/>
        <v>0</v>
      </c>
    </row>
    <row r="13" spans="1:12" x14ac:dyDescent="0.2">
      <c r="A13" s="13">
        <v>2</v>
      </c>
      <c r="B13" s="13" t="s">
        <v>417</v>
      </c>
      <c r="C13" s="23">
        <v>9.3800000000000008</v>
      </c>
      <c r="D13" s="23" t="s">
        <v>185</v>
      </c>
      <c r="F13" s="41">
        <f t="shared" si="0"/>
        <v>18.760000000000002</v>
      </c>
      <c r="I13" t="s">
        <v>490</v>
      </c>
      <c r="J13">
        <v>7.53</v>
      </c>
      <c r="K13">
        <f t="shared" si="1"/>
        <v>15.06</v>
      </c>
      <c r="L13">
        <f t="shared" si="2"/>
        <v>1</v>
      </c>
    </row>
    <row r="14" spans="1:12" x14ac:dyDescent="0.2">
      <c r="A14" s="13">
        <v>1</v>
      </c>
      <c r="B14" s="13" t="s">
        <v>418</v>
      </c>
      <c r="C14" s="23">
        <v>17.53</v>
      </c>
      <c r="D14" s="23" t="s">
        <v>185</v>
      </c>
      <c r="F14" s="41">
        <f t="shared" si="0"/>
        <v>17.53</v>
      </c>
      <c r="I14" t="s">
        <v>491</v>
      </c>
      <c r="J14">
        <v>12.85</v>
      </c>
      <c r="K14">
        <f t="shared" si="1"/>
        <v>12.85</v>
      </c>
      <c r="L14">
        <f t="shared" si="2"/>
        <v>1</v>
      </c>
    </row>
    <row r="15" spans="1:12" x14ac:dyDescent="0.2">
      <c r="A15" s="13">
        <v>5</v>
      </c>
      <c r="B15" s="13" t="s">
        <v>419</v>
      </c>
      <c r="C15" s="23">
        <v>14.97</v>
      </c>
      <c r="D15" s="23" t="s">
        <v>185</v>
      </c>
      <c r="F15" s="41">
        <f t="shared" si="0"/>
        <v>74.850000000000009</v>
      </c>
      <c r="I15" t="s">
        <v>492</v>
      </c>
      <c r="J15">
        <v>11.8</v>
      </c>
      <c r="K15">
        <f t="shared" si="1"/>
        <v>59</v>
      </c>
      <c r="L15">
        <f t="shared" si="2"/>
        <v>1</v>
      </c>
    </row>
    <row r="16" spans="1:12" x14ac:dyDescent="0.2">
      <c r="A16" s="13">
        <v>1</v>
      </c>
      <c r="B16" s="13" t="s">
        <v>420</v>
      </c>
      <c r="C16" s="23">
        <v>28.36</v>
      </c>
      <c r="D16" s="23" t="s">
        <v>185</v>
      </c>
      <c r="F16" s="41">
        <f t="shared" si="0"/>
        <v>28.36</v>
      </c>
      <c r="I16" t="s">
        <v>493</v>
      </c>
      <c r="J16">
        <v>18.329999999999998</v>
      </c>
      <c r="K16">
        <f t="shared" si="1"/>
        <v>18.329999999999998</v>
      </c>
      <c r="L16">
        <f t="shared" si="2"/>
        <v>1</v>
      </c>
    </row>
    <row r="17" spans="1:12" x14ac:dyDescent="0.2">
      <c r="A17" s="13">
        <v>2</v>
      </c>
      <c r="B17" s="13" t="s">
        <v>421</v>
      </c>
      <c r="C17" s="23">
        <v>25.92</v>
      </c>
      <c r="D17" s="23" t="s">
        <v>185</v>
      </c>
      <c r="F17" s="41">
        <f t="shared" si="0"/>
        <v>51.84</v>
      </c>
      <c r="I17" t="s">
        <v>494</v>
      </c>
      <c r="J17">
        <v>18.329999999999998</v>
      </c>
      <c r="K17">
        <f t="shared" si="1"/>
        <v>36.659999999999997</v>
      </c>
      <c r="L17">
        <f t="shared" si="2"/>
        <v>1</v>
      </c>
    </row>
    <row r="18" spans="1:12" x14ac:dyDescent="0.2">
      <c r="A18" s="13">
        <v>2</v>
      </c>
      <c r="B18" s="13" t="s">
        <v>422</v>
      </c>
      <c r="C18" s="23">
        <v>44.18</v>
      </c>
      <c r="D18" s="23" t="s">
        <v>185</v>
      </c>
      <c r="F18" s="41">
        <f t="shared" si="0"/>
        <v>88.36</v>
      </c>
      <c r="I18" t="s">
        <v>495</v>
      </c>
      <c r="J18">
        <v>53.05</v>
      </c>
      <c r="K18">
        <f t="shared" si="1"/>
        <v>106.1</v>
      </c>
      <c r="L18">
        <f t="shared" si="2"/>
        <v>0</v>
      </c>
    </row>
    <row r="19" spans="1:12" x14ac:dyDescent="0.2">
      <c r="A19" s="13">
        <v>2</v>
      </c>
      <c r="B19" s="13" t="s">
        <v>423</v>
      </c>
      <c r="C19" s="23">
        <v>51.56</v>
      </c>
      <c r="D19" s="23" t="s">
        <v>185</v>
      </c>
      <c r="F19" s="41">
        <f t="shared" si="0"/>
        <v>103.12</v>
      </c>
      <c r="I19" t="s">
        <v>496</v>
      </c>
      <c r="J19">
        <v>33.85</v>
      </c>
      <c r="K19">
        <f t="shared" si="1"/>
        <v>67.7</v>
      </c>
      <c r="L19">
        <f t="shared" si="2"/>
        <v>1</v>
      </c>
    </row>
    <row r="20" spans="1:12" x14ac:dyDescent="0.2">
      <c r="A20" s="13">
        <v>4</v>
      </c>
      <c r="B20" s="13" t="s">
        <v>424</v>
      </c>
      <c r="C20" s="23">
        <v>11.29</v>
      </c>
      <c r="D20" s="23" t="s">
        <v>185</v>
      </c>
      <c r="F20" s="41">
        <f t="shared" si="0"/>
        <v>45.16</v>
      </c>
      <c r="I20" t="s">
        <v>497</v>
      </c>
      <c r="J20">
        <v>9.15</v>
      </c>
      <c r="K20">
        <f t="shared" si="1"/>
        <v>36.6</v>
      </c>
      <c r="L20">
        <f t="shared" si="2"/>
        <v>1</v>
      </c>
    </row>
    <row r="21" spans="1:12" x14ac:dyDescent="0.2">
      <c r="A21" s="13">
        <v>4</v>
      </c>
      <c r="B21" s="13" t="s">
        <v>425</v>
      </c>
      <c r="C21" s="23">
        <v>20.91</v>
      </c>
      <c r="D21" s="23" t="s">
        <v>185</v>
      </c>
      <c r="F21" s="41">
        <f t="shared" si="0"/>
        <v>83.64</v>
      </c>
      <c r="I21" t="s">
        <v>498</v>
      </c>
      <c r="J21">
        <v>13.5</v>
      </c>
      <c r="K21">
        <f t="shared" si="1"/>
        <v>54</v>
      </c>
      <c r="L21">
        <f t="shared" si="2"/>
        <v>1</v>
      </c>
    </row>
    <row r="22" spans="1:12" x14ac:dyDescent="0.2">
      <c r="A22" s="13">
        <v>2</v>
      </c>
      <c r="B22" s="39" t="s">
        <v>426</v>
      </c>
      <c r="C22" s="23">
        <v>18.98</v>
      </c>
      <c r="D22" s="23" t="s">
        <v>185</v>
      </c>
      <c r="F22" s="41">
        <f t="shared" si="0"/>
        <v>37.96</v>
      </c>
      <c r="I22" t="s">
        <v>499</v>
      </c>
      <c r="J22">
        <v>13.5</v>
      </c>
      <c r="K22">
        <f t="shared" si="1"/>
        <v>27</v>
      </c>
      <c r="L22">
        <f t="shared" si="2"/>
        <v>1</v>
      </c>
    </row>
    <row r="23" spans="1:12" x14ac:dyDescent="0.2">
      <c r="A23" s="13">
        <v>7</v>
      </c>
      <c r="B23" s="39" t="s">
        <v>427</v>
      </c>
      <c r="C23" s="23">
        <v>31.12</v>
      </c>
      <c r="D23" s="23" t="s">
        <v>185</v>
      </c>
      <c r="F23" s="41">
        <f t="shared" si="0"/>
        <v>217.84</v>
      </c>
      <c r="I23" t="s">
        <v>500</v>
      </c>
      <c r="J23">
        <v>23.03</v>
      </c>
      <c r="K23">
        <f t="shared" si="1"/>
        <v>161.21</v>
      </c>
      <c r="L23">
        <f t="shared" si="2"/>
        <v>1</v>
      </c>
    </row>
    <row r="24" spans="1:12" x14ac:dyDescent="0.2">
      <c r="A24" s="13">
        <v>1</v>
      </c>
      <c r="B24" s="13" t="s">
        <v>428</v>
      </c>
      <c r="C24" s="23">
        <v>32.619999999999997</v>
      </c>
      <c r="D24" s="23" t="s">
        <v>185</v>
      </c>
      <c r="F24" s="41">
        <f t="shared" si="0"/>
        <v>32.619999999999997</v>
      </c>
      <c r="I24" t="s">
        <v>501</v>
      </c>
      <c r="J24">
        <v>23.03</v>
      </c>
      <c r="K24">
        <f t="shared" si="1"/>
        <v>23.03</v>
      </c>
      <c r="L24">
        <f t="shared" si="2"/>
        <v>1</v>
      </c>
    </row>
    <row r="25" spans="1:12" x14ac:dyDescent="0.2">
      <c r="A25" s="13">
        <v>2</v>
      </c>
      <c r="B25" s="39" t="s">
        <v>429</v>
      </c>
      <c r="C25" s="23">
        <v>39.270000000000003</v>
      </c>
      <c r="D25" s="23" t="s">
        <v>185</v>
      </c>
      <c r="F25" s="41">
        <f t="shared" si="0"/>
        <v>78.540000000000006</v>
      </c>
      <c r="I25" t="s">
        <v>502</v>
      </c>
      <c r="J25">
        <v>28.45</v>
      </c>
      <c r="K25">
        <f t="shared" si="1"/>
        <v>56.9</v>
      </c>
      <c r="L25">
        <f t="shared" si="2"/>
        <v>1</v>
      </c>
    </row>
    <row r="26" spans="1:12" x14ac:dyDescent="0.2">
      <c r="A26" s="13">
        <v>4</v>
      </c>
      <c r="B26" s="13" t="s">
        <v>430</v>
      </c>
      <c r="C26" s="23">
        <v>127.65</v>
      </c>
      <c r="D26" s="23" t="s">
        <v>185</v>
      </c>
      <c r="F26" s="41">
        <f t="shared" si="0"/>
        <v>510.6</v>
      </c>
      <c r="I26" t="s">
        <v>503</v>
      </c>
      <c r="J26">
        <v>106.02</v>
      </c>
      <c r="K26">
        <f t="shared" si="1"/>
        <v>424.08</v>
      </c>
      <c r="L26">
        <f t="shared" si="2"/>
        <v>1</v>
      </c>
    </row>
    <row r="27" spans="1:12" x14ac:dyDescent="0.2">
      <c r="A27" s="13">
        <v>2</v>
      </c>
      <c r="B27" s="13" t="s">
        <v>431</v>
      </c>
      <c r="C27" s="23">
        <v>77.75</v>
      </c>
      <c r="D27" s="23" t="s">
        <v>185</v>
      </c>
      <c r="F27" s="41">
        <f t="shared" si="0"/>
        <v>155.5</v>
      </c>
      <c r="I27" t="s">
        <v>504</v>
      </c>
      <c r="J27">
        <v>54.55</v>
      </c>
      <c r="K27">
        <f t="shared" si="1"/>
        <v>109.1</v>
      </c>
      <c r="L27">
        <f t="shared" si="2"/>
        <v>1</v>
      </c>
    </row>
    <row r="28" spans="1:12" x14ac:dyDescent="0.2">
      <c r="A28" s="13">
        <v>1</v>
      </c>
      <c r="B28" s="13" t="s">
        <v>432</v>
      </c>
      <c r="C28" s="23">
        <v>77.27</v>
      </c>
      <c r="D28" s="23" t="s">
        <v>33</v>
      </c>
      <c r="F28" s="41">
        <f t="shared" si="0"/>
        <v>77.27</v>
      </c>
      <c r="I28" t="s">
        <v>505</v>
      </c>
      <c r="J28">
        <v>74.319999999999993</v>
      </c>
      <c r="K28">
        <f t="shared" si="1"/>
        <v>74.319999999999993</v>
      </c>
      <c r="L28">
        <f t="shared" si="2"/>
        <v>1</v>
      </c>
    </row>
    <row r="29" spans="1:12" x14ac:dyDescent="0.2">
      <c r="A29" s="13">
        <v>1</v>
      </c>
      <c r="B29" s="13" t="s">
        <v>433</v>
      </c>
      <c r="C29" s="23">
        <v>66.900000000000006</v>
      </c>
      <c r="D29" s="23" t="s">
        <v>125</v>
      </c>
      <c r="F29" s="41">
        <f t="shared" si="0"/>
        <v>66.900000000000006</v>
      </c>
      <c r="I29" t="s">
        <v>506</v>
      </c>
      <c r="J29">
        <v>94.73</v>
      </c>
      <c r="K29">
        <f t="shared" si="1"/>
        <v>94.73</v>
      </c>
      <c r="L29">
        <f t="shared" si="2"/>
        <v>0</v>
      </c>
    </row>
    <row r="30" spans="1:12" x14ac:dyDescent="0.2">
      <c r="A30" s="13">
        <v>1</v>
      </c>
      <c r="B30" s="39" t="s">
        <v>434</v>
      </c>
      <c r="C30" s="23">
        <v>93.84</v>
      </c>
      <c r="D30" s="23" t="s">
        <v>125</v>
      </c>
      <c r="F30" s="41">
        <f t="shared" si="0"/>
        <v>93.84</v>
      </c>
      <c r="I30" t="s">
        <v>507</v>
      </c>
      <c r="J30">
        <v>148.88</v>
      </c>
      <c r="K30">
        <f t="shared" si="1"/>
        <v>148.88</v>
      </c>
      <c r="L30">
        <f t="shared" si="2"/>
        <v>0</v>
      </c>
    </row>
    <row r="31" spans="1:12" x14ac:dyDescent="0.2">
      <c r="A31" s="13">
        <v>2</v>
      </c>
      <c r="B31" s="13" t="s">
        <v>435</v>
      </c>
      <c r="C31" s="23">
        <v>77.22</v>
      </c>
      <c r="D31" s="23" t="s">
        <v>125</v>
      </c>
      <c r="F31" s="41">
        <f t="shared" si="0"/>
        <v>154.44</v>
      </c>
      <c r="I31" t="s">
        <v>508</v>
      </c>
      <c r="J31">
        <v>69.650000000000006</v>
      </c>
      <c r="K31">
        <f t="shared" si="1"/>
        <v>139.30000000000001</v>
      </c>
      <c r="L31">
        <f t="shared" si="2"/>
        <v>1</v>
      </c>
    </row>
    <row r="32" spans="1:12" x14ac:dyDescent="0.2">
      <c r="A32" s="13">
        <v>1</v>
      </c>
      <c r="B32" s="13" t="s">
        <v>436</v>
      </c>
      <c r="C32" s="23">
        <v>100.82</v>
      </c>
      <c r="D32" s="23" t="s">
        <v>125</v>
      </c>
      <c r="K32">
        <f t="shared" si="1"/>
        <v>0</v>
      </c>
    </row>
    <row r="33" spans="1:12" x14ac:dyDescent="0.2">
      <c r="A33" s="13">
        <v>4</v>
      </c>
      <c r="B33" s="13" t="s">
        <v>437</v>
      </c>
      <c r="C33" s="23">
        <v>134.81</v>
      </c>
      <c r="D33" s="23" t="s">
        <v>125</v>
      </c>
      <c r="K33">
        <f t="shared" si="1"/>
        <v>0</v>
      </c>
    </row>
    <row r="34" spans="1:12" x14ac:dyDescent="0.2">
      <c r="A34" s="13">
        <v>2</v>
      </c>
      <c r="B34" s="13" t="s">
        <v>438</v>
      </c>
      <c r="C34" s="23">
        <v>63.77</v>
      </c>
      <c r="D34" s="23" t="s">
        <v>33</v>
      </c>
      <c r="F34" s="41">
        <f t="shared" si="0"/>
        <v>127.54</v>
      </c>
      <c r="I34" t="s">
        <v>509</v>
      </c>
      <c r="J34">
        <v>60.67</v>
      </c>
      <c r="K34">
        <f t="shared" si="1"/>
        <v>121.34</v>
      </c>
      <c r="L34">
        <f t="shared" si="2"/>
        <v>1</v>
      </c>
    </row>
    <row r="35" spans="1:12" ht="25.5" x14ac:dyDescent="0.2">
      <c r="A35" s="13">
        <v>4</v>
      </c>
      <c r="B35" s="39" t="s">
        <v>455</v>
      </c>
      <c r="C35" s="23">
        <v>26.63</v>
      </c>
      <c r="D35" s="23" t="s">
        <v>185</v>
      </c>
      <c r="F35" s="41">
        <f t="shared" si="0"/>
        <v>106.52</v>
      </c>
      <c r="I35" t="s">
        <v>510</v>
      </c>
      <c r="J35">
        <v>14.9</v>
      </c>
      <c r="K35">
        <f t="shared" si="1"/>
        <v>59.6</v>
      </c>
      <c r="L35">
        <f t="shared" si="2"/>
        <v>1</v>
      </c>
    </row>
    <row r="36" spans="1:12" ht="25.5" x14ac:dyDescent="0.2">
      <c r="A36" s="13">
        <v>2</v>
      </c>
      <c r="B36" s="39" t="s">
        <v>456</v>
      </c>
      <c r="C36" s="23">
        <v>33.04</v>
      </c>
      <c r="D36" s="23" t="s">
        <v>185</v>
      </c>
      <c r="F36" s="41">
        <f t="shared" si="0"/>
        <v>66.08</v>
      </c>
      <c r="I36" t="s">
        <v>511</v>
      </c>
      <c r="J36">
        <v>17.28</v>
      </c>
      <c r="K36">
        <f t="shared" si="1"/>
        <v>34.56</v>
      </c>
      <c r="L36">
        <f t="shared" si="2"/>
        <v>1</v>
      </c>
    </row>
    <row r="37" spans="1:12" x14ac:dyDescent="0.2">
      <c r="A37" s="13">
        <v>2</v>
      </c>
      <c r="B37" s="39" t="s">
        <v>394</v>
      </c>
      <c r="C37" s="23">
        <v>39.92</v>
      </c>
      <c r="D37" s="23" t="s">
        <v>185</v>
      </c>
      <c r="F37" s="41">
        <f t="shared" si="0"/>
        <v>79.84</v>
      </c>
      <c r="I37" t="s">
        <v>512</v>
      </c>
      <c r="J37">
        <v>24.3</v>
      </c>
      <c r="K37">
        <f t="shared" si="1"/>
        <v>48.6</v>
      </c>
      <c r="L37">
        <f t="shared" si="2"/>
        <v>1</v>
      </c>
    </row>
    <row r="38" spans="1:12" x14ac:dyDescent="0.2">
      <c r="A38" s="13">
        <v>1</v>
      </c>
      <c r="B38" s="13" t="s">
        <v>439</v>
      </c>
      <c r="C38" s="23">
        <v>70.59</v>
      </c>
      <c r="D38" s="23" t="s">
        <v>185</v>
      </c>
      <c r="K38">
        <f t="shared" si="1"/>
        <v>0</v>
      </c>
    </row>
    <row r="39" spans="1:12" x14ac:dyDescent="0.2">
      <c r="A39" s="13">
        <v>3</v>
      </c>
      <c r="B39" s="13" t="s">
        <v>440</v>
      </c>
      <c r="C39" s="23">
        <v>66.62</v>
      </c>
      <c r="D39" s="23" t="s">
        <v>185</v>
      </c>
      <c r="K39">
        <f t="shared" si="1"/>
        <v>0</v>
      </c>
    </row>
    <row r="41" spans="1:12" x14ac:dyDescent="0.2">
      <c r="F41" s="41">
        <f>SUM(F3:F39)</f>
        <v>2989.1800000000003</v>
      </c>
      <c r="K41" s="41">
        <f>SUM(K3:K39)</f>
        <v>2441.04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ED136-48DD-4AA8-872A-575C7EA28401}">
  <dimension ref="A1:N39"/>
  <sheetViews>
    <sheetView topLeftCell="B1" workbookViewId="0">
      <selection activeCell="I30" sqref="I30"/>
    </sheetView>
  </sheetViews>
  <sheetFormatPr defaultRowHeight="12.75" x14ac:dyDescent="0.2"/>
  <cols>
    <col min="2" max="2" width="63.1640625" bestFit="1" customWidth="1"/>
    <col min="3" max="3" width="15" customWidth="1"/>
    <col min="4" max="4" width="13.33203125" customWidth="1"/>
    <col min="5" max="8" width="8.6640625" customWidth="1"/>
    <col min="12" max="12" width="4.33203125" customWidth="1"/>
  </cols>
  <sheetData>
    <row r="1" spans="1:14" ht="14.25" x14ac:dyDescent="0.2">
      <c r="A1" s="3" t="s">
        <v>2</v>
      </c>
      <c r="B1" s="1" t="s">
        <v>409</v>
      </c>
      <c r="C1" s="2" t="s">
        <v>410</v>
      </c>
      <c r="D1" s="2" t="s">
        <v>448</v>
      </c>
      <c r="M1" t="s">
        <v>551</v>
      </c>
      <c r="N1" t="s">
        <v>552</v>
      </c>
    </row>
    <row r="2" spans="1:14" ht="25.5" x14ac:dyDescent="0.2">
      <c r="A2" s="38">
        <v>2</v>
      </c>
      <c r="B2" s="39" t="s">
        <v>449</v>
      </c>
      <c r="C2" s="40" t="s">
        <v>450</v>
      </c>
      <c r="I2" t="s">
        <v>479</v>
      </c>
      <c r="J2">
        <v>469.32</v>
      </c>
      <c r="M2" t="s">
        <v>441</v>
      </c>
      <c r="N2" t="s">
        <v>553</v>
      </c>
    </row>
    <row r="3" spans="1:14" x14ac:dyDescent="0.2">
      <c r="A3" s="13">
        <v>4</v>
      </c>
      <c r="B3" s="39" t="s">
        <v>546</v>
      </c>
      <c r="C3" s="23">
        <v>7.6</v>
      </c>
      <c r="D3" s="23" t="s">
        <v>185</v>
      </c>
      <c r="F3" s="41">
        <f>A3*C3</f>
        <v>30.4</v>
      </c>
      <c r="I3" t="s">
        <v>480</v>
      </c>
      <c r="J3">
        <v>6.93</v>
      </c>
      <c r="K3">
        <f>J3*A3</f>
        <v>27.72</v>
      </c>
      <c r="L3">
        <f>IF(C3&gt;J3,1,0)</f>
        <v>1</v>
      </c>
      <c r="M3" t="s">
        <v>441</v>
      </c>
      <c r="N3" t="s">
        <v>553</v>
      </c>
    </row>
    <row r="4" spans="1:14" x14ac:dyDescent="0.2">
      <c r="A4" s="13">
        <v>4</v>
      </c>
      <c r="B4" s="39" t="s">
        <v>513</v>
      </c>
      <c r="C4" s="23">
        <v>7.79</v>
      </c>
      <c r="D4" s="23" t="s">
        <v>185</v>
      </c>
      <c r="F4" s="41">
        <f t="shared" ref="F4:F37" si="0">A4*C4</f>
        <v>31.16</v>
      </c>
      <c r="I4" t="s">
        <v>481</v>
      </c>
      <c r="J4">
        <v>5.7</v>
      </c>
      <c r="K4">
        <f t="shared" ref="K4:K39" si="1">J4*A4</f>
        <v>22.8</v>
      </c>
      <c r="L4">
        <f t="shared" ref="L4:L37" si="2">IF(C4&gt;J4,1,0)</f>
        <v>1</v>
      </c>
      <c r="M4" t="s">
        <v>441</v>
      </c>
      <c r="N4" t="s">
        <v>553</v>
      </c>
    </row>
    <row r="5" spans="1:14" x14ac:dyDescent="0.2">
      <c r="A5" s="13">
        <v>2</v>
      </c>
      <c r="B5" s="13" t="s">
        <v>514</v>
      </c>
      <c r="C5" s="23">
        <v>10.89</v>
      </c>
      <c r="D5" s="23" t="s">
        <v>185</v>
      </c>
      <c r="F5" s="41">
        <f t="shared" si="0"/>
        <v>21.78</v>
      </c>
      <c r="I5" t="s">
        <v>482</v>
      </c>
      <c r="J5">
        <v>7.65</v>
      </c>
      <c r="K5">
        <f t="shared" si="1"/>
        <v>15.3</v>
      </c>
      <c r="L5">
        <f t="shared" si="2"/>
        <v>1</v>
      </c>
      <c r="M5" t="s">
        <v>441</v>
      </c>
      <c r="N5" t="s">
        <v>553</v>
      </c>
    </row>
    <row r="6" spans="1:14" x14ac:dyDescent="0.2">
      <c r="A6" s="13">
        <v>1</v>
      </c>
      <c r="B6" s="13" t="s">
        <v>515</v>
      </c>
      <c r="C6" s="23">
        <v>16.82</v>
      </c>
      <c r="D6" s="23" t="s">
        <v>185</v>
      </c>
      <c r="F6" s="41">
        <f t="shared" si="0"/>
        <v>16.82</v>
      </c>
      <c r="I6" t="s">
        <v>483</v>
      </c>
      <c r="J6">
        <v>11.68</v>
      </c>
      <c r="K6">
        <f t="shared" si="1"/>
        <v>11.68</v>
      </c>
      <c r="L6">
        <f t="shared" si="2"/>
        <v>1</v>
      </c>
      <c r="M6" t="s">
        <v>441</v>
      </c>
      <c r="N6" t="s">
        <v>553</v>
      </c>
    </row>
    <row r="7" spans="1:14" x14ac:dyDescent="0.2">
      <c r="A7" s="13">
        <v>5</v>
      </c>
      <c r="B7" s="13" t="s">
        <v>516</v>
      </c>
      <c r="C7" s="23">
        <v>32.57</v>
      </c>
      <c r="D7" s="23" t="s">
        <v>185</v>
      </c>
      <c r="F7" s="41">
        <f t="shared" si="0"/>
        <v>162.85</v>
      </c>
      <c r="I7" t="s">
        <v>484</v>
      </c>
      <c r="J7">
        <v>23.7</v>
      </c>
      <c r="K7">
        <f t="shared" si="1"/>
        <v>118.5</v>
      </c>
      <c r="L7">
        <f t="shared" si="2"/>
        <v>1</v>
      </c>
      <c r="M7" t="s">
        <v>441</v>
      </c>
      <c r="N7" t="s">
        <v>553</v>
      </c>
    </row>
    <row r="8" spans="1:14" x14ac:dyDescent="0.2">
      <c r="A8" s="13">
        <v>2</v>
      </c>
      <c r="B8" s="13" t="s">
        <v>517</v>
      </c>
      <c r="C8" s="23">
        <v>30.14</v>
      </c>
      <c r="D8" s="23" t="s">
        <v>185</v>
      </c>
      <c r="F8" s="41">
        <f t="shared" si="0"/>
        <v>60.28</v>
      </c>
      <c r="I8" t="s">
        <v>485</v>
      </c>
      <c r="J8">
        <v>21.65</v>
      </c>
      <c r="K8">
        <f t="shared" si="1"/>
        <v>43.3</v>
      </c>
      <c r="L8">
        <f t="shared" si="2"/>
        <v>1</v>
      </c>
      <c r="M8" t="s">
        <v>441</v>
      </c>
      <c r="N8" t="s">
        <v>553</v>
      </c>
    </row>
    <row r="9" spans="1:14" x14ac:dyDescent="0.2">
      <c r="A9" s="13">
        <v>1</v>
      </c>
      <c r="B9" s="13" t="s">
        <v>518</v>
      </c>
      <c r="C9" s="23">
        <v>44.68</v>
      </c>
      <c r="D9" s="23" t="s">
        <v>185</v>
      </c>
      <c r="F9" s="41">
        <f t="shared" si="0"/>
        <v>44.68</v>
      </c>
      <c r="I9" t="s">
        <v>486</v>
      </c>
      <c r="J9">
        <v>32.47</v>
      </c>
      <c r="K9">
        <f t="shared" si="1"/>
        <v>32.47</v>
      </c>
      <c r="L9">
        <f t="shared" si="2"/>
        <v>1</v>
      </c>
      <c r="M9" t="s">
        <v>441</v>
      </c>
      <c r="N9" t="s">
        <v>553</v>
      </c>
    </row>
    <row r="10" spans="1:14" x14ac:dyDescent="0.2">
      <c r="A10" s="13">
        <v>4</v>
      </c>
      <c r="B10" s="13" t="s">
        <v>519</v>
      </c>
      <c r="C10" s="23">
        <v>41.18</v>
      </c>
      <c r="D10" s="23" t="s">
        <v>185</v>
      </c>
      <c r="F10" s="41">
        <f t="shared" si="0"/>
        <v>164.72</v>
      </c>
      <c r="I10" t="s">
        <v>487</v>
      </c>
      <c r="J10">
        <v>25.53</v>
      </c>
      <c r="K10">
        <f t="shared" si="1"/>
        <v>102.12</v>
      </c>
      <c r="L10">
        <f t="shared" si="2"/>
        <v>1</v>
      </c>
      <c r="M10" t="s">
        <v>441</v>
      </c>
      <c r="N10" t="s">
        <v>553</v>
      </c>
    </row>
    <row r="11" spans="1:14" x14ac:dyDescent="0.2">
      <c r="A11" s="13">
        <v>1</v>
      </c>
      <c r="B11" s="13" t="s">
        <v>520</v>
      </c>
      <c r="C11" s="23">
        <v>66.260000000000005</v>
      </c>
      <c r="D11" s="23" t="s">
        <v>185</v>
      </c>
      <c r="F11" s="41">
        <f t="shared" si="0"/>
        <v>66.260000000000005</v>
      </c>
      <c r="I11" t="s">
        <v>488</v>
      </c>
      <c r="J11">
        <v>44.68</v>
      </c>
      <c r="K11">
        <f t="shared" si="1"/>
        <v>44.68</v>
      </c>
      <c r="L11">
        <f t="shared" si="2"/>
        <v>1</v>
      </c>
      <c r="M11" t="s">
        <v>441</v>
      </c>
      <c r="N11" t="s">
        <v>553</v>
      </c>
    </row>
    <row r="12" spans="1:14" ht="25.5" x14ac:dyDescent="0.2">
      <c r="A12" s="13">
        <v>4</v>
      </c>
      <c r="B12" s="39" t="s">
        <v>521</v>
      </c>
      <c r="C12" s="23">
        <v>18.28</v>
      </c>
      <c r="D12" s="23" t="s">
        <v>33</v>
      </c>
      <c r="F12" s="41">
        <f t="shared" si="0"/>
        <v>73.12</v>
      </c>
      <c r="I12" t="s">
        <v>489</v>
      </c>
      <c r="J12">
        <v>23.38</v>
      </c>
      <c r="K12">
        <f t="shared" si="1"/>
        <v>93.52</v>
      </c>
      <c r="L12">
        <f t="shared" si="2"/>
        <v>0</v>
      </c>
      <c r="M12" t="s">
        <v>441</v>
      </c>
      <c r="N12" t="s">
        <v>553</v>
      </c>
    </row>
    <row r="13" spans="1:14" x14ac:dyDescent="0.2">
      <c r="A13" s="13">
        <v>2</v>
      </c>
      <c r="B13" s="13" t="s">
        <v>522</v>
      </c>
      <c r="C13" s="23">
        <v>9.3800000000000008</v>
      </c>
      <c r="D13" s="23" t="s">
        <v>185</v>
      </c>
      <c r="F13" s="41">
        <f t="shared" si="0"/>
        <v>18.760000000000002</v>
      </c>
      <c r="I13" t="s">
        <v>490</v>
      </c>
      <c r="J13">
        <v>7.53</v>
      </c>
      <c r="K13">
        <f t="shared" si="1"/>
        <v>15.06</v>
      </c>
      <c r="L13">
        <f t="shared" si="2"/>
        <v>1</v>
      </c>
      <c r="M13" t="s">
        <v>441</v>
      </c>
      <c r="N13" t="s">
        <v>553</v>
      </c>
    </row>
    <row r="14" spans="1:14" x14ac:dyDescent="0.2">
      <c r="A14" s="13">
        <v>1</v>
      </c>
      <c r="B14" s="13" t="s">
        <v>523</v>
      </c>
      <c r="C14" s="23">
        <v>17.53</v>
      </c>
      <c r="D14" s="23" t="s">
        <v>185</v>
      </c>
      <c r="F14" s="41">
        <f t="shared" si="0"/>
        <v>17.53</v>
      </c>
      <c r="I14" t="s">
        <v>491</v>
      </c>
      <c r="J14">
        <v>12.85</v>
      </c>
      <c r="K14">
        <f t="shared" si="1"/>
        <v>12.85</v>
      </c>
      <c r="L14">
        <f t="shared" si="2"/>
        <v>1</v>
      </c>
      <c r="M14" t="s">
        <v>441</v>
      </c>
      <c r="N14" t="s">
        <v>553</v>
      </c>
    </row>
    <row r="15" spans="1:14" x14ac:dyDescent="0.2">
      <c r="A15" s="13">
        <v>5</v>
      </c>
      <c r="B15" s="13" t="s">
        <v>524</v>
      </c>
      <c r="C15" s="23">
        <v>14.97</v>
      </c>
      <c r="D15" s="23" t="s">
        <v>185</v>
      </c>
      <c r="F15" s="41">
        <f t="shared" si="0"/>
        <v>74.850000000000009</v>
      </c>
      <c r="I15" t="s">
        <v>492</v>
      </c>
      <c r="J15">
        <v>11.8</v>
      </c>
      <c r="K15">
        <f t="shared" si="1"/>
        <v>59</v>
      </c>
      <c r="L15">
        <f t="shared" si="2"/>
        <v>1</v>
      </c>
      <c r="M15" t="s">
        <v>441</v>
      </c>
      <c r="N15" t="s">
        <v>553</v>
      </c>
    </row>
    <row r="16" spans="1:14" x14ac:dyDescent="0.2">
      <c r="A16" s="13">
        <v>1</v>
      </c>
      <c r="B16" s="13" t="s">
        <v>525</v>
      </c>
      <c r="C16" s="23">
        <v>28.36</v>
      </c>
      <c r="D16" s="23" t="s">
        <v>185</v>
      </c>
      <c r="F16" s="41">
        <f t="shared" si="0"/>
        <v>28.36</v>
      </c>
      <c r="I16" t="s">
        <v>493</v>
      </c>
      <c r="J16">
        <v>18.329999999999998</v>
      </c>
      <c r="K16">
        <f t="shared" si="1"/>
        <v>18.329999999999998</v>
      </c>
      <c r="L16">
        <f t="shared" si="2"/>
        <v>1</v>
      </c>
      <c r="M16" t="s">
        <v>441</v>
      </c>
      <c r="N16" t="s">
        <v>553</v>
      </c>
    </row>
    <row r="17" spans="1:14" x14ac:dyDescent="0.2">
      <c r="A17" s="13">
        <v>2</v>
      </c>
      <c r="B17" s="13" t="s">
        <v>526</v>
      </c>
      <c r="C17" s="23">
        <v>25.92</v>
      </c>
      <c r="D17" s="23" t="s">
        <v>185</v>
      </c>
      <c r="F17" s="41">
        <f t="shared" si="0"/>
        <v>51.84</v>
      </c>
      <c r="I17" t="s">
        <v>494</v>
      </c>
      <c r="J17">
        <v>18.329999999999998</v>
      </c>
      <c r="K17">
        <f t="shared" si="1"/>
        <v>36.659999999999997</v>
      </c>
      <c r="L17">
        <f t="shared" si="2"/>
        <v>1</v>
      </c>
      <c r="M17" t="s">
        <v>441</v>
      </c>
      <c r="N17" t="s">
        <v>553</v>
      </c>
    </row>
    <row r="18" spans="1:14" x14ac:dyDescent="0.2">
      <c r="A18" s="13">
        <v>2</v>
      </c>
      <c r="B18" s="13" t="s">
        <v>422</v>
      </c>
      <c r="C18" s="23">
        <v>44.18</v>
      </c>
      <c r="D18" s="23" t="s">
        <v>185</v>
      </c>
      <c r="F18" s="41">
        <f t="shared" si="0"/>
        <v>88.36</v>
      </c>
      <c r="I18" t="s">
        <v>495</v>
      </c>
      <c r="J18">
        <v>53.05</v>
      </c>
      <c r="K18">
        <f t="shared" si="1"/>
        <v>106.1</v>
      </c>
      <c r="L18">
        <f t="shared" si="2"/>
        <v>0</v>
      </c>
      <c r="M18" t="s">
        <v>547</v>
      </c>
      <c r="N18" t="s">
        <v>553</v>
      </c>
    </row>
    <row r="19" spans="1:14" x14ac:dyDescent="0.2">
      <c r="A19" s="13">
        <v>2</v>
      </c>
      <c r="B19" s="13" t="s">
        <v>527</v>
      </c>
      <c r="C19" s="23">
        <v>51.56</v>
      </c>
      <c r="D19" s="23" t="s">
        <v>185</v>
      </c>
      <c r="F19" s="41">
        <f t="shared" si="0"/>
        <v>103.12</v>
      </c>
      <c r="I19" t="s">
        <v>496</v>
      </c>
      <c r="J19">
        <v>33.85</v>
      </c>
      <c r="K19">
        <f t="shared" si="1"/>
        <v>67.7</v>
      </c>
      <c r="L19">
        <f t="shared" si="2"/>
        <v>1</v>
      </c>
      <c r="M19" t="s">
        <v>441</v>
      </c>
      <c r="N19" t="s">
        <v>553</v>
      </c>
    </row>
    <row r="20" spans="1:14" x14ac:dyDescent="0.2">
      <c r="A20" s="13">
        <v>4</v>
      </c>
      <c r="B20" s="13" t="s">
        <v>528</v>
      </c>
      <c r="C20" s="23">
        <v>11.29</v>
      </c>
      <c r="D20" s="23" t="s">
        <v>185</v>
      </c>
      <c r="F20" s="41">
        <f t="shared" si="0"/>
        <v>45.16</v>
      </c>
      <c r="I20" t="s">
        <v>497</v>
      </c>
      <c r="J20">
        <v>9.15</v>
      </c>
      <c r="K20">
        <f t="shared" si="1"/>
        <v>36.6</v>
      </c>
      <c r="L20">
        <f t="shared" si="2"/>
        <v>1</v>
      </c>
      <c r="M20" t="s">
        <v>441</v>
      </c>
      <c r="N20" t="s">
        <v>553</v>
      </c>
    </row>
    <row r="21" spans="1:14" x14ac:dyDescent="0.2">
      <c r="A21" s="13">
        <v>4</v>
      </c>
      <c r="B21" s="13" t="s">
        <v>529</v>
      </c>
      <c r="C21" s="23">
        <v>20.91</v>
      </c>
      <c r="D21" s="23" t="s">
        <v>185</v>
      </c>
      <c r="F21" s="41">
        <f t="shared" si="0"/>
        <v>83.64</v>
      </c>
      <c r="I21" t="s">
        <v>498</v>
      </c>
      <c r="J21">
        <v>13.5</v>
      </c>
      <c r="K21">
        <f t="shared" si="1"/>
        <v>54</v>
      </c>
      <c r="L21">
        <f t="shared" si="2"/>
        <v>1</v>
      </c>
      <c r="M21" t="s">
        <v>441</v>
      </c>
      <c r="N21" t="s">
        <v>553</v>
      </c>
    </row>
    <row r="22" spans="1:14" ht="25.5" x14ac:dyDescent="0.2">
      <c r="A22" s="13">
        <v>2</v>
      </c>
      <c r="B22" s="39" t="s">
        <v>530</v>
      </c>
      <c r="C22" s="23">
        <v>18.98</v>
      </c>
      <c r="D22" s="23" t="s">
        <v>185</v>
      </c>
      <c r="F22" s="41">
        <f t="shared" si="0"/>
        <v>37.96</v>
      </c>
      <c r="I22" t="s">
        <v>499</v>
      </c>
      <c r="J22">
        <v>13.5</v>
      </c>
      <c r="K22">
        <f t="shared" si="1"/>
        <v>27</v>
      </c>
      <c r="L22">
        <f t="shared" si="2"/>
        <v>1</v>
      </c>
      <c r="M22" t="s">
        <v>441</v>
      </c>
      <c r="N22" t="s">
        <v>553</v>
      </c>
    </row>
    <row r="23" spans="1:14" x14ac:dyDescent="0.2">
      <c r="A23" s="13">
        <v>7</v>
      </c>
      <c r="B23" s="39" t="s">
        <v>531</v>
      </c>
      <c r="C23" s="23">
        <v>31.12</v>
      </c>
      <c r="D23" s="23" t="s">
        <v>185</v>
      </c>
      <c r="F23" s="41">
        <f t="shared" si="0"/>
        <v>217.84</v>
      </c>
      <c r="I23" t="s">
        <v>500</v>
      </c>
      <c r="J23">
        <v>23.03</v>
      </c>
      <c r="K23">
        <f t="shared" si="1"/>
        <v>161.21</v>
      </c>
      <c r="L23">
        <f t="shared" si="2"/>
        <v>1</v>
      </c>
      <c r="M23" t="s">
        <v>441</v>
      </c>
      <c r="N23" t="s">
        <v>553</v>
      </c>
    </row>
    <row r="24" spans="1:14" x14ac:dyDescent="0.2">
      <c r="A24" s="13">
        <v>1</v>
      </c>
      <c r="B24" s="13" t="s">
        <v>532</v>
      </c>
      <c r="C24" s="23">
        <v>32.619999999999997</v>
      </c>
      <c r="D24" s="23" t="s">
        <v>185</v>
      </c>
      <c r="F24" s="41">
        <f t="shared" si="0"/>
        <v>32.619999999999997</v>
      </c>
      <c r="I24" t="s">
        <v>501</v>
      </c>
      <c r="J24">
        <v>23.03</v>
      </c>
      <c r="K24">
        <f t="shared" si="1"/>
        <v>23.03</v>
      </c>
      <c r="L24">
        <f t="shared" si="2"/>
        <v>1</v>
      </c>
      <c r="M24" t="s">
        <v>441</v>
      </c>
      <c r="N24" t="s">
        <v>553</v>
      </c>
    </row>
    <row r="25" spans="1:14" ht="25.5" x14ac:dyDescent="0.2">
      <c r="A25" s="13">
        <v>2</v>
      </c>
      <c r="B25" s="39" t="s">
        <v>533</v>
      </c>
      <c r="C25" s="23">
        <v>39.270000000000003</v>
      </c>
      <c r="D25" s="23" t="s">
        <v>185</v>
      </c>
      <c r="F25" s="41">
        <f t="shared" si="0"/>
        <v>78.540000000000006</v>
      </c>
      <c r="I25" t="s">
        <v>502</v>
      </c>
      <c r="J25">
        <v>28.45</v>
      </c>
      <c r="K25">
        <f t="shared" si="1"/>
        <v>56.9</v>
      </c>
      <c r="L25">
        <f t="shared" si="2"/>
        <v>1</v>
      </c>
      <c r="M25" t="s">
        <v>441</v>
      </c>
      <c r="N25" t="s">
        <v>553</v>
      </c>
    </row>
    <row r="26" spans="1:14" x14ac:dyDescent="0.2">
      <c r="A26" s="13">
        <v>4</v>
      </c>
      <c r="B26" s="13" t="s">
        <v>534</v>
      </c>
      <c r="C26" s="23">
        <v>127.65</v>
      </c>
      <c r="D26" s="23" t="s">
        <v>185</v>
      </c>
      <c r="F26" s="41">
        <f t="shared" si="0"/>
        <v>510.6</v>
      </c>
      <c r="I26" t="s">
        <v>503</v>
      </c>
      <c r="J26">
        <v>106.02</v>
      </c>
      <c r="K26">
        <f t="shared" si="1"/>
        <v>424.08</v>
      </c>
      <c r="L26">
        <f t="shared" si="2"/>
        <v>1</v>
      </c>
      <c r="M26" t="s">
        <v>441</v>
      </c>
      <c r="N26" t="s">
        <v>553</v>
      </c>
    </row>
    <row r="27" spans="1:14" x14ac:dyDescent="0.2">
      <c r="A27" s="13">
        <v>2</v>
      </c>
      <c r="B27" s="13" t="s">
        <v>535</v>
      </c>
      <c r="C27" s="23">
        <v>77.75</v>
      </c>
      <c r="D27" s="23" t="s">
        <v>185</v>
      </c>
      <c r="F27" s="41">
        <f t="shared" si="0"/>
        <v>155.5</v>
      </c>
      <c r="I27" t="s">
        <v>504</v>
      </c>
      <c r="J27">
        <v>54.55</v>
      </c>
      <c r="K27">
        <f t="shared" si="1"/>
        <v>109.1</v>
      </c>
      <c r="L27">
        <f t="shared" si="2"/>
        <v>1</v>
      </c>
      <c r="M27" t="s">
        <v>441</v>
      </c>
      <c r="N27" t="s">
        <v>553</v>
      </c>
    </row>
    <row r="28" spans="1:14" x14ac:dyDescent="0.2">
      <c r="A28" s="13">
        <v>1</v>
      </c>
      <c r="B28" s="13" t="s">
        <v>536</v>
      </c>
      <c r="C28" s="23">
        <v>77.27</v>
      </c>
      <c r="D28" s="23" t="s">
        <v>33</v>
      </c>
      <c r="F28" s="41">
        <f t="shared" si="0"/>
        <v>77.27</v>
      </c>
      <c r="I28" t="s">
        <v>505</v>
      </c>
      <c r="J28">
        <v>74.319999999999993</v>
      </c>
      <c r="K28">
        <f t="shared" si="1"/>
        <v>74.319999999999993</v>
      </c>
      <c r="L28">
        <f t="shared" si="2"/>
        <v>1</v>
      </c>
      <c r="M28" t="s">
        <v>441</v>
      </c>
      <c r="N28" t="s">
        <v>553</v>
      </c>
    </row>
    <row r="29" spans="1:14" x14ac:dyDescent="0.2">
      <c r="A29" s="13">
        <v>1</v>
      </c>
      <c r="B29" s="13" t="s">
        <v>537</v>
      </c>
      <c r="C29" s="23">
        <v>66.900000000000006</v>
      </c>
      <c r="D29" s="23" t="s">
        <v>125</v>
      </c>
      <c r="F29" s="41">
        <f t="shared" si="0"/>
        <v>66.900000000000006</v>
      </c>
      <c r="I29" t="s">
        <v>506</v>
      </c>
      <c r="J29">
        <v>94.73</v>
      </c>
      <c r="K29">
        <f t="shared" si="1"/>
        <v>94.73</v>
      </c>
      <c r="L29">
        <f t="shared" si="2"/>
        <v>0</v>
      </c>
      <c r="M29" t="s">
        <v>548</v>
      </c>
      <c r="N29" t="s">
        <v>553</v>
      </c>
    </row>
    <row r="30" spans="1:14" x14ac:dyDescent="0.2">
      <c r="A30" s="13">
        <v>1</v>
      </c>
      <c r="B30" s="39" t="s">
        <v>538</v>
      </c>
      <c r="C30" s="23">
        <v>93.84</v>
      </c>
      <c r="D30" s="23" t="s">
        <v>125</v>
      </c>
      <c r="F30" s="41">
        <f t="shared" si="0"/>
        <v>93.84</v>
      </c>
      <c r="I30" t="s">
        <v>507</v>
      </c>
      <c r="J30">
        <v>148.88</v>
      </c>
      <c r="K30">
        <f t="shared" si="1"/>
        <v>148.88</v>
      </c>
      <c r="L30">
        <f t="shared" si="2"/>
        <v>0</v>
      </c>
      <c r="M30" t="s">
        <v>548</v>
      </c>
      <c r="N30" t="s">
        <v>553</v>
      </c>
    </row>
    <row r="31" spans="1:14" x14ac:dyDescent="0.2">
      <c r="A31" s="13">
        <v>2</v>
      </c>
      <c r="B31" s="13" t="s">
        <v>539</v>
      </c>
      <c r="C31" s="23">
        <v>77.22</v>
      </c>
      <c r="D31" s="23" t="s">
        <v>125</v>
      </c>
      <c r="F31" s="41">
        <f t="shared" si="0"/>
        <v>154.44</v>
      </c>
      <c r="I31" t="s">
        <v>508</v>
      </c>
      <c r="J31">
        <v>69.650000000000006</v>
      </c>
      <c r="K31">
        <f t="shared" si="1"/>
        <v>139.30000000000001</v>
      </c>
      <c r="L31">
        <f t="shared" si="2"/>
        <v>1</v>
      </c>
      <c r="M31" t="s">
        <v>441</v>
      </c>
      <c r="N31" t="s">
        <v>553</v>
      </c>
    </row>
    <row r="32" spans="1:14" x14ac:dyDescent="0.2">
      <c r="A32" s="13">
        <v>1</v>
      </c>
      <c r="B32" s="13" t="s">
        <v>540</v>
      </c>
      <c r="C32" s="23">
        <v>100.82</v>
      </c>
      <c r="D32" s="23" t="s">
        <v>125</v>
      </c>
      <c r="K32">
        <f t="shared" si="1"/>
        <v>0</v>
      </c>
      <c r="M32" t="s">
        <v>548</v>
      </c>
      <c r="N32" t="s">
        <v>553</v>
      </c>
    </row>
    <row r="33" spans="1:14" x14ac:dyDescent="0.2">
      <c r="A33" s="13">
        <v>4</v>
      </c>
      <c r="B33" s="13" t="s">
        <v>541</v>
      </c>
      <c r="C33" s="23">
        <v>134.81</v>
      </c>
      <c r="D33" s="23" t="s">
        <v>125</v>
      </c>
      <c r="K33">
        <f t="shared" si="1"/>
        <v>0</v>
      </c>
      <c r="M33" t="s">
        <v>548</v>
      </c>
      <c r="N33" t="s">
        <v>553</v>
      </c>
    </row>
    <row r="34" spans="1:14" x14ac:dyDescent="0.2">
      <c r="A34" s="13">
        <v>2</v>
      </c>
      <c r="B34" s="13" t="s">
        <v>542</v>
      </c>
      <c r="C34" s="23">
        <v>63.77</v>
      </c>
      <c r="D34" s="23" t="s">
        <v>33</v>
      </c>
      <c r="F34" s="41">
        <f t="shared" si="0"/>
        <v>127.54</v>
      </c>
      <c r="I34" t="s">
        <v>509</v>
      </c>
      <c r="J34">
        <v>60.67</v>
      </c>
      <c r="K34">
        <f t="shared" si="1"/>
        <v>121.34</v>
      </c>
      <c r="L34">
        <f t="shared" si="2"/>
        <v>1</v>
      </c>
      <c r="M34" t="s">
        <v>441</v>
      </c>
      <c r="N34" t="s">
        <v>553</v>
      </c>
    </row>
    <row r="35" spans="1:14" ht="25.5" x14ac:dyDescent="0.2">
      <c r="A35" s="13">
        <v>4</v>
      </c>
      <c r="B35" s="39" t="s">
        <v>543</v>
      </c>
      <c r="C35" s="23">
        <v>26.63</v>
      </c>
      <c r="D35" s="23" t="s">
        <v>185</v>
      </c>
      <c r="F35" s="41">
        <f t="shared" si="0"/>
        <v>106.52</v>
      </c>
      <c r="I35" t="s">
        <v>510</v>
      </c>
      <c r="J35">
        <v>14.9</v>
      </c>
      <c r="K35">
        <f t="shared" si="1"/>
        <v>59.6</v>
      </c>
      <c r="L35">
        <f t="shared" si="2"/>
        <v>1</v>
      </c>
      <c r="M35" t="s">
        <v>441</v>
      </c>
      <c r="N35" t="s">
        <v>553</v>
      </c>
    </row>
    <row r="36" spans="1:14" ht="25.5" x14ac:dyDescent="0.2">
      <c r="A36" s="13">
        <v>2</v>
      </c>
      <c r="B36" s="39" t="s">
        <v>544</v>
      </c>
      <c r="C36" s="23">
        <v>33.04</v>
      </c>
      <c r="D36" s="23" t="s">
        <v>185</v>
      </c>
      <c r="F36" s="41">
        <f t="shared" si="0"/>
        <v>66.08</v>
      </c>
      <c r="I36" t="s">
        <v>511</v>
      </c>
      <c r="J36">
        <v>17.28</v>
      </c>
      <c r="K36">
        <f t="shared" si="1"/>
        <v>34.56</v>
      </c>
      <c r="L36">
        <f t="shared" si="2"/>
        <v>1</v>
      </c>
      <c r="M36" t="s">
        <v>441</v>
      </c>
      <c r="N36" t="s">
        <v>553</v>
      </c>
    </row>
    <row r="37" spans="1:14" ht="25.5" x14ac:dyDescent="0.2">
      <c r="A37" s="13">
        <v>2</v>
      </c>
      <c r="B37" s="39" t="s">
        <v>545</v>
      </c>
      <c r="C37" s="23">
        <v>39.92</v>
      </c>
      <c r="D37" s="23" t="s">
        <v>185</v>
      </c>
      <c r="F37" s="41">
        <f t="shared" si="0"/>
        <v>79.84</v>
      </c>
      <c r="I37" t="s">
        <v>512</v>
      </c>
      <c r="J37">
        <v>24.3</v>
      </c>
      <c r="K37">
        <f t="shared" si="1"/>
        <v>48.6</v>
      </c>
      <c r="L37">
        <f t="shared" si="2"/>
        <v>1</v>
      </c>
      <c r="M37" t="s">
        <v>441</v>
      </c>
      <c r="N37" t="s">
        <v>553</v>
      </c>
    </row>
    <row r="38" spans="1:14" x14ac:dyDescent="0.2">
      <c r="A38" s="13">
        <v>1</v>
      </c>
      <c r="B38" s="13" t="s">
        <v>439</v>
      </c>
      <c r="C38" s="23">
        <v>70.59</v>
      </c>
      <c r="D38" s="23" t="s">
        <v>185</v>
      </c>
      <c r="K38">
        <f t="shared" si="1"/>
        <v>0</v>
      </c>
      <c r="M38" t="s">
        <v>547</v>
      </c>
      <c r="N38" t="s">
        <v>553</v>
      </c>
    </row>
    <row r="39" spans="1:14" x14ac:dyDescent="0.2">
      <c r="A39" s="13">
        <v>3</v>
      </c>
      <c r="B39" s="13" t="s">
        <v>440</v>
      </c>
      <c r="C39" s="23">
        <v>66.62</v>
      </c>
      <c r="D39" s="23" t="s">
        <v>185</v>
      </c>
      <c r="K39">
        <f t="shared" si="1"/>
        <v>0</v>
      </c>
      <c r="M39" t="s">
        <v>547</v>
      </c>
      <c r="N39" t="s">
        <v>553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3C25B-839C-4E91-83E7-D10E9526B394}">
  <dimension ref="A1:N1139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60" sqref="A60"/>
    </sheetView>
  </sheetViews>
  <sheetFormatPr defaultColWidth="14.33203125" defaultRowHeight="15" customHeight="1" x14ac:dyDescent="0.2"/>
  <cols>
    <col min="1" max="1" width="65.33203125" customWidth="1"/>
    <col min="2" max="2" width="19.33203125" customWidth="1"/>
    <col min="3" max="3" width="10.1640625" customWidth="1"/>
    <col min="4" max="4" width="9.83203125" customWidth="1"/>
    <col min="5" max="5" width="13.83203125" customWidth="1"/>
    <col min="6" max="6" width="17.33203125" customWidth="1"/>
    <col min="7" max="7" width="23.33203125" customWidth="1"/>
    <col min="8" max="8" width="13.33203125" customWidth="1"/>
    <col min="9" max="9" width="30.83203125" customWidth="1"/>
    <col min="10" max="11" width="11.33203125" customWidth="1"/>
    <col min="12" max="26" width="13.33203125" customWidth="1"/>
  </cols>
  <sheetData>
    <row r="1" spans="1:10" ht="12.75" customHeight="1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ht="12.75" customHeight="1" x14ac:dyDescent="0.25">
      <c r="A2" s="14" t="s">
        <v>162</v>
      </c>
      <c r="B2" s="8">
        <v>943</v>
      </c>
      <c r="C2" s="9">
        <v>1</v>
      </c>
      <c r="D2" s="10">
        <f>C2*B2</f>
        <v>943</v>
      </c>
      <c r="E2" s="11">
        <v>45142</v>
      </c>
      <c r="F2" s="12" t="s">
        <v>158</v>
      </c>
      <c r="G2" s="9" t="s">
        <v>163</v>
      </c>
      <c r="H2" s="12" t="s">
        <v>158</v>
      </c>
      <c r="I2" s="9" t="s">
        <v>163</v>
      </c>
      <c r="J2" s="13" t="s">
        <v>15</v>
      </c>
    </row>
    <row r="3" spans="1:10" ht="12.75" customHeight="1" x14ac:dyDescent="0.25">
      <c r="A3" s="14" t="s">
        <v>164</v>
      </c>
      <c r="B3" s="8">
        <v>718</v>
      </c>
      <c r="C3" s="9">
        <v>1</v>
      </c>
      <c r="D3" s="10">
        <f>C3*B3</f>
        <v>718</v>
      </c>
      <c r="E3" s="11">
        <v>45142</v>
      </c>
      <c r="F3" s="12" t="s">
        <v>158</v>
      </c>
      <c r="G3" s="9" t="s">
        <v>165</v>
      </c>
      <c r="H3" s="12" t="s">
        <v>158</v>
      </c>
      <c r="I3" s="9" t="s">
        <v>165</v>
      </c>
      <c r="J3" s="13" t="s">
        <v>15</v>
      </c>
    </row>
    <row r="4" spans="1:10" ht="12.75" customHeight="1" x14ac:dyDescent="0.25">
      <c r="A4" s="14" t="s">
        <v>160</v>
      </c>
      <c r="B4" s="8">
        <v>1053</v>
      </c>
      <c r="C4" s="9">
        <v>1</v>
      </c>
      <c r="D4" s="10">
        <f>C4*B4</f>
        <v>1053</v>
      </c>
      <c r="E4" s="11">
        <v>45142</v>
      </c>
      <c r="F4" s="12" t="s">
        <v>158</v>
      </c>
      <c r="G4" s="9" t="s">
        <v>161</v>
      </c>
      <c r="H4" s="12" t="s">
        <v>158</v>
      </c>
      <c r="I4" s="9" t="s">
        <v>161</v>
      </c>
      <c r="J4" s="13" t="s">
        <v>15</v>
      </c>
    </row>
    <row r="5" spans="1:10" ht="12.75" customHeight="1" x14ac:dyDescent="0.25">
      <c r="A5" s="14" t="s">
        <v>157</v>
      </c>
      <c r="B5" s="8">
        <v>1215</v>
      </c>
      <c r="C5" s="9">
        <v>1</v>
      </c>
      <c r="D5" s="10">
        <f>C5*B5</f>
        <v>1215</v>
      </c>
      <c r="E5" s="11">
        <v>45142</v>
      </c>
      <c r="F5" s="12" t="s">
        <v>158</v>
      </c>
      <c r="G5" s="9" t="s">
        <v>159</v>
      </c>
      <c r="H5" s="12" t="s">
        <v>158</v>
      </c>
      <c r="I5" s="9" t="s">
        <v>159</v>
      </c>
      <c r="J5" s="13" t="s">
        <v>15</v>
      </c>
    </row>
    <row r="6" spans="1:10" ht="12.75" customHeight="1" x14ac:dyDescent="0.25">
      <c r="A6" s="17" t="s">
        <v>128</v>
      </c>
      <c r="B6" s="8">
        <v>22</v>
      </c>
      <c r="C6" s="18">
        <v>1</v>
      </c>
      <c r="D6" s="10">
        <f>C6*B6</f>
        <v>22</v>
      </c>
      <c r="E6" s="13"/>
      <c r="F6" s="13" t="s">
        <v>29</v>
      </c>
      <c r="G6" s="18" t="s">
        <v>291</v>
      </c>
      <c r="H6" s="18" t="s">
        <v>129</v>
      </c>
      <c r="I6" s="18" t="s">
        <v>130</v>
      </c>
      <c r="J6" s="13"/>
    </row>
    <row r="7" spans="1:10" ht="12.75" customHeight="1" x14ac:dyDescent="0.2">
      <c r="A7" s="17" t="s">
        <v>86</v>
      </c>
      <c r="B7" s="8">
        <v>234.99</v>
      </c>
      <c r="C7" s="18">
        <v>6</v>
      </c>
      <c r="D7" s="26">
        <f>B7*C7</f>
        <v>1409.94</v>
      </c>
      <c r="E7" s="25">
        <v>45191</v>
      </c>
      <c r="F7" s="18" t="s">
        <v>29</v>
      </c>
      <c r="G7" s="18"/>
      <c r="H7" s="18" t="s">
        <v>87</v>
      </c>
      <c r="I7" s="18" t="s">
        <v>88</v>
      </c>
      <c r="J7" s="13"/>
    </row>
    <row r="8" spans="1:10" ht="12.75" customHeight="1" x14ac:dyDescent="0.2">
      <c r="A8" s="17" t="s">
        <v>227</v>
      </c>
      <c r="B8" s="8">
        <v>120</v>
      </c>
      <c r="C8" s="18">
        <v>1</v>
      </c>
      <c r="D8" s="26">
        <f>B8*C8</f>
        <v>120</v>
      </c>
      <c r="F8" s="19" t="s">
        <v>29</v>
      </c>
      <c r="H8" s="19" t="s">
        <v>228</v>
      </c>
      <c r="J8" s="13" t="s">
        <v>229</v>
      </c>
    </row>
    <row r="9" spans="1:10" ht="12.75" customHeight="1" x14ac:dyDescent="0.25">
      <c r="A9" s="17" t="s">
        <v>28</v>
      </c>
      <c r="B9" s="8">
        <v>177.89</v>
      </c>
      <c r="C9" s="18">
        <v>1</v>
      </c>
      <c r="D9" s="10">
        <f t="shared" ref="D9:D20" si="0">C9*B9</f>
        <v>177.89</v>
      </c>
      <c r="E9" s="13"/>
      <c r="F9" s="18" t="s">
        <v>29</v>
      </c>
      <c r="G9" s="18"/>
      <c r="H9" s="18" t="s">
        <v>30</v>
      </c>
      <c r="I9" s="18" t="s">
        <v>31</v>
      </c>
      <c r="J9" s="18"/>
    </row>
    <row r="10" spans="1:10" ht="12.75" customHeight="1" x14ac:dyDescent="0.25">
      <c r="A10" s="17" t="s">
        <v>218</v>
      </c>
      <c r="B10" s="8">
        <v>1152.24</v>
      </c>
      <c r="C10" s="18">
        <v>1</v>
      </c>
      <c r="D10" s="10">
        <f t="shared" si="0"/>
        <v>1152.24</v>
      </c>
      <c r="E10" s="33">
        <v>45302</v>
      </c>
      <c r="F10" s="19" t="s">
        <v>219</v>
      </c>
      <c r="G10" s="19">
        <v>216143</v>
      </c>
      <c r="H10" s="13" t="s">
        <v>220</v>
      </c>
      <c r="I10" s="13"/>
      <c r="J10" s="28"/>
    </row>
    <row r="11" spans="1:10" ht="12.75" customHeight="1" x14ac:dyDescent="0.25">
      <c r="A11" s="17" t="s">
        <v>232</v>
      </c>
      <c r="B11" s="8">
        <v>9706.93</v>
      </c>
      <c r="C11" s="18">
        <v>1</v>
      </c>
      <c r="D11" s="10">
        <f t="shared" si="0"/>
        <v>9706.93</v>
      </c>
      <c r="E11" s="33">
        <v>45302</v>
      </c>
      <c r="F11" s="19" t="s">
        <v>219</v>
      </c>
      <c r="G11" s="34" t="s">
        <v>289</v>
      </c>
      <c r="H11" s="19" t="s">
        <v>219</v>
      </c>
      <c r="J11" s="13" t="s">
        <v>233</v>
      </c>
    </row>
    <row r="12" spans="1:10" ht="12.75" customHeight="1" x14ac:dyDescent="0.25">
      <c r="A12" s="14" t="s">
        <v>271</v>
      </c>
      <c r="B12" s="8">
        <v>359</v>
      </c>
      <c r="C12" s="9">
        <v>1</v>
      </c>
      <c r="D12" s="10">
        <f t="shared" si="0"/>
        <v>359</v>
      </c>
      <c r="E12" s="11">
        <v>45142</v>
      </c>
      <c r="F12" s="12" t="s">
        <v>267</v>
      </c>
      <c r="G12" s="9" t="s">
        <v>268</v>
      </c>
      <c r="H12" s="9" t="s">
        <v>269</v>
      </c>
      <c r="I12" s="12" t="s">
        <v>270</v>
      </c>
      <c r="J12" s="13" t="s">
        <v>15</v>
      </c>
    </row>
    <row r="13" spans="1:10" ht="12.75" customHeight="1" x14ac:dyDescent="0.25">
      <c r="A13" s="14" t="s">
        <v>266</v>
      </c>
      <c r="B13" s="8">
        <v>359</v>
      </c>
      <c r="C13" s="9">
        <v>1</v>
      </c>
      <c r="D13" s="10">
        <f t="shared" si="0"/>
        <v>359</v>
      </c>
      <c r="E13" s="11">
        <v>45142</v>
      </c>
      <c r="F13" s="12" t="s">
        <v>267</v>
      </c>
      <c r="G13" s="9" t="s">
        <v>268</v>
      </c>
      <c r="H13" s="9" t="s">
        <v>269</v>
      </c>
      <c r="I13" s="12" t="s">
        <v>270</v>
      </c>
      <c r="J13" s="13" t="s">
        <v>15</v>
      </c>
    </row>
    <row r="14" spans="1:10" ht="12.75" customHeight="1" x14ac:dyDescent="0.25">
      <c r="A14" s="21" t="s">
        <v>36</v>
      </c>
      <c r="B14" s="8">
        <v>1484.51</v>
      </c>
      <c r="C14" s="22">
        <v>1</v>
      </c>
      <c r="D14" s="10">
        <f t="shared" si="0"/>
        <v>1484.51</v>
      </c>
      <c r="E14" s="11">
        <v>45142</v>
      </c>
      <c r="F14" s="9" t="s">
        <v>37</v>
      </c>
      <c r="G14" s="9" t="s">
        <v>38</v>
      </c>
      <c r="H14" s="9" t="s">
        <v>37</v>
      </c>
      <c r="I14" s="9" t="s">
        <v>39</v>
      </c>
      <c r="J14" s="13" t="s">
        <v>15</v>
      </c>
    </row>
    <row r="15" spans="1:10" ht="12.75" customHeight="1" x14ac:dyDescent="0.25">
      <c r="A15" s="21" t="s">
        <v>36</v>
      </c>
      <c r="B15" s="8">
        <v>1484.51</v>
      </c>
      <c r="C15" s="22">
        <v>1</v>
      </c>
      <c r="D15" s="10">
        <f t="shared" si="0"/>
        <v>1484.51</v>
      </c>
      <c r="E15" s="11">
        <v>45142</v>
      </c>
      <c r="F15" s="9" t="s">
        <v>37</v>
      </c>
      <c r="G15" s="9" t="s">
        <v>38</v>
      </c>
      <c r="H15" s="9" t="s">
        <v>37</v>
      </c>
      <c r="I15" s="9" t="s">
        <v>62</v>
      </c>
      <c r="J15" s="13" t="s">
        <v>15</v>
      </c>
    </row>
    <row r="16" spans="1:10" ht="12.75" customHeight="1" x14ac:dyDescent="0.25">
      <c r="A16" s="21" t="s">
        <v>40</v>
      </c>
      <c r="B16" s="8">
        <v>1484.51</v>
      </c>
      <c r="C16" s="22">
        <v>1</v>
      </c>
      <c r="D16" s="10">
        <f t="shared" si="0"/>
        <v>1484.51</v>
      </c>
      <c r="E16" s="11">
        <v>45142</v>
      </c>
      <c r="F16" s="9" t="s">
        <v>37</v>
      </c>
      <c r="G16" s="9" t="s">
        <v>38</v>
      </c>
      <c r="H16" s="9" t="s">
        <v>37</v>
      </c>
      <c r="I16" s="9" t="s">
        <v>41</v>
      </c>
      <c r="J16" s="13" t="s">
        <v>15</v>
      </c>
    </row>
    <row r="17" spans="1:10" ht="12.75" customHeight="1" x14ac:dyDescent="0.25">
      <c r="A17" s="17" t="s">
        <v>32</v>
      </c>
      <c r="B17" s="8">
        <v>3.36</v>
      </c>
      <c r="C17" s="18">
        <v>10</v>
      </c>
      <c r="D17" s="10">
        <f t="shared" si="0"/>
        <v>33.6</v>
      </c>
      <c r="E17" s="13"/>
      <c r="F17" s="18" t="s">
        <v>33</v>
      </c>
      <c r="G17" s="19" t="s">
        <v>34</v>
      </c>
      <c r="H17" s="18"/>
      <c r="I17" s="18"/>
      <c r="J17" s="18"/>
    </row>
    <row r="18" spans="1:10" ht="12.75" customHeight="1" x14ac:dyDescent="0.25">
      <c r="A18" s="17" t="s">
        <v>54</v>
      </c>
      <c r="B18" s="23">
        <v>177.8</v>
      </c>
      <c r="C18" s="9">
        <v>2</v>
      </c>
      <c r="D18" s="10">
        <f t="shared" si="0"/>
        <v>355.6</v>
      </c>
      <c r="E18" s="11"/>
      <c r="F18" s="18" t="s">
        <v>33</v>
      </c>
      <c r="I18" s="9"/>
      <c r="J18" s="13" t="s">
        <v>55</v>
      </c>
    </row>
    <row r="19" spans="1:10" ht="12.75" customHeight="1" x14ac:dyDescent="0.25">
      <c r="A19" s="17" t="s">
        <v>54</v>
      </c>
      <c r="B19" s="23">
        <v>177.8</v>
      </c>
      <c r="C19" s="9">
        <v>2</v>
      </c>
      <c r="D19" s="10">
        <f t="shared" si="0"/>
        <v>355.6</v>
      </c>
      <c r="E19" s="11"/>
      <c r="F19" s="18" t="s">
        <v>33</v>
      </c>
      <c r="I19" s="9"/>
      <c r="J19" s="13" t="s">
        <v>55</v>
      </c>
    </row>
    <row r="20" spans="1:10" ht="12.75" customHeight="1" x14ac:dyDescent="0.25">
      <c r="A20" s="17" t="s">
        <v>32</v>
      </c>
      <c r="B20" s="23">
        <v>4.08</v>
      </c>
      <c r="C20" s="9">
        <v>6</v>
      </c>
      <c r="D20" s="10">
        <f t="shared" si="0"/>
        <v>24.48</v>
      </c>
      <c r="E20" s="11"/>
      <c r="F20" s="18" t="s">
        <v>33</v>
      </c>
      <c r="I20" s="9"/>
      <c r="J20" s="13"/>
    </row>
    <row r="21" spans="1:10" ht="12.75" customHeight="1" x14ac:dyDescent="0.2">
      <c r="A21" s="17" t="s">
        <v>237</v>
      </c>
      <c r="B21" s="23">
        <v>411.12</v>
      </c>
      <c r="C21" s="18">
        <v>2</v>
      </c>
      <c r="D21" s="26">
        <f>B21*C21</f>
        <v>822.24</v>
      </c>
      <c r="F21" s="18" t="s">
        <v>105</v>
      </c>
      <c r="J21" s="19" t="s">
        <v>238</v>
      </c>
    </row>
    <row r="22" spans="1:10" ht="12.75" customHeight="1" x14ac:dyDescent="0.2">
      <c r="A22" s="17" t="s">
        <v>104</v>
      </c>
      <c r="B22" s="8">
        <v>101.84</v>
      </c>
      <c r="C22" s="18">
        <v>2</v>
      </c>
      <c r="D22" s="26">
        <f>B22*C22</f>
        <v>203.68</v>
      </c>
      <c r="E22" s="25"/>
      <c r="F22" s="18" t="s">
        <v>105</v>
      </c>
      <c r="G22" s="18"/>
      <c r="H22" s="18"/>
      <c r="I22" s="18"/>
      <c r="J22" s="13" t="s">
        <v>106</v>
      </c>
    </row>
    <row r="23" spans="1:10" ht="12.75" customHeight="1" x14ac:dyDescent="0.2">
      <c r="A23" s="17" t="s">
        <v>107</v>
      </c>
      <c r="B23" s="8">
        <v>96.08</v>
      </c>
      <c r="C23" s="18">
        <v>2</v>
      </c>
      <c r="D23" s="26">
        <f>B23*C23</f>
        <v>192.16</v>
      </c>
      <c r="E23" s="25"/>
      <c r="F23" s="18" t="s">
        <v>105</v>
      </c>
      <c r="G23" s="18"/>
      <c r="H23" s="18"/>
      <c r="I23" s="18"/>
      <c r="J23" s="13" t="s">
        <v>106</v>
      </c>
    </row>
    <row r="24" spans="1:10" ht="12.75" customHeight="1" x14ac:dyDescent="0.2">
      <c r="A24" s="17" t="s">
        <v>108</v>
      </c>
      <c r="B24" s="8">
        <v>103.3</v>
      </c>
      <c r="C24" s="18">
        <v>4</v>
      </c>
      <c r="D24" s="26">
        <f>B24*C24</f>
        <v>413.2</v>
      </c>
      <c r="E24" s="25"/>
      <c r="F24" s="18" t="s">
        <v>105</v>
      </c>
      <c r="G24" s="18"/>
      <c r="H24" s="18"/>
      <c r="I24" s="18"/>
      <c r="J24" s="13" t="s">
        <v>109</v>
      </c>
    </row>
    <row r="25" spans="1:10" ht="12.75" customHeight="1" x14ac:dyDescent="0.25">
      <c r="A25" s="17" t="s">
        <v>146</v>
      </c>
      <c r="B25" s="8">
        <v>99</v>
      </c>
      <c r="C25" s="18">
        <v>7</v>
      </c>
      <c r="D25" s="10">
        <f>C25*B25</f>
        <v>693</v>
      </c>
      <c r="E25" s="25">
        <v>45224</v>
      </c>
      <c r="F25" s="13" t="s">
        <v>147</v>
      </c>
      <c r="G25" s="18"/>
      <c r="H25" s="18" t="s">
        <v>148</v>
      </c>
      <c r="I25" s="18" t="s">
        <v>149</v>
      </c>
      <c r="J25" s="18"/>
    </row>
    <row r="26" spans="1:10" ht="12.75" customHeight="1" x14ac:dyDescent="0.25">
      <c r="A26" s="17" t="s">
        <v>244</v>
      </c>
      <c r="B26" s="8">
        <v>304</v>
      </c>
      <c r="C26" s="18">
        <v>4</v>
      </c>
      <c r="D26" s="10">
        <f>C26*B26</f>
        <v>1216</v>
      </c>
      <c r="E26" s="25">
        <v>45224</v>
      </c>
      <c r="F26" s="19" t="s">
        <v>147</v>
      </c>
      <c r="H26" s="19" t="s">
        <v>151</v>
      </c>
      <c r="I26" s="19" t="s">
        <v>245</v>
      </c>
      <c r="J26" s="13"/>
    </row>
    <row r="27" spans="1:10" ht="12.75" customHeight="1" x14ac:dyDescent="0.25">
      <c r="A27" s="17" t="s">
        <v>150</v>
      </c>
      <c r="B27" s="8">
        <v>75</v>
      </c>
      <c r="C27" s="18">
        <v>2</v>
      </c>
      <c r="D27" s="10">
        <f>C27*B27</f>
        <v>150</v>
      </c>
      <c r="E27" s="25">
        <v>45224</v>
      </c>
      <c r="F27" s="13" t="s">
        <v>147</v>
      </c>
      <c r="G27" s="13"/>
      <c r="H27" s="18" t="s">
        <v>151</v>
      </c>
      <c r="I27" s="18" t="s">
        <v>152</v>
      </c>
      <c r="J27" s="27"/>
    </row>
    <row r="28" spans="1:10" ht="12.75" customHeight="1" x14ac:dyDescent="0.25">
      <c r="A28" s="17" t="s">
        <v>251</v>
      </c>
      <c r="B28" s="8">
        <v>289</v>
      </c>
      <c r="C28" s="18">
        <v>2</v>
      </c>
      <c r="D28" s="10">
        <f>C28*B28</f>
        <v>578</v>
      </c>
      <c r="E28" s="25">
        <v>45224</v>
      </c>
      <c r="F28" s="19" t="s">
        <v>147</v>
      </c>
      <c r="H28" s="19" t="s">
        <v>151</v>
      </c>
      <c r="I28" s="19" t="s">
        <v>252</v>
      </c>
      <c r="J28" s="13"/>
    </row>
    <row r="29" spans="1:10" ht="12.75" customHeight="1" x14ac:dyDescent="0.25">
      <c r="A29" s="17" t="s">
        <v>247</v>
      </c>
      <c r="B29" s="8">
        <v>1281</v>
      </c>
      <c r="C29" s="18">
        <v>2</v>
      </c>
      <c r="D29" s="10">
        <f>C29*B29</f>
        <v>2562</v>
      </c>
      <c r="E29" s="25">
        <v>45224</v>
      </c>
      <c r="F29" s="19" t="s">
        <v>147</v>
      </c>
      <c r="H29" s="19" t="s">
        <v>248</v>
      </c>
      <c r="I29" s="19" t="s">
        <v>249</v>
      </c>
      <c r="J29" s="18" t="s">
        <v>250</v>
      </c>
    </row>
    <row r="30" spans="1:10" ht="12.75" customHeight="1" x14ac:dyDescent="0.2">
      <c r="A30" s="17" t="s">
        <v>223</v>
      </c>
      <c r="B30" s="8">
        <v>2.35</v>
      </c>
      <c r="C30" s="18">
        <v>8</v>
      </c>
      <c r="D30" s="26">
        <f>B30*C30</f>
        <v>18.8</v>
      </c>
      <c r="F30" s="19" t="s">
        <v>224</v>
      </c>
      <c r="G30" s="19">
        <v>23916</v>
      </c>
      <c r="J30" s="13" t="s">
        <v>225</v>
      </c>
    </row>
    <row r="31" spans="1:10" ht="12.75" customHeight="1" x14ac:dyDescent="0.2">
      <c r="A31" s="17" t="s">
        <v>287</v>
      </c>
      <c r="B31" s="8">
        <v>4.2</v>
      </c>
      <c r="C31" s="18">
        <v>8</v>
      </c>
      <c r="D31" s="26">
        <f>B31*C31</f>
        <v>33.6</v>
      </c>
      <c r="F31" s="19" t="s">
        <v>224</v>
      </c>
      <c r="G31" s="19">
        <v>23918</v>
      </c>
      <c r="J31" s="13"/>
    </row>
    <row r="32" spans="1:10" ht="12.75" customHeight="1" x14ac:dyDescent="0.2">
      <c r="A32" s="17" t="s">
        <v>226</v>
      </c>
      <c r="B32" s="8">
        <v>0.32</v>
      </c>
      <c r="C32" s="18">
        <v>8</v>
      </c>
      <c r="D32" s="26">
        <f>B32*C32</f>
        <v>2.56</v>
      </c>
      <c r="F32" s="19" t="s">
        <v>224</v>
      </c>
      <c r="G32" s="19">
        <v>33819</v>
      </c>
      <c r="J32" s="13"/>
    </row>
    <row r="33" spans="1:10" ht="12.75" customHeight="1" x14ac:dyDescent="0.2">
      <c r="A33" s="17" t="s">
        <v>226</v>
      </c>
      <c r="B33" s="8">
        <v>0.32</v>
      </c>
      <c r="C33" s="18">
        <v>2</v>
      </c>
      <c r="D33" s="26">
        <f>B33*C33</f>
        <v>0.64</v>
      </c>
      <c r="F33" s="19" t="s">
        <v>224</v>
      </c>
      <c r="G33" s="19">
        <v>33819</v>
      </c>
      <c r="J33" s="13"/>
    </row>
    <row r="34" spans="1:10" ht="12.75" customHeight="1" x14ac:dyDescent="0.2">
      <c r="A34" s="19" t="s">
        <v>259</v>
      </c>
      <c r="B34" s="23">
        <v>3.61</v>
      </c>
      <c r="C34" s="13">
        <v>4</v>
      </c>
      <c r="D34" s="26">
        <f>B34*C34</f>
        <v>14.44</v>
      </c>
      <c r="F34" s="19" t="s">
        <v>224</v>
      </c>
      <c r="J34" s="13"/>
    </row>
    <row r="35" spans="1:10" ht="12.75" customHeight="1" x14ac:dyDescent="0.25">
      <c r="A35" s="14" t="s">
        <v>63</v>
      </c>
      <c r="B35" s="8">
        <v>582.5</v>
      </c>
      <c r="C35" s="9">
        <v>1</v>
      </c>
      <c r="D35" s="10">
        <f t="shared" ref="D35:D40" si="1">C35*B35</f>
        <v>582.5</v>
      </c>
      <c r="E35" s="11">
        <v>45142</v>
      </c>
      <c r="F35" s="12" t="s">
        <v>43</v>
      </c>
      <c r="G35" s="9" t="s">
        <v>64</v>
      </c>
      <c r="H35" s="9" t="s">
        <v>65</v>
      </c>
      <c r="I35" s="9" t="s">
        <v>66</v>
      </c>
      <c r="J35" s="13" t="s">
        <v>15</v>
      </c>
    </row>
    <row r="36" spans="1:10" ht="12.75" customHeight="1" x14ac:dyDescent="0.25">
      <c r="A36" s="14" t="s">
        <v>42</v>
      </c>
      <c r="B36" s="8">
        <v>715</v>
      </c>
      <c r="C36" s="9">
        <v>1</v>
      </c>
      <c r="D36" s="10">
        <f t="shared" si="1"/>
        <v>715</v>
      </c>
      <c r="E36" s="11">
        <v>45142</v>
      </c>
      <c r="F36" s="12" t="s">
        <v>43</v>
      </c>
      <c r="G36" s="9" t="s">
        <v>44</v>
      </c>
      <c r="H36" s="9" t="s">
        <v>45</v>
      </c>
      <c r="I36" s="9" t="s">
        <v>46</v>
      </c>
      <c r="J36" s="13" t="s">
        <v>15</v>
      </c>
    </row>
    <row r="37" spans="1:10" ht="12.75" customHeight="1" x14ac:dyDescent="0.25">
      <c r="A37" s="14" t="s">
        <v>67</v>
      </c>
      <c r="B37" s="8">
        <v>2187.5</v>
      </c>
      <c r="C37" s="9">
        <v>1</v>
      </c>
      <c r="D37" s="10">
        <f t="shared" si="1"/>
        <v>2187.5</v>
      </c>
      <c r="E37" s="11">
        <v>45142</v>
      </c>
      <c r="F37" s="12" t="s">
        <v>43</v>
      </c>
      <c r="G37" s="9" t="s">
        <v>68</v>
      </c>
      <c r="H37" s="9" t="s">
        <v>49</v>
      </c>
      <c r="I37" s="9" t="s">
        <v>69</v>
      </c>
      <c r="J37" s="13" t="s">
        <v>15</v>
      </c>
    </row>
    <row r="38" spans="1:10" ht="12.75" customHeight="1" x14ac:dyDescent="0.25">
      <c r="A38" s="14" t="s">
        <v>47</v>
      </c>
      <c r="B38" s="8">
        <v>523</v>
      </c>
      <c r="C38" s="9">
        <v>1</v>
      </c>
      <c r="D38" s="10">
        <f t="shared" si="1"/>
        <v>523</v>
      </c>
      <c r="E38" s="11">
        <v>45142</v>
      </c>
      <c r="F38" s="12" t="s">
        <v>43</v>
      </c>
      <c r="G38" s="9" t="s">
        <v>48</v>
      </c>
      <c r="H38" s="9" t="s">
        <v>49</v>
      </c>
      <c r="I38" s="9" t="s">
        <v>48</v>
      </c>
      <c r="J38" s="13" t="s">
        <v>15</v>
      </c>
    </row>
    <row r="39" spans="1:10" ht="12.75" customHeight="1" x14ac:dyDescent="0.25">
      <c r="A39" s="14" t="s">
        <v>135</v>
      </c>
      <c r="B39" s="8">
        <v>455.5</v>
      </c>
      <c r="C39" s="9">
        <v>1</v>
      </c>
      <c r="D39" s="10">
        <f t="shared" si="1"/>
        <v>455.5</v>
      </c>
      <c r="E39" s="11">
        <v>45142</v>
      </c>
      <c r="F39" s="12" t="s">
        <v>43</v>
      </c>
      <c r="G39" s="9" t="s">
        <v>136</v>
      </c>
      <c r="H39" s="9" t="s">
        <v>137</v>
      </c>
      <c r="I39" s="12" t="s">
        <v>136</v>
      </c>
      <c r="J39" s="18" t="s">
        <v>138</v>
      </c>
    </row>
    <row r="40" spans="1:10" ht="12.75" customHeight="1" x14ac:dyDescent="0.25">
      <c r="A40" s="14" t="s">
        <v>275</v>
      </c>
      <c r="B40" s="8">
        <v>1627.5</v>
      </c>
      <c r="C40" s="9">
        <v>1</v>
      </c>
      <c r="D40" s="10">
        <f t="shared" si="1"/>
        <v>1627.5</v>
      </c>
      <c r="E40" s="11">
        <v>45142</v>
      </c>
      <c r="F40" s="12" t="s">
        <v>276</v>
      </c>
      <c r="G40" s="9" t="s">
        <v>277</v>
      </c>
      <c r="H40" s="12" t="s">
        <v>276</v>
      </c>
      <c r="I40" s="9" t="s">
        <v>277</v>
      </c>
      <c r="J40" s="13" t="s">
        <v>15</v>
      </c>
    </row>
    <row r="41" spans="1:10" ht="12.75" customHeight="1" x14ac:dyDescent="0.25">
      <c r="A41" s="17" t="s">
        <v>208</v>
      </c>
      <c r="B41" s="8">
        <v>14.82</v>
      </c>
      <c r="C41" s="18">
        <v>2</v>
      </c>
      <c r="D41" s="26">
        <f t="shared" ref="D41:D51" si="2">B41*C41</f>
        <v>29.64</v>
      </c>
      <c r="E41" s="13"/>
      <c r="F41" s="12" t="s">
        <v>122</v>
      </c>
      <c r="G41" s="19" t="s">
        <v>209</v>
      </c>
      <c r="H41" s="13"/>
      <c r="I41" s="13"/>
      <c r="J41" s="13"/>
    </row>
    <row r="42" spans="1:10" ht="12.75" customHeight="1" x14ac:dyDescent="0.25">
      <c r="A42" s="17" t="s">
        <v>208</v>
      </c>
      <c r="B42" s="8">
        <v>14.82</v>
      </c>
      <c r="C42" s="18"/>
      <c r="D42" s="26">
        <f t="shared" si="2"/>
        <v>0</v>
      </c>
      <c r="E42" s="13"/>
      <c r="F42" s="12" t="s">
        <v>122</v>
      </c>
      <c r="G42" s="19" t="s">
        <v>209</v>
      </c>
      <c r="H42" s="13"/>
      <c r="I42" s="13"/>
      <c r="J42" s="13"/>
    </row>
    <row r="43" spans="1:10" ht="12.75" customHeight="1" x14ac:dyDescent="0.25">
      <c r="A43" s="17" t="s">
        <v>206</v>
      </c>
      <c r="B43" s="8">
        <v>4.6900000000000004</v>
      </c>
      <c r="C43" s="18">
        <v>3</v>
      </c>
      <c r="D43" s="26">
        <f t="shared" si="2"/>
        <v>14.07</v>
      </c>
      <c r="E43" s="13"/>
      <c r="F43" s="12" t="s">
        <v>122</v>
      </c>
      <c r="G43" s="19" t="s">
        <v>207</v>
      </c>
      <c r="H43" s="13"/>
      <c r="I43" s="13"/>
      <c r="J43" s="13"/>
    </row>
    <row r="44" spans="1:10" ht="12.75" customHeight="1" x14ac:dyDescent="0.25">
      <c r="A44" s="17" t="s">
        <v>206</v>
      </c>
      <c r="B44" s="8">
        <v>4.6900000000000004</v>
      </c>
      <c r="C44" s="18"/>
      <c r="D44" s="26">
        <f t="shared" si="2"/>
        <v>0</v>
      </c>
      <c r="E44" s="13"/>
      <c r="F44" s="12" t="s">
        <v>122</v>
      </c>
      <c r="G44" s="19" t="s">
        <v>207</v>
      </c>
      <c r="H44" s="13"/>
      <c r="I44" s="13"/>
      <c r="J44" s="13"/>
    </row>
    <row r="45" spans="1:10" ht="12.75" customHeight="1" x14ac:dyDescent="0.25">
      <c r="A45" s="17" t="s">
        <v>212</v>
      </c>
      <c r="B45" s="8">
        <v>16.11</v>
      </c>
      <c r="C45" s="18">
        <v>1</v>
      </c>
      <c r="D45" s="26">
        <f t="shared" si="2"/>
        <v>16.11</v>
      </c>
      <c r="E45" s="13"/>
      <c r="F45" s="12" t="s">
        <v>122</v>
      </c>
      <c r="G45" s="19" t="s">
        <v>213</v>
      </c>
      <c r="H45" s="13"/>
      <c r="I45" s="13"/>
      <c r="J45" s="13" t="s">
        <v>214</v>
      </c>
    </row>
    <row r="46" spans="1:10" ht="12.75" customHeight="1" x14ac:dyDescent="0.25">
      <c r="A46" s="17" t="s">
        <v>212</v>
      </c>
      <c r="B46" s="8">
        <v>16.11</v>
      </c>
      <c r="C46" s="18">
        <v>1</v>
      </c>
      <c r="D46" s="26">
        <f t="shared" si="2"/>
        <v>16.11</v>
      </c>
      <c r="E46" s="13"/>
      <c r="F46" s="12" t="s">
        <v>122</v>
      </c>
      <c r="G46" s="19" t="s">
        <v>213</v>
      </c>
      <c r="H46" s="13"/>
      <c r="I46" s="13"/>
      <c r="J46" s="13" t="s">
        <v>214</v>
      </c>
    </row>
    <row r="47" spans="1:10" ht="12.75" customHeight="1" x14ac:dyDescent="0.25">
      <c r="A47" s="17" t="s">
        <v>204</v>
      </c>
      <c r="B47" s="8">
        <v>43.06</v>
      </c>
      <c r="C47" s="18">
        <v>1</v>
      </c>
      <c r="D47" s="26">
        <f t="shared" si="2"/>
        <v>43.06</v>
      </c>
      <c r="E47" s="13"/>
      <c r="F47" s="12" t="s">
        <v>122</v>
      </c>
      <c r="G47" s="19" t="s">
        <v>205</v>
      </c>
      <c r="H47" s="13"/>
      <c r="I47" s="13"/>
      <c r="J47" s="13"/>
    </row>
    <row r="48" spans="1:10" ht="12.75" customHeight="1" x14ac:dyDescent="0.25">
      <c r="A48" s="17" t="s">
        <v>204</v>
      </c>
      <c r="B48" s="8">
        <v>43.06</v>
      </c>
      <c r="C48" s="18"/>
      <c r="D48" s="26">
        <f t="shared" si="2"/>
        <v>0</v>
      </c>
      <c r="E48" s="13"/>
      <c r="F48" s="12" t="s">
        <v>122</v>
      </c>
      <c r="G48" s="19" t="s">
        <v>205</v>
      </c>
      <c r="H48" s="13"/>
      <c r="I48" s="13"/>
      <c r="J48" s="13"/>
    </row>
    <row r="49" spans="1:10" ht="12.75" customHeight="1" x14ac:dyDescent="0.2">
      <c r="A49" s="17" t="s">
        <v>121</v>
      </c>
      <c r="B49" s="8">
        <v>25.61</v>
      </c>
      <c r="C49" s="18">
        <v>1</v>
      </c>
      <c r="D49" s="26">
        <f t="shared" si="2"/>
        <v>25.61</v>
      </c>
      <c r="E49" s="13"/>
      <c r="F49" s="18" t="s">
        <v>122</v>
      </c>
      <c r="G49" s="19" t="s">
        <v>123</v>
      </c>
      <c r="H49" s="13"/>
      <c r="I49" s="13"/>
      <c r="J49" s="13"/>
    </row>
    <row r="50" spans="1:10" ht="12.75" customHeight="1" x14ac:dyDescent="0.25">
      <c r="A50" s="17" t="s">
        <v>193</v>
      </c>
      <c r="B50" s="8">
        <v>7.0919999999999996</v>
      </c>
      <c r="C50" s="18">
        <v>35</v>
      </c>
      <c r="D50" s="26">
        <f t="shared" si="2"/>
        <v>248.22</v>
      </c>
      <c r="E50" s="13"/>
      <c r="F50" s="12" t="s">
        <v>122</v>
      </c>
      <c r="G50" s="19" t="s">
        <v>194</v>
      </c>
      <c r="H50" s="18"/>
      <c r="J50" s="13" t="s">
        <v>195</v>
      </c>
    </row>
    <row r="51" spans="1:10" ht="12.75" customHeight="1" x14ac:dyDescent="0.25">
      <c r="A51" s="17" t="s">
        <v>193</v>
      </c>
      <c r="B51" s="8">
        <v>7.0919999999999996</v>
      </c>
      <c r="C51" s="18"/>
      <c r="D51" s="26">
        <f t="shared" si="2"/>
        <v>0</v>
      </c>
      <c r="E51" s="13"/>
      <c r="F51" s="12" t="s">
        <v>122</v>
      </c>
      <c r="G51" s="19" t="s">
        <v>194</v>
      </c>
      <c r="H51" s="18"/>
      <c r="J51" s="13" t="s">
        <v>195</v>
      </c>
    </row>
    <row r="52" spans="1:10" ht="12.75" customHeight="1" x14ac:dyDescent="0.25">
      <c r="A52" s="17" t="s">
        <v>153</v>
      </c>
      <c r="B52" s="8">
        <v>16.7</v>
      </c>
      <c r="C52" s="18">
        <v>1</v>
      </c>
      <c r="D52" s="10">
        <f>C52*B52</f>
        <v>16.7</v>
      </c>
      <c r="E52" s="13"/>
      <c r="F52" s="18" t="s">
        <v>122</v>
      </c>
      <c r="G52" s="13"/>
      <c r="H52" s="18" t="s">
        <v>154</v>
      </c>
      <c r="I52" s="13" t="s">
        <v>155</v>
      </c>
      <c r="J52" s="13"/>
    </row>
    <row r="53" spans="1:10" ht="12.75" customHeight="1" x14ac:dyDescent="0.25">
      <c r="A53" s="14" t="s">
        <v>131</v>
      </c>
      <c r="B53" s="8">
        <v>2031.5</v>
      </c>
      <c r="C53" s="9">
        <v>1</v>
      </c>
      <c r="D53" s="10">
        <f>C53*B53</f>
        <v>2031.5</v>
      </c>
      <c r="E53" s="11">
        <v>45142</v>
      </c>
      <c r="F53" s="12" t="s">
        <v>132</v>
      </c>
      <c r="G53" s="9" t="s">
        <v>133</v>
      </c>
      <c r="H53" s="9" t="s">
        <v>134</v>
      </c>
      <c r="I53" s="9" t="s">
        <v>133</v>
      </c>
      <c r="J53" s="13" t="s">
        <v>15</v>
      </c>
    </row>
    <row r="54" spans="1:10" ht="12.75" customHeight="1" x14ac:dyDescent="0.25">
      <c r="A54" s="14" t="s">
        <v>17</v>
      </c>
      <c r="B54" s="8">
        <v>586.5</v>
      </c>
      <c r="C54" s="9">
        <v>1</v>
      </c>
      <c r="D54" s="10">
        <f>C54*B54</f>
        <v>586.5</v>
      </c>
      <c r="E54" s="11">
        <v>45142</v>
      </c>
      <c r="F54" s="12" t="s">
        <v>18</v>
      </c>
      <c r="G54" s="9"/>
      <c r="H54" s="9" t="s">
        <v>19</v>
      </c>
      <c r="I54" s="12" t="s">
        <v>20</v>
      </c>
      <c r="J54" s="13" t="s">
        <v>15</v>
      </c>
    </row>
    <row r="55" spans="1:10" ht="12.75" customHeight="1" x14ac:dyDescent="0.2">
      <c r="A55" s="17" t="s">
        <v>100</v>
      </c>
      <c r="B55" s="8">
        <v>11.89</v>
      </c>
      <c r="C55" s="18">
        <v>2</v>
      </c>
      <c r="D55" s="26">
        <f t="shared" ref="D55:D64" si="3">B55*C55</f>
        <v>23.78</v>
      </c>
      <c r="E55" s="25"/>
      <c r="F55" s="18" t="s">
        <v>52</v>
      </c>
      <c r="G55" s="19" t="s">
        <v>101</v>
      </c>
      <c r="H55" s="18"/>
      <c r="I55" s="18"/>
      <c r="J55" s="13"/>
    </row>
    <row r="56" spans="1:10" ht="12.75" customHeight="1" x14ac:dyDescent="0.2">
      <c r="A56" s="17" t="s">
        <v>89</v>
      </c>
      <c r="B56" s="8">
        <v>7.6</v>
      </c>
      <c r="C56" s="18">
        <v>4</v>
      </c>
      <c r="D56" s="26">
        <f t="shared" si="3"/>
        <v>30.4</v>
      </c>
      <c r="E56" s="25"/>
      <c r="F56" s="18" t="s">
        <v>52</v>
      </c>
      <c r="G56" s="19" t="s">
        <v>90</v>
      </c>
      <c r="H56" s="18"/>
      <c r="I56" s="18"/>
      <c r="J56" s="13"/>
    </row>
    <row r="57" spans="1:10" ht="12.75" customHeight="1" x14ac:dyDescent="0.2">
      <c r="A57" s="17" t="s">
        <v>94</v>
      </c>
      <c r="B57" s="8">
        <v>7.79</v>
      </c>
      <c r="C57" s="18">
        <v>4</v>
      </c>
      <c r="D57" s="26">
        <f t="shared" si="3"/>
        <v>31.16</v>
      </c>
      <c r="E57" s="25"/>
      <c r="F57" s="18" t="s">
        <v>52</v>
      </c>
      <c r="G57" s="19" t="s">
        <v>95</v>
      </c>
      <c r="H57" s="18"/>
      <c r="I57" s="18"/>
      <c r="J57" s="13"/>
    </row>
    <row r="58" spans="1:10" ht="12.75" customHeight="1" x14ac:dyDescent="0.2">
      <c r="A58" s="17" t="s">
        <v>188</v>
      </c>
      <c r="B58" s="8">
        <v>41.18</v>
      </c>
      <c r="C58" s="18">
        <v>7</v>
      </c>
      <c r="D58" s="26">
        <f t="shared" si="3"/>
        <v>288.26</v>
      </c>
      <c r="E58" s="13"/>
      <c r="F58" s="19" t="s">
        <v>185</v>
      </c>
      <c r="G58" s="19" t="s">
        <v>189</v>
      </c>
      <c r="H58" s="18"/>
      <c r="J58" s="13"/>
    </row>
    <row r="59" spans="1:10" ht="12.75" customHeight="1" x14ac:dyDescent="0.2">
      <c r="A59" s="17" t="s">
        <v>102</v>
      </c>
      <c r="B59" s="8">
        <v>20.91</v>
      </c>
      <c r="C59" s="18">
        <v>2</v>
      </c>
      <c r="D59" s="26">
        <f t="shared" si="3"/>
        <v>41.82</v>
      </c>
      <c r="E59" s="25"/>
      <c r="F59" s="18" t="s">
        <v>52</v>
      </c>
      <c r="G59" s="19" t="s">
        <v>103</v>
      </c>
      <c r="H59" s="18"/>
      <c r="I59" s="18"/>
      <c r="J59" s="13"/>
    </row>
    <row r="60" spans="1:10" ht="12.75" customHeight="1" x14ac:dyDescent="0.2">
      <c r="A60" s="17" t="s">
        <v>184</v>
      </c>
      <c r="B60" s="8">
        <v>31.12</v>
      </c>
      <c r="C60" s="18">
        <v>3</v>
      </c>
      <c r="D60" s="26">
        <f t="shared" si="3"/>
        <v>93.36</v>
      </c>
      <c r="E60" s="13"/>
      <c r="F60" s="19" t="s">
        <v>185</v>
      </c>
      <c r="G60" s="19" t="s">
        <v>186</v>
      </c>
      <c r="H60" s="18"/>
      <c r="I60" s="19" t="s">
        <v>186</v>
      </c>
      <c r="J60" s="13"/>
    </row>
    <row r="61" spans="1:10" ht="12.75" customHeight="1" x14ac:dyDescent="0.2">
      <c r="A61" s="17" t="s">
        <v>234</v>
      </c>
      <c r="B61" s="23">
        <v>103.48</v>
      </c>
      <c r="C61" s="18">
        <v>2</v>
      </c>
      <c r="D61" s="26">
        <f t="shared" si="3"/>
        <v>206.96</v>
      </c>
      <c r="F61" s="19" t="s">
        <v>185</v>
      </c>
      <c r="G61" s="19" t="s">
        <v>235</v>
      </c>
      <c r="J61" s="27" t="s">
        <v>236</v>
      </c>
    </row>
    <row r="62" spans="1:10" ht="12.75" customHeight="1" x14ac:dyDescent="0.2">
      <c r="A62" s="17" t="s">
        <v>92</v>
      </c>
      <c r="B62" s="8">
        <v>26.63</v>
      </c>
      <c r="C62" s="18">
        <v>4</v>
      </c>
      <c r="D62" s="26">
        <f t="shared" si="3"/>
        <v>106.52</v>
      </c>
      <c r="E62" s="25"/>
      <c r="F62" s="18" t="s">
        <v>52</v>
      </c>
      <c r="G62" s="19" t="s">
        <v>93</v>
      </c>
      <c r="H62" s="18"/>
      <c r="I62" s="18"/>
      <c r="J62" s="13"/>
    </row>
    <row r="63" spans="1:10" ht="12.75" customHeight="1" x14ac:dyDescent="0.2">
      <c r="A63" s="17" t="s">
        <v>98</v>
      </c>
      <c r="B63" s="8">
        <v>33.04</v>
      </c>
      <c r="C63" s="18">
        <v>2</v>
      </c>
      <c r="D63" s="26">
        <f t="shared" si="3"/>
        <v>66.08</v>
      </c>
      <c r="E63" s="25"/>
      <c r="F63" s="18" t="s">
        <v>52</v>
      </c>
      <c r="G63" s="19" t="s">
        <v>99</v>
      </c>
      <c r="H63" s="18"/>
      <c r="I63" s="18"/>
      <c r="J63" s="13"/>
    </row>
    <row r="64" spans="1:10" ht="12.75" customHeight="1" x14ac:dyDescent="0.2">
      <c r="A64" s="17" t="s">
        <v>96</v>
      </c>
      <c r="B64" s="8">
        <v>39.92</v>
      </c>
      <c r="C64" s="18">
        <v>2</v>
      </c>
      <c r="D64" s="26">
        <f t="shared" si="3"/>
        <v>79.84</v>
      </c>
      <c r="E64" s="25"/>
      <c r="F64" s="18" t="s">
        <v>52</v>
      </c>
      <c r="G64" s="19" t="s">
        <v>97</v>
      </c>
      <c r="H64" s="18"/>
      <c r="I64" s="18"/>
      <c r="J64" s="13"/>
    </row>
    <row r="65" spans="1:10" ht="12.75" customHeight="1" x14ac:dyDescent="0.25">
      <c r="A65" s="19" t="s">
        <v>51</v>
      </c>
      <c r="B65" s="23">
        <v>70.59</v>
      </c>
      <c r="C65" s="9">
        <v>1</v>
      </c>
      <c r="D65" s="10">
        <f>C65*B65</f>
        <v>70.59</v>
      </c>
      <c r="E65" s="11"/>
      <c r="F65" s="18" t="s">
        <v>52</v>
      </c>
      <c r="G65" s="19" t="s">
        <v>53</v>
      </c>
      <c r="H65" s="9"/>
      <c r="I65" s="9"/>
      <c r="J65" s="13"/>
    </row>
    <row r="66" spans="1:10" ht="12.75" customHeight="1" x14ac:dyDescent="0.25">
      <c r="A66" s="19" t="s">
        <v>51</v>
      </c>
      <c r="B66" s="23">
        <v>70.59</v>
      </c>
      <c r="C66" s="9">
        <v>0</v>
      </c>
      <c r="D66" s="10">
        <f>C66*B66</f>
        <v>0</v>
      </c>
      <c r="E66" s="11"/>
      <c r="F66" s="18" t="s">
        <v>52</v>
      </c>
      <c r="G66" s="19" t="s">
        <v>53</v>
      </c>
      <c r="H66" s="9"/>
      <c r="I66" s="9"/>
      <c r="J66" s="13"/>
    </row>
    <row r="67" spans="1:10" ht="12.75" customHeight="1" x14ac:dyDescent="0.25">
      <c r="A67" s="19" t="s">
        <v>57</v>
      </c>
      <c r="B67" s="23">
        <v>79.81</v>
      </c>
      <c r="C67" s="9">
        <v>1</v>
      </c>
      <c r="D67" s="10">
        <f>C67*B67</f>
        <v>79.81</v>
      </c>
      <c r="E67" s="11"/>
      <c r="F67" s="18" t="s">
        <v>52</v>
      </c>
      <c r="G67" s="19" t="s">
        <v>58</v>
      </c>
      <c r="H67" s="9"/>
      <c r="I67" s="9"/>
      <c r="J67" s="13"/>
    </row>
    <row r="68" spans="1:10" ht="12.75" customHeight="1" x14ac:dyDescent="0.2">
      <c r="A68" s="17" t="s">
        <v>83</v>
      </c>
      <c r="B68" s="8">
        <v>525</v>
      </c>
      <c r="C68" s="18">
        <v>6</v>
      </c>
      <c r="D68" s="26">
        <f>B68*C68</f>
        <v>3150</v>
      </c>
      <c r="E68" s="25">
        <v>45203</v>
      </c>
      <c r="F68" s="18" t="s">
        <v>84</v>
      </c>
      <c r="G68" s="18" t="s">
        <v>85</v>
      </c>
      <c r="H68" s="18" t="s">
        <v>84</v>
      </c>
      <c r="I68" s="18" t="s">
        <v>85</v>
      </c>
      <c r="J68" s="13"/>
    </row>
    <row r="69" spans="1:10" ht="12.75" customHeight="1" x14ac:dyDescent="0.25">
      <c r="A69" s="14" t="s">
        <v>261</v>
      </c>
      <c r="B69" s="8">
        <v>172.5</v>
      </c>
      <c r="C69" s="9">
        <v>2</v>
      </c>
      <c r="D69" s="10">
        <f>C69*B69</f>
        <v>345</v>
      </c>
      <c r="E69" s="11">
        <v>45142</v>
      </c>
      <c r="F69" s="9" t="s">
        <v>262</v>
      </c>
      <c r="G69" s="9" t="s">
        <v>263</v>
      </c>
      <c r="H69" s="9" t="s">
        <v>262</v>
      </c>
      <c r="I69" s="9" t="s">
        <v>263</v>
      </c>
      <c r="J69" s="13" t="s">
        <v>15</v>
      </c>
    </row>
    <row r="70" spans="1:10" ht="12.75" customHeight="1" x14ac:dyDescent="0.25">
      <c r="A70" s="14" t="s">
        <v>264</v>
      </c>
      <c r="B70" s="8">
        <v>64.5</v>
      </c>
      <c r="C70" s="9">
        <v>7</v>
      </c>
      <c r="D70" s="10">
        <f>C70*B70</f>
        <v>451.5</v>
      </c>
      <c r="E70" s="11">
        <v>45142</v>
      </c>
      <c r="F70" s="12" t="s">
        <v>141</v>
      </c>
      <c r="G70" s="9" t="s">
        <v>265</v>
      </c>
      <c r="H70" s="15"/>
      <c r="I70" s="12"/>
      <c r="J70" s="13" t="s">
        <v>15</v>
      </c>
    </row>
    <row r="71" spans="1:10" ht="12.75" customHeight="1" x14ac:dyDescent="0.25">
      <c r="A71" s="14" t="s">
        <v>21</v>
      </c>
      <c r="B71" s="8">
        <v>319.5</v>
      </c>
      <c r="C71" s="9">
        <v>1</v>
      </c>
      <c r="D71" s="10">
        <f>C71*B71</f>
        <v>319.5</v>
      </c>
      <c r="E71" s="11">
        <v>45142</v>
      </c>
      <c r="F71" s="12" t="s">
        <v>22</v>
      </c>
      <c r="G71" s="9" t="s">
        <v>23</v>
      </c>
      <c r="H71" s="15"/>
      <c r="I71" s="12"/>
      <c r="J71" s="13" t="s">
        <v>15</v>
      </c>
    </row>
    <row r="72" spans="1:10" ht="12.75" customHeight="1" x14ac:dyDescent="0.25">
      <c r="A72" s="14" t="s">
        <v>25</v>
      </c>
      <c r="B72" s="8">
        <v>204.5</v>
      </c>
      <c r="C72" s="9">
        <v>1</v>
      </c>
      <c r="D72" s="10">
        <f>C72*B72</f>
        <v>204.5</v>
      </c>
      <c r="E72" s="11">
        <v>45142</v>
      </c>
      <c r="F72" s="12" t="s">
        <v>22</v>
      </c>
      <c r="G72" s="9" t="s">
        <v>26</v>
      </c>
      <c r="H72" s="15"/>
      <c r="I72" s="12"/>
      <c r="J72" s="13" t="s">
        <v>15</v>
      </c>
    </row>
    <row r="73" spans="1:10" ht="12.75" customHeight="1" x14ac:dyDescent="0.25">
      <c r="A73" s="14" t="s">
        <v>140</v>
      </c>
      <c r="B73" s="8">
        <v>356</v>
      </c>
      <c r="C73" s="9">
        <v>2</v>
      </c>
      <c r="D73" s="10">
        <f>C73*B73</f>
        <v>712</v>
      </c>
      <c r="E73" s="11">
        <v>45142</v>
      </c>
      <c r="F73" s="12" t="s">
        <v>141</v>
      </c>
      <c r="G73" s="9" t="s">
        <v>142</v>
      </c>
      <c r="H73" s="15" t="s">
        <v>143</v>
      </c>
      <c r="I73" s="12" t="s">
        <v>144</v>
      </c>
      <c r="J73" s="13" t="s">
        <v>145</v>
      </c>
    </row>
    <row r="74" spans="1:10" ht="12.75" customHeight="1" x14ac:dyDescent="0.2">
      <c r="A74" s="17" t="s">
        <v>239</v>
      </c>
      <c r="B74" s="19">
        <v>23.07</v>
      </c>
      <c r="C74" s="18">
        <v>1</v>
      </c>
      <c r="D74" s="26">
        <f t="shared" ref="D74:D84" si="4">B74*C74</f>
        <v>23.07</v>
      </c>
      <c r="F74" s="19" t="s">
        <v>141</v>
      </c>
      <c r="G74" s="19" t="s">
        <v>240</v>
      </c>
    </row>
    <row r="75" spans="1:10" ht="12.75" customHeight="1" x14ac:dyDescent="0.2">
      <c r="A75" s="17" t="s">
        <v>124</v>
      </c>
      <c r="B75" s="8">
        <v>3.5</v>
      </c>
      <c r="C75" s="18">
        <v>12</v>
      </c>
      <c r="D75" s="26">
        <f t="shared" si="4"/>
        <v>42</v>
      </c>
      <c r="E75" s="13"/>
      <c r="F75" s="13" t="s">
        <v>125</v>
      </c>
      <c r="G75" s="19" t="s">
        <v>126</v>
      </c>
      <c r="H75" s="13"/>
      <c r="I75" s="13"/>
      <c r="J75" s="13"/>
    </row>
    <row r="76" spans="1:10" ht="12.75" customHeight="1" x14ac:dyDescent="0.2">
      <c r="A76" s="17" t="s">
        <v>210</v>
      </c>
      <c r="B76" s="8">
        <v>22.86</v>
      </c>
      <c r="C76" s="18">
        <v>1</v>
      </c>
      <c r="D76" s="26">
        <f t="shared" si="4"/>
        <v>22.86</v>
      </c>
      <c r="E76" s="13"/>
      <c r="F76" s="19" t="s">
        <v>125</v>
      </c>
      <c r="G76" s="19" t="s">
        <v>211</v>
      </c>
      <c r="H76" s="13"/>
      <c r="I76" s="13"/>
      <c r="J76" s="13"/>
    </row>
    <row r="77" spans="1:10" ht="12.75" customHeight="1" x14ac:dyDescent="0.2">
      <c r="A77" s="17" t="s">
        <v>210</v>
      </c>
      <c r="B77" s="8">
        <v>22.86</v>
      </c>
      <c r="C77" s="18">
        <v>1</v>
      </c>
      <c r="D77" s="26">
        <f t="shared" si="4"/>
        <v>22.86</v>
      </c>
      <c r="E77" s="13"/>
      <c r="F77" s="19" t="s">
        <v>125</v>
      </c>
      <c r="G77" s="19" t="s">
        <v>211</v>
      </c>
      <c r="H77" s="13"/>
      <c r="I77" s="13"/>
      <c r="J77" s="13"/>
    </row>
    <row r="78" spans="1:10" ht="12.75" customHeight="1" x14ac:dyDescent="0.25">
      <c r="A78" s="17" t="s">
        <v>200</v>
      </c>
      <c r="B78" s="8">
        <v>3.35</v>
      </c>
      <c r="C78" s="18">
        <v>5</v>
      </c>
      <c r="D78" s="26">
        <f t="shared" si="4"/>
        <v>16.75</v>
      </c>
      <c r="E78" s="13"/>
      <c r="F78" s="12" t="s">
        <v>125</v>
      </c>
      <c r="G78" s="19" t="s">
        <v>201</v>
      </c>
      <c r="H78" s="13"/>
      <c r="I78" s="13"/>
      <c r="J78" s="13"/>
    </row>
    <row r="79" spans="1:10" ht="12.75" customHeight="1" x14ac:dyDescent="0.25">
      <c r="A79" s="17" t="s">
        <v>200</v>
      </c>
      <c r="B79" s="8">
        <v>3.35</v>
      </c>
      <c r="C79" s="18"/>
      <c r="D79" s="26">
        <f t="shared" si="4"/>
        <v>0</v>
      </c>
      <c r="E79" s="13"/>
      <c r="F79" s="12" t="s">
        <v>125</v>
      </c>
      <c r="G79" s="19" t="s">
        <v>201</v>
      </c>
      <c r="H79" s="13"/>
      <c r="I79" s="13"/>
      <c r="J79" s="13"/>
    </row>
    <row r="80" spans="1:10" ht="12.75" customHeight="1" x14ac:dyDescent="0.25">
      <c r="A80" s="17" t="s">
        <v>198</v>
      </c>
      <c r="B80" s="8">
        <v>5.26</v>
      </c>
      <c r="C80" s="18">
        <v>8</v>
      </c>
      <c r="D80" s="26">
        <f t="shared" si="4"/>
        <v>42.08</v>
      </c>
      <c r="E80" s="13"/>
      <c r="F80" s="12" t="s">
        <v>125</v>
      </c>
      <c r="G80" s="19" t="s">
        <v>199</v>
      </c>
      <c r="H80" s="13"/>
      <c r="I80" s="13"/>
      <c r="J80" s="13"/>
    </row>
    <row r="81" spans="1:14" ht="12.75" customHeight="1" x14ac:dyDescent="0.25">
      <c r="A81" s="17" t="s">
        <v>198</v>
      </c>
      <c r="B81" s="8">
        <v>5.26</v>
      </c>
      <c r="C81" s="18"/>
      <c r="D81" s="26">
        <f t="shared" si="4"/>
        <v>0</v>
      </c>
      <c r="E81" s="13"/>
      <c r="F81" s="12" t="s">
        <v>125</v>
      </c>
      <c r="G81" s="19" t="s">
        <v>199</v>
      </c>
      <c r="H81" s="13"/>
      <c r="I81" s="13"/>
      <c r="J81" s="13"/>
    </row>
    <row r="82" spans="1:14" ht="12.75" customHeight="1" x14ac:dyDescent="0.25">
      <c r="A82" s="17" t="s">
        <v>196</v>
      </c>
      <c r="B82" s="8">
        <v>4.28</v>
      </c>
      <c r="C82" s="18">
        <v>8</v>
      </c>
      <c r="D82" s="26">
        <f t="shared" si="4"/>
        <v>34.24</v>
      </c>
      <c r="E82" s="13"/>
      <c r="F82" s="12" t="s">
        <v>125</v>
      </c>
      <c r="G82" s="19" t="s">
        <v>197</v>
      </c>
      <c r="H82" s="18"/>
      <c r="J82" s="13"/>
    </row>
    <row r="83" spans="1:14" ht="12.75" customHeight="1" x14ac:dyDescent="0.25">
      <c r="A83" s="17" t="s">
        <v>196</v>
      </c>
      <c r="B83" s="8">
        <v>4.28</v>
      </c>
      <c r="C83" s="18"/>
      <c r="D83" s="26">
        <f t="shared" si="4"/>
        <v>0</v>
      </c>
      <c r="E83" s="13"/>
      <c r="F83" s="12" t="s">
        <v>125</v>
      </c>
      <c r="G83" s="19" t="s">
        <v>197</v>
      </c>
      <c r="H83" s="18"/>
      <c r="J83" s="13"/>
    </row>
    <row r="84" spans="1:14" ht="15" customHeight="1" x14ac:dyDescent="0.2">
      <c r="A84" s="17" t="s">
        <v>181</v>
      </c>
      <c r="B84" s="8">
        <v>116.99</v>
      </c>
      <c r="C84" s="18">
        <v>3</v>
      </c>
      <c r="D84" s="26">
        <f t="shared" si="4"/>
        <v>350.96999999999997</v>
      </c>
      <c r="E84" s="13"/>
      <c r="F84" s="19" t="s">
        <v>125</v>
      </c>
      <c r="G84" s="19" t="s">
        <v>182</v>
      </c>
      <c r="H84" s="18"/>
      <c r="I84" s="19" t="s">
        <v>183</v>
      </c>
    </row>
    <row r="85" spans="1:14" ht="12.75" customHeight="1" x14ac:dyDescent="0.25">
      <c r="A85" s="17" t="s">
        <v>280</v>
      </c>
      <c r="B85" s="8"/>
      <c r="C85" s="18"/>
      <c r="D85" s="26"/>
      <c r="E85" s="13"/>
      <c r="F85" s="12" t="s">
        <v>125</v>
      </c>
      <c r="G85" s="19" t="s">
        <v>281</v>
      </c>
      <c r="H85" s="13"/>
      <c r="I85" s="13"/>
      <c r="J85" s="13"/>
    </row>
    <row r="86" spans="1:14" ht="12.75" customHeight="1" x14ac:dyDescent="0.25">
      <c r="A86" s="14" t="s">
        <v>272</v>
      </c>
      <c r="B86" s="8">
        <v>565</v>
      </c>
      <c r="C86" s="9">
        <v>1</v>
      </c>
      <c r="D86" s="10">
        <f>C86*B86</f>
        <v>565</v>
      </c>
      <c r="E86" s="11">
        <v>45142</v>
      </c>
      <c r="F86" s="12" t="s">
        <v>273</v>
      </c>
      <c r="G86" s="9" t="s">
        <v>274</v>
      </c>
      <c r="H86" s="12" t="s">
        <v>273</v>
      </c>
      <c r="I86" s="9" t="s">
        <v>274</v>
      </c>
      <c r="J86" s="13" t="s">
        <v>15</v>
      </c>
    </row>
    <row r="87" spans="1:14" ht="12.75" customHeight="1" x14ac:dyDescent="0.2">
      <c r="A87" s="17" t="s">
        <v>169</v>
      </c>
      <c r="B87" s="8">
        <v>1885</v>
      </c>
      <c r="C87" s="18">
        <v>1</v>
      </c>
      <c r="D87" s="26">
        <f>B87*C87</f>
        <v>1885</v>
      </c>
      <c r="E87" s="25">
        <v>45215</v>
      </c>
      <c r="F87" s="18" t="s">
        <v>167</v>
      </c>
      <c r="G87" s="18" t="s">
        <v>170</v>
      </c>
      <c r="H87" s="18" t="s">
        <v>167</v>
      </c>
      <c r="I87" s="18" t="s">
        <v>170</v>
      </c>
      <c r="J87" s="13"/>
    </row>
    <row r="88" spans="1:14" ht="12.75" customHeight="1" x14ac:dyDescent="0.2">
      <c r="A88" s="17" t="s">
        <v>166</v>
      </c>
      <c r="B88" s="8">
        <v>2385</v>
      </c>
      <c r="C88" s="18">
        <v>2</v>
      </c>
      <c r="D88" s="26">
        <f>B88*C88</f>
        <v>4770</v>
      </c>
      <c r="E88" s="25">
        <v>45215</v>
      </c>
      <c r="F88" s="18" t="s">
        <v>167</v>
      </c>
      <c r="G88" s="18" t="s">
        <v>168</v>
      </c>
      <c r="H88" s="18" t="s">
        <v>167</v>
      </c>
      <c r="I88" s="18" t="s">
        <v>168</v>
      </c>
      <c r="J88" s="13"/>
    </row>
    <row r="89" spans="1:14" ht="12.75" customHeight="1" x14ac:dyDescent="0.2">
      <c r="A89" s="17" t="s">
        <v>171</v>
      </c>
      <c r="B89" s="8">
        <v>78</v>
      </c>
      <c r="C89" s="18">
        <v>3</v>
      </c>
      <c r="D89" s="26">
        <f>B89*C89</f>
        <v>234</v>
      </c>
      <c r="E89" s="25" t="s">
        <v>293</v>
      </c>
      <c r="F89" s="18" t="s">
        <v>167</v>
      </c>
      <c r="G89" s="18" t="s">
        <v>172</v>
      </c>
      <c r="H89" s="18" t="s">
        <v>167</v>
      </c>
      <c r="I89" s="18" t="s">
        <v>172</v>
      </c>
      <c r="J89" s="18" t="s">
        <v>173</v>
      </c>
    </row>
    <row r="90" spans="1:14" ht="12.75" customHeight="1" x14ac:dyDescent="0.2">
      <c r="A90" s="17" t="s">
        <v>174</v>
      </c>
      <c r="B90" s="8">
        <v>50</v>
      </c>
      <c r="C90" s="18">
        <v>7</v>
      </c>
      <c r="D90" s="26">
        <f>B90*C90</f>
        <v>350</v>
      </c>
      <c r="E90" s="25" t="s">
        <v>293</v>
      </c>
      <c r="F90" s="18" t="s">
        <v>167</v>
      </c>
      <c r="G90" s="19" t="s">
        <v>175</v>
      </c>
      <c r="H90" s="18" t="s">
        <v>167</v>
      </c>
      <c r="I90" s="19" t="s">
        <v>175</v>
      </c>
      <c r="J90" s="13"/>
    </row>
    <row r="91" spans="1:14" ht="12.75" customHeight="1" x14ac:dyDescent="0.25">
      <c r="A91" s="7" t="s">
        <v>12</v>
      </c>
      <c r="B91" s="8">
        <v>250</v>
      </c>
      <c r="C91" s="9">
        <v>1</v>
      </c>
      <c r="D91" s="10">
        <f>C91*B91</f>
        <v>250</v>
      </c>
      <c r="E91" s="11">
        <v>45142</v>
      </c>
      <c r="F91" s="12" t="s">
        <v>13</v>
      </c>
      <c r="G91" s="9" t="s">
        <v>14</v>
      </c>
      <c r="H91" s="9" t="s">
        <v>14</v>
      </c>
      <c r="I91" s="13"/>
      <c r="J91" s="13" t="s">
        <v>15</v>
      </c>
    </row>
    <row r="92" spans="1:14" ht="12.75" customHeight="1" x14ac:dyDescent="0.2">
      <c r="A92" s="17" t="s">
        <v>282</v>
      </c>
      <c r="B92" s="8">
        <v>11.52</v>
      </c>
      <c r="C92" s="18">
        <v>1</v>
      </c>
      <c r="D92" s="26"/>
      <c r="E92" s="13"/>
      <c r="F92" s="13"/>
      <c r="G92" s="19" t="s">
        <v>283</v>
      </c>
      <c r="H92" s="13"/>
      <c r="I92" s="13"/>
      <c r="J92" s="13"/>
    </row>
    <row r="93" spans="1:14" ht="12.75" customHeight="1" x14ac:dyDescent="0.2">
      <c r="A93" s="17" t="s">
        <v>114</v>
      </c>
      <c r="B93" s="8">
        <v>17.13</v>
      </c>
      <c r="C93" s="18">
        <v>1</v>
      </c>
      <c r="D93" s="26">
        <f t="shared" ref="D93:D107" si="5">B93*C93</f>
        <v>17.13</v>
      </c>
      <c r="E93" s="13"/>
      <c r="F93" s="13"/>
      <c r="G93" s="17" t="s">
        <v>114</v>
      </c>
      <c r="H93" s="13"/>
      <c r="I93" s="13"/>
      <c r="J93" s="13"/>
    </row>
    <row r="94" spans="1:14" ht="12.75" customHeight="1" x14ac:dyDescent="0.2">
      <c r="A94" s="17" t="s">
        <v>117</v>
      </c>
      <c r="B94" s="8">
        <v>3.35</v>
      </c>
      <c r="C94" s="18">
        <v>2</v>
      </c>
      <c r="D94" s="26">
        <f t="shared" si="5"/>
        <v>6.7</v>
      </c>
      <c r="E94" s="13"/>
      <c r="F94" s="13"/>
      <c r="G94" s="17" t="s">
        <v>117</v>
      </c>
      <c r="H94" s="13"/>
      <c r="I94" s="13"/>
      <c r="J94" s="13"/>
      <c r="N94" s="19" t="s">
        <v>176</v>
      </c>
    </row>
    <row r="95" spans="1:14" ht="12.75" customHeight="1" x14ac:dyDescent="0.2">
      <c r="A95" s="17" t="s">
        <v>120</v>
      </c>
      <c r="B95" s="8">
        <v>1.26</v>
      </c>
      <c r="C95" s="18">
        <v>6</v>
      </c>
      <c r="D95" s="26">
        <f t="shared" si="5"/>
        <v>7.5600000000000005</v>
      </c>
      <c r="E95" s="13"/>
      <c r="F95" s="13"/>
      <c r="G95" s="17" t="s">
        <v>120</v>
      </c>
      <c r="H95" s="13"/>
      <c r="I95" s="13"/>
      <c r="J95" s="13"/>
    </row>
    <row r="96" spans="1:14" ht="12.75" customHeight="1" x14ac:dyDescent="0.2">
      <c r="A96" s="17" t="s">
        <v>118</v>
      </c>
      <c r="B96" s="8">
        <v>0.95</v>
      </c>
      <c r="C96" s="18">
        <v>2</v>
      </c>
      <c r="D96" s="26">
        <f t="shared" si="5"/>
        <v>1.9</v>
      </c>
      <c r="E96" s="13"/>
      <c r="F96" s="13"/>
      <c r="G96" s="17" t="s">
        <v>118</v>
      </c>
      <c r="H96" s="13"/>
      <c r="I96" s="13"/>
      <c r="J96" s="13"/>
    </row>
    <row r="97" spans="1:10" ht="12.75" customHeight="1" x14ac:dyDescent="0.2">
      <c r="A97" s="17" t="s">
        <v>115</v>
      </c>
      <c r="B97" s="8">
        <v>1.26</v>
      </c>
      <c r="C97" s="18">
        <v>4</v>
      </c>
      <c r="D97" s="26">
        <f t="shared" si="5"/>
        <v>5.04</v>
      </c>
      <c r="E97" s="13"/>
      <c r="F97" s="13"/>
      <c r="G97" s="17" t="s">
        <v>115</v>
      </c>
      <c r="H97" s="13"/>
      <c r="I97" s="13"/>
      <c r="J97" s="13"/>
    </row>
    <row r="98" spans="1:10" ht="12.75" customHeight="1" x14ac:dyDescent="0.2">
      <c r="A98" s="17" t="s">
        <v>116</v>
      </c>
      <c r="B98" s="8">
        <v>1.43</v>
      </c>
      <c r="C98" s="18">
        <v>2</v>
      </c>
      <c r="D98" s="26">
        <f t="shared" si="5"/>
        <v>2.86</v>
      </c>
      <c r="E98" s="13"/>
      <c r="F98" s="13"/>
      <c r="G98" s="17" t="s">
        <v>116</v>
      </c>
      <c r="H98" s="13"/>
      <c r="I98" s="13"/>
      <c r="J98" s="13"/>
    </row>
    <row r="99" spans="1:10" ht="12.75" customHeight="1" x14ac:dyDescent="0.2">
      <c r="A99" s="17" t="s">
        <v>112</v>
      </c>
      <c r="B99" s="8">
        <v>2.64</v>
      </c>
      <c r="C99" s="18">
        <v>1</v>
      </c>
      <c r="D99" s="26">
        <f t="shared" si="5"/>
        <v>2.64</v>
      </c>
      <c r="E99" s="13"/>
      <c r="F99" s="13"/>
      <c r="G99" s="17" t="s">
        <v>112</v>
      </c>
      <c r="H99" s="13"/>
      <c r="I99" s="13"/>
      <c r="J99" s="13"/>
    </row>
    <row r="100" spans="1:10" ht="12.75" customHeight="1" x14ac:dyDescent="0.2">
      <c r="A100" s="17" t="s">
        <v>111</v>
      </c>
      <c r="B100" s="8">
        <v>2.66</v>
      </c>
      <c r="C100" s="18">
        <v>2</v>
      </c>
      <c r="D100" s="26">
        <f t="shared" si="5"/>
        <v>5.32</v>
      </c>
      <c r="E100" s="13"/>
      <c r="F100" s="13"/>
      <c r="G100" s="17" t="s">
        <v>111</v>
      </c>
      <c r="H100" s="35">
        <f>SUM(D99:D109,B67:B68,)</f>
        <v>662.53</v>
      </c>
      <c r="I100" s="13"/>
      <c r="J100" s="13"/>
    </row>
    <row r="101" spans="1:10" ht="12.75" customHeight="1" x14ac:dyDescent="0.2">
      <c r="A101" s="17" t="s">
        <v>113</v>
      </c>
      <c r="B101" s="8">
        <v>2.39</v>
      </c>
      <c r="C101" s="18">
        <v>1</v>
      </c>
      <c r="D101" s="26">
        <f t="shared" si="5"/>
        <v>2.39</v>
      </c>
      <c r="E101" s="13"/>
      <c r="F101" s="13"/>
      <c r="G101" s="17" t="s">
        <v>113</v>
      </c>
      <c r="H101" s="13"/>
      <c r="I101" s="13"/>
      <c r="J101" s="13"/>
    </row>
    <row r="102" spans="1:10" ht="12.75" customHeight="1" x14ac:dyDescent="0.2">
      <c r="A102" s="17" t="s">
        <v>119</v>
      </c>
      <c r="B102" s="8">
        <v>2.74</v>
      </c>
      <c r="C102" s="18">
        <v>6</v>
      </c>
      <c r="D102" s="26">
        <f t="shared" si="5"/>
        <v>16.440000000000001</v>
      </c>
      <c r="E102" s="13"/>
      <c r="F102" s="13"/>
      <c r="G102" s="17" t="s">
        <v>119</v>
      </c>
      <c r="H102" s="13"/>
      <c r="I102" s="13"/>
      <c r="J102" s="13"/>
    </row>
    <row r="103" spans="1:10" ht="12.75" customHeight="1" x14ac:dyDescent="0.2">
      <c r="A103" s="17" t="s">
        <v>110</v>
      </c>
      <c r="B103" s="8">
        <v>30.93</v>
      </c>
      <c r="C103" s="18">
        <v>1</v>
      </c>
      <c r="D103" s="26">
        <f t="shared" si="5"/>
        <v>30.93</v>
      </c>
      <c r="E103" s="25"/>
      <c r="F103" s="18"/>
      <c r="G103" s="17" t="s">
        <v>110</v>
      </c>
      <c r="H103" s="18"/>
      <c r="I103" s="18"/>
      <c r="J103" s="13"/>
    </row>
    <row r="104" spans="1:10" ht="12.75" customHeight="1" x14ac:dyDescent="0.25">
      <c r="A104" s="17" t="s">
        <v>177</v>
      </c>
      <c r="B104" s="8">
        <v>0</v>
      </c>
      <c r="C104" s="18">
        <v>2</v>
      </c>
      <c r="D104" s="26">
        <f t="shared" si="5"/>
        <v>0</v>
      </c>
      <c r="E104" s="11">
        <v>45142</v>
      </c>
      <c r="F104" s="12"/>
      <c r="G104" s="18" t="s">
        <v>178</v>
      </c>
      <c r="H104" s="18" t="s">
        <v>167</v>
      </c>
      <c r="I104" s="18" t="s">
        <v>178</v>
      </c>
      <c r="J104" s="13" t="s">
        <v>15</v>
      </c>
    </row>
    <row r="105" spans="1:10" ht="12.75" customHeight="1" x14ac:dyDescent="0.25">
      <c r="A105" s="17" t="s">
        <v>171</v>
      </c>
      <c r="B105" s="8">
        <v>0</v>
      </c>
      <c r="C105" s="18">
        <v>2</v>
      </c>
      <c r="D105" s="26">
        <f t="shared" si="5"/>
        <v>0</v>
      </c>
      <c r="E105" s="11">
        <v>45142</v>
      </c>
      <c r="F105" s="12"/>
      <c r="G105" s="18" t="s">
        <v>172</v>
      </c>
      <c r="H105" s="18" t="s">
        <v>167</v>
      </c>
      <c r="I105" s="18" t="s">
        <v>172</v>
      </c>
      <c r="J105" s="13" t="s">
        <v>15</v>
      </c>
    </row>
    <row r="106" spans="1:10" ht="12.75" customHeight="1" x14ac:dyDescent="0.25">
      <c r="A106" s="17" t="s">
        <v>174</v>
      </c>
      <c r="B106" s="8">
        <v>0</v>
      </c>
      <c r="C106" s="18">
        <v>2</v>
      </c>
      <c r="D106" s="26">
        <f t="shared" si="5"/>
        <v>0</v>
      </c>
      <c r="E106" s="11">
        <v>45142</v>
      </c>
      <c r="F106" s="12"/>
      <c r="G106" s="19" t="s">
        <v>175</v>
      </c>
      <c r="H106" s="18" t="s">
        <v>167</v>
      </c>
      <c r="I106" s="19" t="s">
        <v>175</v>
      </c>
      <c r="J106" s="13" t="s">
        <v>15</v>
      </c>
    </row>
    <row r="107" spans="1:10" ht="12.75" customHeight="1" x14ac:dyDescent="0.25">
      <c r="A107" s="17" t="s">
        <v>179</v>
      </c>
      <c r="B107" s="8">
        <v>0</v>
      </c>
      <c r="C107" s="18">
        <v>2</v>
      </c>
      <c r="D107" s="26">
        <f t="shared" si="5"/>
        <v>0</v>
      </c>
      <c r="E107" s="11">
        <v>45142</v>
      </c>
      <c r="F107" s="12"/>
      <c r="G107" s="19" t="s">
        <v>180</v>
      </c>
      <c r="H107" s="18" t="s">
        <v>167</v>
      </c>
      <c r="I107" s="19" t="s">
        <v>180</v>
      </c>
      <c r="J107" s="13" t="s">
        <v>15</v>
      </c>
    </row>
    <row r="108" spans="1:10" ht="12.75" customHeight="1" x14ac:dyDescent="0.25">
      <c r="A108" s="19" t="s">
        <v>74</v>
      </c>
      <c r="B108" s="23">
        <v>66.260000000000005</v>
      </c>
      <c r="C108" s="9">
        <v>0</v>
      </c>
      <c r="D108" s="10">
        <f>C108*B108</f>
        <v>0</v>
      </c>
      <c r="E108" s="11"/>
      <c r="F108" s="18"/>
      <c r="G108" s="19" t="s">
        <v>75</v>
      </c>
      <c r="H108" s="9"/>
      <c r="I108" s="9"/>
      <c r="J108" s="13"/>
    </row>
    <row r="109" spans="1:10" ht="12.75" customHeight="1" x14ac:dyDescent="0.25">
      <c r="A109" s="19" t="s">
        <v>72</v>
      </c>
      <c r="B109" s="23">
        <v>66.62</v>
      </c>
      <c r="C109" s="9">
        <v>0</v>
      </c>
      <c r="D109" s="10">
        <f>C109*B109</f>
        <v>0</v>
      </c>
      <c r="E109" s="11"/>
      <c r="F109" s="18"/>
      <c r="G109" s="19" t="s">
        <v>73</v>
      </c>
      <c r="H109" s="9"/>
      <c r="I109" s="9"/>
      <c r="J109" s="13"/>
    </row>
    <row r="110" spans="1:10" ht="12.75" customHeight="1" x14ac:dyDescent="0.25">
      <c r="A110" s="19" t="s">
        <v>76</v>
      </c>
      <c r="B110" s="23">
        <v>172.71</v>
      </c>
      <c r="C110" s="9">
        <v>2</v>
      </c>
      <c r="D110" s="10">
        <f>C110*B110</f>
        <v>345.42</v>
      </c>
      <c r="E110" s="11"/>
      <c r="F110" s="18"/>
      <c r="G110" s="19" t="s">
        <v>77</v>
      </c>
      <c r="I110" s="9"/>
      <c r="J110" s="13"/>
    </row>
    <row r="111" spans="1:10" ht="12.75" customHeight="1" x14ac:dyDescent="0.2">
      <c r="A111" s="17" t="s">
        <v>221</v>
      </c>
      <c r="B111" s="8">
        <v>371.12</v>
      </c>
      <c r="C111" s="18">
        <v>1</v>
      </c>
      <c r="D111" s="26">
        <f t="shared" ref="D111:D116" si="6">B111*C111</f>
        <v>371.12</v>
      </c>
      <c r="E111" s="13"/>
      <c r="F111" s="13"/>
      <c r="G111" s="13"/>
      <c r="H111" s="13"/>
      <c r="I111" s="13"/>
      <c r="J111" s="13" t="s">
        <v>222</v>
      </c>
    </row>
    <row r="112" spans="1:10" ht="12.75" customHeight="1" x14ac:dyDescent="0.2">
      <c r="A112" s="17" t="s">
        <v>241</v>
      </c>
      <c r="B112" s="19">
        <v>0</v>
      </c>
      <c r="C112" s="18">
        <v>1</v>
      </c>
      <c r="D112" s="26">
        <f t="shared" si="6"/>
        <v>0</v>
      </c>
      <c r="J112" s="19" t="s">
        <v>242</v>
      </c>
    </row>
    <row r="113" spans="1:10" ht="12.75" customHeight="1" x14ac:dyDescent="0.2">
      <c r="A113" s="17" t="s">
        <v>286</v>
      </c>
      <c r="B113" s="8">
        <v>35.200000000000003</v>
      </c>
      <c r="C113" s="18">
        <v>2</v>
      </c>
      <c r="D113" s="26">
        <f t="shared" si="6"/>
        <v>70.400000000000006</v>
      </c>
      <c r="J113" s="13"/>
    </row>
    <row r="114" spans="1:10" ht="12.75" customHeight="1" x14ac:dyDescent="0.2">
      <c r="A114" s="17" t="s">
        <v>91</v>
      </c>
      <c r="B114" s="8">
        <v>26.9</v>
      </c>
      <c r="C114" s="18">
        <v>4</v>
      </c>
      <c r="D114" s="26">
        <f t="shared" si="6"/>
        <v>107.6</v>
      </c>
      <c r="E114" s="25"/>
      <c r="F114" s="18"/>
      <c r="H114" s="18"/>
      <c r="I114" s="18"/>
      <c r="J114" s="13"/>
    </row>
    <row r="115" spans="1:10" ht="12.75" customHeight="1" x14ac:dyDescent="0.25">
      <c r="A115" s="17" t="s">
        <v>187</v>
      </c>
      <c r="B115" s="8">
        <v>0</v>
      </c>
      <c r="C115" s="18">
        <v>4</v>
      </c>
      <c r="D115" s="26">
        <f t="shared" si="6"/>
        <v>0</v>
      </c>
      <c r="E115" s="11">
        <v>45142</v>
      </c>
      <c r="F115" s="12"/>
      <c r="H115" s="18"/>
      <c r="J115" s="13" t="s">
        <v>15</v>
      </c>
    </row>
    <row r="116" spans="1:10" ht="12.75" customHeight="1" x14ac:dyDescent="0.2">
      <c r="A116" s="17" t="s">
        <v>254</v>
      </c>
      <c r="B116" s="8">
        <v>31.56</v>
      </c>
      <c r="C116" s="18">
        <v>1</v>
      </c>
      <c r="D116" s="26">
        <f t="shared" si="6"/>
        <v>31.56</v>
      </c>
      <c r="E116" s="13"/>
      <c r="F116" s="13"/>
      <c r="G116" s="13"/>
      <c r="H116" s="13"/>
      <c r="I116" s="13"/>
      <c r="J116" s="13" t="s">
        <v>255</v>
      </c>
    </row>
    <row r="117" spans="1:10" ht="12.75" customHeight="1" x14ac:dyDescent="0.2">
      <c r="A117" s="17" t="s">
        <v>288</v>
      </c>
      <c r="B117" s="8"/>
      <c r="C117" s="18"/>
      <c r="D117" s="26"/>
      <c r="J117" s="13"/>
    </row>
    <row r="118" spans="1:10" ht="12.75" customHeight="1" x14ac:dyDescent="0.2">
      <c r="A118" s="17" t="s">
        <v>258</v>
      </c>
      <c r="B118" s="23"/>
      <c r="C118" s="19">
        <v>4</v>
      </c>
      <c r="D118" s="26"/>
      <c r="J118" s="13"/>
    </row>
    <row r="119" spans="1:10" ht="12.75" customHeight="1" x14ac:dyDescent="0.2">
      <c r="A119" s="20" t="s">
        <v>156</v>
      </c>
      <c r="B119" s="4">
        <f>SUM(D120:D137)</f>
        <v>1107.42</v>
      </c>
    </row>
    <row r="120" spans="1:10" ht="12.75" customHeight="1" x14ac:dyDescent="0.25">
      <c r="A120" s="19" t="s">
        <v>59</v>
      </c>
      <c r="B120" s="23">
        <v>3.02</v>
      </c>
      <c r="C120" s="9">
        <v>1</v>
      </c>
      <c r="D120" s="10"/>
      <c r="E120" s="11"/>
      <c r="F120" s="18"/>
      <c r="H120" s="9"/>
      <c r="I120" s="9"/>
      <c r="J120" s="13"/>
    </row>
    <row r="121" spans="1:10" ht="12.75" customHeight="1" x14ac:dyDescent="0.25">
      <c r="A121" s="19" t="s">
        <v>60</v>
      </c>
      <c r="B121" s="23">
        <v>1.54</v>
      </c>
      <c r="C121" s="9">
        <v>1</v>
      </c>
      <c r="D121" s="10">
        <f>C121*B121</f>
        <v>1.54</v>
      </c>
      <c r="E121" s="11"/>
      <c r="F121" s="18"/>
      <c r="H121" s="9"/>
      <c r="I121" s="9"/>
      <c r="J121" s="13"/>
    </row>
    <row r="122" spans="1:10" ht="12.75" customHeight="1" x14ac:dyDescent="0.2">
      <c r="A122" s="20" t="s">
        <v>127</v>
      </c>
      <c r="B122" s="4">
        <f>SUM(D123:D126)</f>
        <v>400</v>
      </c>
      <c r="C122" s="18"/>
      <c r="E122" s="13"/>
      <c r="F122" s="13"/>
      <c r="G122" s="13"/>
      <c r="H122" s="13"/>
      <c r="I122" s="13"/>
      <c r="J122" s="13"/>
    </row>
    <row r="123" spans="1:10" ht="12.75" customHeight="1" x14ac:dyDescent="0.2">
      <c r="A123" s="17" t="s">
        <v>292</v>
      </c>
      <c r="B123" s="8">
        <v>400</v>
      </c>
      <c r="C123" s="18">
        <v>1</v>
      </c>
      <c r="D123" s="26">
        <f>B123*C123</f>
        <v>400</v>
      </c>
      <c r="E123" s="25">
        <v>45302</v>
      </c>
      <c r="F123" s="13"/>
      <c r="G123" s="13"/>
      <c r="H123" s="13"/>
      <c r="I123" s="13"/>
      <c r="J123" s="13"/>
    </row>
    <row r="124" spans="1:10" ht="12.75" customHeight="1" x14ac:dyDescent="0.2">
      <c r="A124" s="20" t="s">
        <v>243</v>
      </c>
      <c r="B124" s="4">
        <f>SUM(D125:D127)</f>
        <v>0</v>
      </c>
    </row>
    <row r="125" spans="1:10" ht="12.75" customHeight="1" x14ac:dyDescent="0.25">
      <c r="A125" s="6" t="s">
        <v>16</v>
      </c>
      <c r="B125" s="4"/>
      <c r="C125" s="3"/>
      <c r="E125" s="5"/>
      <c r="F125" s="5"/>
      <c r="G125" s="5"/>
      <c r="H125" s="5"/>
      <c r="I125" s="5"/>
      <c r="J125" s="5"/>
    </row>
    <row r="126" spans="1:10" ht="12.75" customHeight="1" x14ac:dyDescent="0.2">
      <c r="A126" s="20" t="s">
        <v>35</v>
      </c>
      <c r="B126" s="4">
        <f>SUM(D127:D139)</f>
        <v>705.88</v>
      </c>
      <c r="C126" s="18"/>
      <c r="E126" s="13"/>
      <c r="F126" s="18"/>
      <c r="G126" s="18"/>
      <c r="H126" s="18"/>
      <c r="I126" s="18"/>
      <c r="J126" s="18"/>
    </row>
    <row r="127" spans="1:10" ht="12.75" customHeight="1" x14ac:dyDescent="0.25">
      <c r="A127" s="16" t="s">
        <v>24</v>
      </c>
      <c r="B127" s="8"/>
      <c r="C127" s="9"/>
      <c r="D127" s="10"/>
      <c r="E127" s="11"/>
      <c r="F127" s="12"/>
      <c r="G127" s="9"/>
      <c r="H127" s="15"/>
      <c r="I127" s="12"/>
      <c r="J127" s="13"/>
    </row>
    <row r="128" spans="1:10" ht="12.75" customHeight="1" x14ac:dyDescent="0.25">
      <c r="A128" s="17" t="s">
        <v>290</v>
      </c>
      <c r="B128" s="8"/>
      <c r="C128" s="18"/>
      <c r="D128" s="10"/>
      <c r="J128" s="13"/>
    </row>
    <row r="129" spans="1:10" ht="12.75" customHeight="1" x14ac:dyDescent="0.25">
      <c r="A129" s="16" t="s">
        <v>278</v>
      </c>
      <c r="B129" s="8"/>
      <c r="C129" s="9"/>
      <c r="D129" s="10"/>
      <c r="E129" s="11"/>
      <c r="F129" s="12"/>
      <c r="G129" s="9"/>
      <c r="H129" s="12"/>
      <c r="I129" s="9"/>
      <c r="J129" s="13"/>
    </row>
    <row r="130" spans="1:10" ht="12.75" customHeight="1" x14ac:dyDescent="0.2">
      <c r="A130" s="1" t="s">
        <v>10</v>
      </c>
      <c r="B130" s="4">
        <f>SUM(D135:D144)</f>
        <v>469.9</v>
      </c>
      <c r="C130" s="3"/>
      <c r="E130" s="5"/>
      <c r="F130" s="5"/>
      <c r="G130" s="5"/>
      <c r="H130" s="5"/>
      <c r="I130" s="5"/>
      <c r="J130" s="5"/>
    </row>
    <row r="131" spans="1:10" ht="12.75" customHeight="1" x14ac:dyDescent="0.25">
      <c r="A131" s="14" t="s">
        <v>70</v>
      </c>
      <c r="B131" s="23">
        <v>0</v>
      </c>
      <c r="C131" s="9">
        <v>1</v>
      </c>
      <c r="D131" s="10">
        <f>C131*B131</f>
        <v>0</v>
      </c>
      <c r="E131" s="11"/>
      <c r="F131" s="12"/>
      <c r="G131" s="9"/>
      <c r="H131" s="9"/>
      <c r="I131" s="9"/>
      <c r="J131" s="13" t="s">
        <v>71</v>
      </c>
    </row>
    <row r="132" spans="1:10" ht="12.75" customHeight="1" x14ac:dyDescent="0.25">
      <c r="A132" s="20" t="s">
        <v>192</v>
      </c>
      <c r="B132" s="4">
        <f>SUM(D133:D145)</f>
        <v>1175.78</v>
      </c>
      <c r="C132" s="18"/>
      <c r="E132" s="13"/>
      <c r="F132" s="12"/>
      <c r="H132" s="18"/>
      <c r="J132" s="13"/>
    </row>
    <row r="133" spans="1:10" ht="12.75" customHeight="1" x14ac:dyDescent="0.25">
      <c r="A133" s="17" t="s">
        <v>190</v>
      </c>
      <c r="B133" s="8">
        <v>100.84</v>
      </c>
      <c r="C133" s="18">
        <v>7</v>
      </c>
      <c r="D133" s="26">
        <f>B133*C133</f>
        <v>705.88</v>
      </c>
      <c r="E133" s="13"/>
      <c r="F133" s="12"/>
      <c r="H133" s="18"/>
      <c r="J133" s="19" t="s">
        <v>191</v>
      </c>
    </row>
    <row r="134" spans="1:10" ht="12.75" customHeight="1" x14ac:dyDescent="0.25">
      <c r="A134" s="17" t="s">
        <v>279</v>
      </c>
      <c r="B134" s="8">
        <v>0</v>
      </c>
      <c r="C134" s="18">
        <v>2</v>
      </c>
      <c r="D134" s="26"/>
      <c r="E134" s="11">
        <v>45142</v>
      </c>
      <c r="F134" s="13"/>
      <c r="G134" s="13"/>
      <c r="H134" s="13"/>
      <c r="I134" s="13"/>
      <c r="J134" s="13" t="s">
        <v>15</v>
      </c>
    </row>
    <row r="135" spans="1:10" ht="12.75" customHeight="1" x14ac:dyDescent="0.25">
      <c r="A135" s="16" t="s">
        <v>50</v>
      </c>
      <c r="B135" s="8"/>
      <c r="C135" s="9"/>
      <c r="D135" s="10"/>
      <c r="E135" s="11"/>
      <c r="F135" s="12"/>
      <c r="G135" s="9"/>
      <c r="H135" s="9"/>
      <c r="I135" s="9"/>
      <c r="J135" s="13"/>
    </row>
    <row r="136" spans="1:10" ht="12.75" customHeight="1" x14ac:dyDescent="0.25">
      <c r="A136" s="20" t="s">
        <v>215</v>
      </c>
      <c r="B136" s="4">
        <f>SUM(D137:D149)</f>
        <v>1321.9</v>
      </c>
      <c r="C136" s="18"/>
      <c r="E136" s="13"/>
      <c r="F136" s="12"/>
      <c r="H136" s="18"/>
      <c r="J136" s="13"/>
    </row>
    <row r="137" spans="1:10" ht="12.75" customHeight="1" x14ac:dyDescent="0.25">
      <c r="A137" s="16" t="s">
        <v>27</v>
      </c>
      <c r="B137" s="8"/>
      <c r="C137" s="9"/>
      <c r="D137" s="10"/>
      <c r="E137" s="11"/>
      <c r="F137" s="12"/>
      <c r="G137" s="9"/>
      <c r="H137" s="15"/>
      <c r="I137" s="12"/>
      <c r="J137" s="13"/>
    </row>
    <row r="138" spans="1:10" ht="12.75" customHeight="1" x14ac:dyDescent="0.2">
      <c r="A138" s="20" t="s">
        <v>61</v>
      </c>
      <c r="B138" s="4">
        <f>SUM(D139:D148)</f>
        <v>1255.9000000000001</v>
      </c>
      <c r="C138" s="18"/>
      <c r="E138" s="13"/>
      <c r="F138" s="18"/>
      <c r="G138" s="18"/>
      <c r="H138" s="18"/>
      <c r="I138" s="18"/>
      <c r="J138" s="18"/>
    </row>
    <row r="139" spans="1:10" ht="12.75" customHeight="1" x14ac:dyDescent="0.2">
      <c r="A139" s="20" t="s">
        <v>253</v>
      </c>
      <c r="B139" s="4">
        <f>SUM(D141:D144)</f>
        <v>469.9</v>
      </c>
      <c r="C139" s="13"/>
      <c r="J139" s="13"/>
    </row>
    <row r="140" spans="1:10" ht="12.75" customHeight="1" x14ac:dyDescent="0.25">
      <c r="A140" s="24" t="s">
        <v>56</v>
      </c>
      <c r="B140" s="23"/>
      <c r="C140" s="9"/>
      <c r="D140" s="10"/>
      <c r="E140" s="11"/>
      <c r="F140" s="18"/>
      <c r="I140" s="9"/>
      <c r="J140" s="13"/>
    </row>
    <row r="141" spans="1:10" ht="15" customHeight="1" x14ac:dyDescent="0.2">
      <c r="A141" s="17" t="s">
        <v>256</v>
      </c>
      <c r="B141" s="23">
        <v>42.45</v>
      </c>
      <c r="C141" s="13">
        <v>2</v>
      </c>
      <c r="D141" s="26">
        <f>B141*C141</f>
        <v>84.9</v>
      </c>
      <c r="H141" s="19" t="s">
        <v>257</v>
      </c>
      <c r="J141" s="13"/>
    </row>
    <row r="142" spans="1:10" ht="12.75" customHeight="1" x14ac:dyDescent="0.2">
      <c r="A142" s="20" t="s">
        <v>78</v>
      </c>
      <c r="B142" s="4">
        <f>SUM(D143:D144)</f>
        <v>385</v>
      </c>
      <c r="C142" s="18"/>
      <c r="E142" s="13"/>
      <c r="F142" s="18"/>
      <c r="G142" s="18"/>
      <c r="H142" s="18"/>
      <c r="I142" s="18"/>
      <c r="J142" s="18"/>
    </row>
    <row r="143" spans="1:10" ht="12.75" customHeight="1" x14ac:dyDescent="0.2">
      <c r="A143" s="17" t="s">
        <v>285</v>
      </c>
      <c r="B143" s="8">
        <v>385</v>
      </c>
      <c r="C143" s="18">
        <v>1</v>
      </c>
      <c r="D143" s="26">
        <f>B143*C143</f>
        <v>385</v>
      </c>
      <c r="E143" s="25">
        <v>45215</v>
      </c>
      <c r="F143" s="13"/>
      <c r="G143" s="13"/>
      <c r="H143" s="13"/>
      <c r="I143" s="13"/>
      <c r="J143" s="13"/>
    </row>
    <row r="144" spans="1:10" ht="12.75" customHeight="1" x14ac:dyDescent="0.2">
      <c r="A144" s="20" t="s">
        <v>82</v>
      </c>
      <c r="B144" s="4">
        <f>SUM(D145:D171)</f>
        <v>1205</v>
      </c>
      <c r="C144" s="18"/>
      <c r="E144" s="25"/>
      <c r="F144" s="18"/>
      <c r="G144" s="18"/>
      <c r="H144" s="18"/>
      <c r="I144" s="18"/>
      <c r="J144" s="13"/>
    </row>
    <row r="145" spans="1:10" ht="12.75" customHeight="1" x14ac:dyDescent="0.2">
      <c r="A145" s="20" t="s">
        <v>139</v>
      </c>
      <c r="B145" s="4">
        <f>SUM(D146:D150)</f>
        <v>865</v>
      </c>
      <c r="C145" s="18"/>
      <c r="E145" s="13"/>
      <c r="F145" s="13"/>
      <c r="G145" s="13"/>
      <c r="H145" s="13"/>
      <c r="I145" s="13"/>
      <c r="J145" s="13"/>
    </row>
    <row r="146" spans="1:10" ht="12.75" customHeight="1" x14ac:dyDescent="0.2">
      <c r="A146" s="20" t="s">
        <v>260</v>
      </c>
      <c r="B146" s="4">
        <f>SUM(D147:D156)</f>
        <v>1005</v>
      </c>
      <c r="C146" s="18"/>
      <c r="E146" s="13"/>
      <c r="F146" s="13"/>
      <c r="G146" s="13"/>
      <c r="H146" s="13"/>
      <c r="I146" s="13"/>
      <c r="J146" s="13"/>
    </row>
    <row r="147" spans="1:10" ht="12.75" customHeight="1" x14ac:dyDescent="0.25">
      <c r="A147" s="17" t="s">
        <v>79</v>
      </c>
      <c r="B147" s="8">
        <v>786</v>
      </c>
      <c r="C147" s="18">
        <v>1</v>
      </c>
      <c r="D147" s="10">
        <f>C147*B147</f>
        <v>786</v>
      </c>
      <c r="E147" s="25">
        <v>45174</v>
      </c>
      <c r="F147" s="13"/>
      <c r="G147" s="13"/>
      <c r="H147" s="18" t="s">
        <v>80</v>
      </c>
      <c r="I147" s="18">
        <v>68514437937</v>
      </c>
      <c r="J147" s="18" t="s">
        <v>81</v>
      </c>
    </row>
    <row r="148" spans="1:10" ht="12.75" customHeight="1" x14ac:dyDescent="0.2">
      <c r="A148" s="20" t="s">
        <v>284</v>
      </c>
      <c r="B148" s="4">
        <f>SUM(D149:D151)</f>
        <v>79</v>
      </c>
      <c r="C148" s="18"/>
      <c r="E148" s="13"/>
      <c r="F148" s="13"/>
      <c r="G148" s="13"/>
      <c r="H148" s="13"/>
      <c r="I148" s="13"/>
      <c r="J148" s="13"/>
    </row>
    <row r="149" spans="1:10" ht="12.75" customHeight="1" x14ac:dyDescent="0.25">
      <c r="A149" s="17" t="s">
        <v>203</v>
      </c>
      <c r="B149" s="8">
        <v>22</v>
      </c>
      <c r="C149" s="18">
        <v>3</v>
      </c>
      <c r="D149" s="26">
        <f t="shared" ref="D149:D154" si="7">B149*C149</f>
        <v>66</v>
      </c>
      <c r="E149" s="13"/>
      <c r="F149" s="12"/>
      <c r="H149" s="13"/>
      <c r="I149" s="13"/>
      <c r="J149" s="13"/>
    </row>
    <row r="150" spans="1:10" x14ac:dyDescent="0.25">
      <c r="A150" s="17" t="s">
        <v>203</v>
      </c>
      <c r="B150" s="8">
        <v>13</v>
      </c>
      <c r="C150" s="18">
        <v>1</v>
      </c>
      <c r="D150" s="26">
        <f t="shared" si="7"/>
        <v>13</v>
      </c>
      <c r="E150" s="13"/>
      <c r="F150" s="12"/>
      <c r="H150" s="13"/>
      <c r="I150" s="13"/>
      <c r="J150" s="13"/>
    </row>
    <row r="151" spans="1:10" ht="12.75" customHeight="1" x14ac:dyDescent="0.25">
      <c r="A151" s="17" t="s">
        <v>203</v>
      </c>
      <c r="B151" s="8">
        <v>22</v>
      </c>
      <c r="C151" s="18"/>
      <c r="D151" s="26">
        <f t="shared" si="7"/>
        <v>0</v>
      </c>
      <c r="E151" s="13"/>
      <c r="F151" s="12"/>
      <c r="H151" s="13"/>
      <c r="I151" s="13"/>
      <c r="J151" s="13"/>
    </row>
    <row r="152" spans="1:10" ht="12.75" customHeight="1" x14ac:dyDescent="0.25">
      <c r="A152" s="17" t="s">
        <v>203</v>
      </c>
      <c r="B152" s="8">
        <v>13</v>
      </c>
      <c r="C152" s="18"/>
      <c r="D152" s="26">
        <f t="shared" si="7"/>
        <v>0</v>
      </c>
      <c r="E152" s="13"/>
      <c r="F152" s="12"/>
      <c r="H152" s="13"/>
      <c r="I152" s="13"/>
      <c r="J152" s="13"/>
    </row>
    <row r="153" spans="1:10" ht="12.75" customHeight="1" x14ac:dyDescent="0.25">
      <c r="A153" s="17" t="s">
        <v>202</v>
      </c>
      <c r="B153" s="8">
        <v>140</v>
      </c>
      <c r="C153" s="18">
        <v>1</v>
      </c>
      <c r="D153" s="26">
        <f t="shared" si="7"/>
        <v>140</v>
      </c>
      <c r="E153" s="13"/>
      <c r="F153" s="12"/>
      <c r="H153" s="13"/>
      <c r="I153" s="13"/>
      <c r="J153" s="13"/>
    </row>
    <row r="154" spans="1:10" ht="12.75" customHeight="1" x14ac:dyDescent="0.25">
      <c r="A154" s="17" t="s">
        <v>202</v>
      </c>
      <c r="B154" s="8">
        <v>140</v>
      </c>
      <c r="C154" s="18"/>
      <c r="D154" s="26">
        <f t="shared" si="7"/>
        <v>0</v>
      </c>
      <c r="E154" s="13"/>
      <c r="F154" s="12"/>
      <c r="H154" s="13"/>
      <c r="I154" s="13"/>
      <c r="J154" s="13"/>
    </row>
    <row r="155" spans="1:10" ht="12.75" customHeight="1" x14ac:dyDescent="0.25">
      <c r="A155" s="6" t="s">
        <v>11</v>
      </c>
      <c r="B155" s="4"/>
      <c r="C155" s="3"/>
      <c r="E155" s="5"/>
      <c r="F155" s="5"/>
      <c r="G155" s="5"/>
      <c r="H155" s="5"/>
      <c r="I155" s="5"/>
      <c r="J155" s="5"/>
    </row>
    <row r="156" spans="1:10" ht="12.75" customHeight="1" x14ac:dyDescent="0.2">
      <c r="A156" s="20" t="s">
        <v>246</v>
      </c>
      <c r="B156" s="4">
        <f>SUM(D157:D159)</f>
        <v>200</v>
      </c>
      <c r="C156" s="18"/>
      <c r="J156" s="13"/>
    </row>
    <row r="157" spans="1:10" ht="12.75" customHeight="1" x14ac:dyDescent="0.2">
      <c r="A157" s="17" t="s">
        <v>230</v>
      </c>
      <c r="B157" s="8">
        <v>200</v>
      </c>
      <c r="C157" s="18">
        <v>1</v>
      </c>
      <c r="D157" s="26">
        <f>B157*C157</f>
        <v>200</v>
      </c>
      <c r="J157" s="13"/>
    </row>
    <row r="158" spans="1:10" ht="12.75" customHeight="1" x14ac:dyDescent="0.25">
      <c r="A158" s="20" t="s">
        <v>216</v>
      </c>
      <c r="B158" s="4">
        <f>SUM(D159:D167)</f>
        <v>0</v>
      </c>
      <c r="C158" s="18"/>
      <c r="E158" s="13"/>
      <c r="F158" s="12"/>
      <c r="G158" s="13"/>
      <c r="H158" s="13"/>
      <c r="I158" s="13"/>
      <c r="J158" s="13" t="s">
        <v>217</v>
      </c>
    </row>
    <row r="159" spans="1:10" ht="12.75" customHeight="1" x14ac:dyDescent="0.2">
      <c r="A159" s="20" t="s">
        <v>231</v>
      </c>
      <c r="B159" s="4">
        <f>SUM(D160:D167)</f>
        <v>0</v>
      </c>
    </row>
    <row r="160" spans="1:10" ht="12.75" customHeight="1" x14ac:dyDescent="0.25">
      <c r="A160" s="7"/>
      <c r="B160" s="8"/>
      <c r="C160" s="9"/>
      <c r="D160" s="10"/>
      <c r="E160" s="11"/>
      <c r="F160" s="12"/>
      <c r="G160" s="9"/>
      <c r="H160" s="9"/>
      <c r="I160" s="13"/>
      <c r="J160" s="13"/>
    </row>
    <row r="161" spans="1:10" ht="12.75" customHeight="1" x14ac:dyDescent="0.25">
      <c r="A161" s="14"/>
      <c r="B161" s="8"/>
      <c r="C161" s="9"/>
      <c r="D161" s="10"/>
      <c r="E161" s="11"/>
      <c r="F161" s="12"/>
      <c r="G161" s="9"/>
      <c r="H161" s="15"/>
      <c r="I161" s="12"/>
      <c r="J161" s="13"/>
    </row>
    <row r="162" spans="1:10" ht="12.75" customHeight="1" x14ac:dyDescent="0.25">
      <c r="A162" s="14"/>
      <c r="B162" s="8"/>
      <c r="C162" s="9"/>
      <c r="D162" s="10"/>
      <c r="E162" s="11"/>
      <c r="F162" s="12"/>
      <c r="G162" s="9"/>
      <c r="H162" s="15"/>
      <c r="I162" s="12"/>
      <c r="J162" s="13"/>
    </row>
    <row r="163" spans="1:10" ht="12.75" customHeight="1" x14ac:dyDescent="0.25">
      <c r="A163" s="17"/>
      <c r="B163" s="8"/>
      <c r="C163" s="18"/>
      <c r="D163" s="10"/>
      <c r="E163" s="13"/>
      <c r="F163" s="18"/>
      <c r="G163" s="18"/>
      <c r="H163" s="18"/>
      <c r="I163" s="18"/>
      <c r="J163" s="18"/>
    </row>
    <row r="164" spans="1:10" ht="12.75" customHeight="1" x14ac:dyDescent="0.25">
      <c r="A164" s="20"/>
      <c r="B164" s="8"/>
      <c r="C164" s="18"/>
      <c r="D164" s="10"/>
      <c r="E164" s="13"/>
      <c r="F164" s="18"/>
      <c r="G164" s="18"/>
      <c r="H164" s="18"/>
      <c r="I164" s="18"/>
      <c r="J164" s="18"/>
    </row>
    <row r="165" spans="1:10" ht="12.75" customHeight="1" x14ac:dyDescent="0.25">
      <c r="A165" s="20"/>
      <c r="C165" s="18"/>
      <c r="D165" s="10"/>
      <c r="E165" s="13"/>
      <c r="F165" s="18"/>
      <c r="G165" s="18"/>
      <c r="H165" s="18"/>
      <c r="I165" s="18"/>
      <c r="J165" s="18"/>
    </row>
    <row r="166" spans="1:10" ht="12.75" customHeight="1" x14ac:dyDescent="0.25">
      <c r="A166" s="20"/>
      <c r="B166" s="8"/>
      <c r="C166" s="18"/>
      <c r="D166" s="10"/>
      <c r="E166" s="13"/>
      <c r="F166" s="18"/>
      <c r="G166" s="18"/>
      <c r="H166" s="18"/>
      <c r="I166" s="18"/>
      <c r="J166" s="18"/>
    </row>
    <row r="167" spans="1:10" ht="12.75" customHeight="1" x14ac:dyDescent="0.2">
      <c r="A167" s="17"/>
      <c r="B167" s="8"/>
      <c r="C167" s="18"/>
      <c r="D167" s="26"/>
      <c r="E167" s="13"/>
      <c r="F167" s="13"/>
      <c r="G167" s="13"/>
      <c r="H167" s="13"/>
      <c r="I167" s="13"/>
      <c r="J167" s="13"/>
    </row>
    <row r="168" spans="1:10" ht="12.75" customHeight="1" x14ac:dyDescent="0.2">
      <c r="A168" s="17"/>
      <c r="B168" s="8"/>
      <c r="C168" s="18"/>
      <c r="D168" s="26"/>
      <c r="E168" s="13"/>
      <c r="F168" s="13"/>
      <c r="G168" s="13"/>
      <c r="H168" s="13"/>
      <c r="I168" s="13"/>
      <c r="J168" s="13"/>
    </row>
    <row r="169" spans="1:10" ht="12.75" customHeight="1" x14ac:dyDescent="0.2">
      <c r="A169" s="17"/>
      <c r="B169" s="8"/>
      <c r="C169" s="18"/>
      <c r="D169" s="26"/>
      <c r="E169" s="13"/>
      <c r="F169" s="13"/>
      <c r="G169" s="13"/>
      <c r="H169" s="13"/>
      <c r="I169" s="13"/>
      <c r="J169" s="13"/>
    </row>
    <row r="170" spans="1:10" ht="12.75" customHeight="1" x14ac:dyDescent="0.25">
      <c r="A170" s="17"/>
      <c r="C170" s="18"/>
      <c r="D170" s="26"/>
      <c r="E170" s="13"/>
      <c r="F170" s="12"/>
      <c r="H170" s="18"/>
      <c r="J170" s="13"/>
    </row>
    <row r="171" spans="1:10" ht="12.75" customHeight="1" x14ac:dyDescent="0.25">
      <c r="A171" s="17"/>
      <c r="B171" s="8"/>
      <c r="C171" s="18"/>
      <c r="D171" s="26"/>
      <c r="E171" s="13"/>
      <c r="F171" s="12"/>
      <c r="H171" s="13"/>
      <c r="I171" s="13"/>
      <c r="J171" s="13"/>
    </row>
    <row r="172" spans="1:10" ht="12.75" customHeight="1" x14ac:dyDescent="0.25">
      <c r="A172" s="17"/>
      <c r="B172" s="8"/>
      <c r="C172" s="18"/>
      <c r="D172" s="26"/>
      <c r="E172" s="13"/>
      <c r="F172" s="12"/>
      <c r="H172" s="13"/>
      <c r="I172" s="13"/>
      <c r="J172" s="13"/>
    </row>
    <row r="173" spans="1:10" ht="12.75" customHeight="1" x14ac:dyDescent="0.2">
      <c r="A173" s="17"/>
      <c r="B173" s="23"/>
      <c r="C173" s="13"/>
      <c r="D173" s="26"/>
      <c r="J173" s="13"/>
    </row>
    <row r="174" spans="1:10" ht="12.75" customHeight="1" x14ac:dyDescent="0.2">
      <c r="A174" s="17"/>
      <c r="B174" s="29"/>
      <c r="C174" s="18"/>
      <c r="D174" s="26"/>
    </row>
    <row r="175" spans="1:10" ht="12.75" customHeight="1" x14ac:dyDescent="0.25">
      <c r="A175" s="17"/>
      <c r="B175" s="8"/>
      <c r="C175" s="18"/>
      <c r="D175" s="10"/>
      <c r="J175" s="13"/>
    </row>
    <row r="176" spans="1:10" ht="12.75" customHeight="1" x14ac:dyDescent="0.2">
      <c r="A176" s="17"/>
      <c r="B176" s="23"/>
      <c r="C176" s="13"/>
      <c r="D176" s="26"/>
      <c r="J176" s="13"/>
    </row>
    <row r="177" spans="1:10" ht="12.75" customHeight="1" x14ac:dyDescent="0.2">
      <c r="A177" s="17"/>
      <c r="B177" s="8"/>
      <c r="C177" s="18"/>
      <c r="D177" s="26"/>
      <c r="E177" s="13"/>
      <c r="F177" s="13"/>
      <c r="G177" s="13"/>
      <c r="H177" s="13"/>
      <c r="I177" s="13"/>
      <c r="J177" s="13"/>
    </row>
    <row r="178" spans="1:10" ht="12.75" customHeight="1" x14ac:dyDescent="0.25">
      <c r="A178" s="14"/>
      <c r="B178" s="8"/>
      <c r="C178" s="9"/>
      <c r="D178" s="10"/>
      <c r="E178" s="11"/>
      <c r="F178" s="12"/>
      <c r="G178" s="9"/>
      <c r="H178" s="12"/>
      <c r="I178" s="9"/>
      <c r="J178" s="13"/>
    </row>
    <row r="179" spans="1:10" ht="12.75" customHeight="1" x14ac:dyDescent="0.2">
      <c r="A179" s="17"/>
      <c r="B179" s="8"/>
      <c r="C179" s="18"/>
      <c r="D179" s="26"/>
      <c r="E179" s="13"/>
      <c r="F179" s="13"/>
      <c r="G179" s="13"/>
      <c r="H179" s="13"/>
      <c r="I179" s="13"/>
      <c r="J179" s="13"/>
    </row>
    <row r="180" spans="1:10" ht="12.75" customHeight="1" x14ac:dyDescent="0.2">
      <c r="A180" s="17"/>
      <c r="B180" s="8"/>
      <c r="C180" s="18"/>
      <c r="D180" s="26"/>
      <c r="E180" s="25"/>
      <c r="F180" s="13"/>
      <c r="G180" s="13"/>
      <c r="H180" s="13"/>
      <c r="I180" s="13"/>
      <c r="J180" s="13"/>
    </row>
    <row r="181" spans="1:10" ht="12.75" customHeight="1" x14ac:dyDescent="0.2">
      <c r="A181" s="17"/>
      <c r="B181" s="23"/>
      <c r="C181" s="30" t="s">
        <v>3</v>
      </c>
      <c r="D181" s="31">
        <f>SUM(D7:D178)</f>
        <v>53243.889999999985</v>
      </c>
      <c r="E181" s="13"/>
      <c r="F181" s="13"/>
      <c r="G181" s="13"/>
      <c r="H181" s="13"/>
      <c r="I181" s="13"/>
      <c r="J181" s="13"/>
    </row>
    <row r="182" spans="1:10" ht="12.75" customHeight="1" x14ac:dyDescent="0.2">
      <c r="A182" s="32"/>
      <c r="B182" s="23"/>
    </row>
    <row r="183" spans="1:10" ht="12.75" customHeight="1" x14ac:dyDescent="0.2">
      <c r="A183" s="32"/>
      <c r="B183" s="23"/>
    </row>
    <row r="184" spans="1:10" ht="12.75" customHeight="1" x14ac:dyDescent="0.2">
      <c r="A184" s="32"/>
      <c r="B184" s="23"/>
    </row>
    <row r="185" spans="1:10" ht="12.75" customHeight="1" x14ac:dyDescent="0.2">
      <c r="A185" s="32"/>
      <c r="B185" s="23"/>
    </row>
    <row r="186" spans="1:10" ht="12.75" customHeight="1" x14ac:dyDescent="0.2">
      <c r="A186" s="32"/>
      <c r="B186" s="23"/>
    </row>
    <row r="187" spans="1:10" ht="12.75" customHeight="1" x14ac:dyDescent="0.2">
      <c r="A187" s="32"/>
      <c r="B187" s="23"/>
    </row>
    <row r="188" spans="1:10" ht="12.75" customHeight="1" x14ac:dyDescent="0.2">
      <c r="A188" s="32"/>
      <c r="B188" s="23"/>
    </row>
    <row r="189" spans="1:10" ht="12.75" customHeight="1" x14ac:dyDescent="0.2">
      <c r="A189" s="32"/>
    </row>
    <row r="190" spans="1:10" ht="12.75" customHeight="1" x14ac:dyDescent="0.2">
      <c r="A190" s="32"/>
    </row>
    <row r="191" spans="1:10" ht="12.75" customHeight="1" x14ac:dyDescent="0.2">
      <c r="A191" s="32"/>
    </row>
    <row r="192" spans="1:10" ht="12.75" customHeight="1" x14ac:dyDescent="0.2">
      <c r="A192" s="32"/>
    </row>
    <row r="193" spans="1:1" ht="12.75" customHeight="1" x14ac:dyDescent="0.2">
      <c r="A193" s="32"/>
    </row>
    <row r="194" spans="1:1" ht="12.75" customHeight="1" x14ac:dyDescent="0.2">
      <c r="A194" s="32"/>
    </row>
    <row r="195" spans="1:1" ht="12.75" customHeight="1" x14ac:dyDescent="0.2">
      <c r="A195" s="32"/>
    </row>
    <row r="196" spans="1:1" ht="12.75" customHeight="1" x14ac:dyDescent="0.2">
      <c r="A196" s="32"/>
    </row>
    <row r="197" spans="1:1" ht="12.75" customHeight="1" x14ac:dyDescent="0.2">
      <c r="A197" s="32"/>
    </row>
    <row r="198" spans="1:1" ht="12.75" customHeight="1" x14ac:dyDescent="0.2">
      <c r="A198" s="32"/>
    </row>
    <row r="199" spans="1:1" ht="12.75" customHeight="1" x14ac:dyDescent="0.2">
      <c r="A199" s="32"/>
    </row>
    <row r="200" spans="1:1" ht="12.75" customHeight="1" x14ac:dyDescent="0.2">
      <c r="A200" s="32"/>
    </row>
    <row r="201" spans="1:1" ht="12.75" customHeight="1" x14ac:dyDescent="0.2">
      <c r="A201" s="32"/>
    </row>
    <row r="202" spans="1:1" ht="12.75" customHeight="1" x14ac:dyDescent="0.2">
      <c r="A202" s="32"/>
    </row>
    <row r="203" spans="1:1" ht="12.75" customHeight="1" x14ac:dyDescent="0.2">
      <c r="A203" s="32"/>
    </row>
    <row r="204" spans="1:1" ht="12.75" customHeight="1" x14ac:dyDescent="0.2">
      <c r="A204" s="32"/>
    </row>
    <row r="205" spans="1:1" ht="12.75" customHeight="1" x14ac:dyDescent="0.2">
      <c r="A205" s="32"/>
    </row>
    <row r="206" spans="1:1" ht="12.75" customHeight="1" x14ac:dyDescent="0.2">
      <c r="A206" s="32"/>
    </row>
    <row r="207" spans="1:1" ht="12.75" customHeight="1" x14ac:dyDescent="0.2">
      <c r="A207" s="32"/>
    </row>
    <row r="208" spans="1:1" ht="12.75" customHeight="1" x14ac:dyDescent="0.2">
      <c r="A208" s="32"/>
    </row>
    <row r="209" spans="1:1" ht="12.75" customHeight="1" x14ac:dyDescent="0.2">
      <c r="A209" s="32"/>
    </row>
    <row r="210" spans="1:1" ht="12.75" customHeight="1" x14ac:dyDescent="0.2">
      <c r="A210" s="32"/>
    </row>
    <row r="211" spans="1:1" ht="12.75" customHeight="1" x14ac:dyDescent="0.2">
      <c r="A211" s="32"/>
    </row>
    <row r="212" spans="1:1" ht="12.75" customHeight="1" x14ac:dyDescent="0.2">
      <c r="A212" s="32"/>
    </row>
    <row r="213" spans="1:1" ht="12.75" customHeight="1" x14ac:dyDescent="0.2">
      <c r="A213" s="32"/>
    </row>
    <row r="214" spans="1:1" ht="12.75" customHeight="1" x14ac:dyDescent="0.2">
      <c r="A214" s="32"/>
    </row>
    <row r="215" spans="1:1" ht="12.75" customHeight="1" x14ac:dyDescent="0.2">
      <c r="A215" s="32"/>
    </row>
    <row r="216" spans="1:1" ht="12.75" customHeight="1" x14ac:dyDescent="0.2">
      <c r="A216" s="32"/>
    </row>
    <row r="217" spans="1:1" ht="12.75" customHeight="1" x14ac:dyDescent="0.2">
      <c r="A217" s="32"/>
    </row>
    <row r="218" spans="1:1" ht="12.75" customHeight="1" x14ac:dyDescent="0.2">
      <c r="A218" s="32"/>
    </row>
    <row r="219" spans="1:1" ht="12.75" customHeight="1" x14ac:dyDescent="0.2">
      <c r="A219" s="32"/>
    </row>
    <row r="220" spans="1:1" ht="12.75" customHeight="1" x14ac:dyDescent="0.2">
      <c r="A220" s="32"/>
    </row>
    <row r="221" spans="1:1" ht="12.75" customHeight="1" x14ac:dyDescent="0.2">
      <c r="A221" s="32"/>
    </row>
    <row r="222" spans="1:1" ht="12.75" customHeight="1" x14ac:dyDescent="0.2">
      <c r="A222" s="32"/>
    </row>
    <row r="223" spans="1:1" ht="12.75" customHeight="1" x14ac:dyDescent="0.2">
      <c r="A223" s="32"/>
    </row>
    <row r="224" spans="1:1" ht="12.75" customHeight="1" x14ac:dyDescent="0.2">
      <c r="A224" s="32"/>
    </row>
    <row r="225" spans="1:1" ht="12.75" customHeight="1" x14ac:dyDescent="0.2">
      <c r="A225" s="32"/>
    </row>
    <row r="226" spans="1:1" ht="12.75" customHeight="1" x14ac:dyDescent="0.2">
      <c r="A226" s="32"/>
    </row>
    <row r="227" spans="1:1" ht="12.75" customHeight="1" x14ac:dyDescent="0.2">
      <c r="A227" s="32"/>
    </row>
    <row r="228" spans="1:1" ht="12.75" customHeight="1" x14ac:dyDescent="0.2">
      <c r="A228" s="32"/>
    </row>
    <row r="229" spans="1:1" ht="12.75" customHeight="1" x14ac:dyDescent="0.2">
      <c r="A229" s="32"/>
    </row>
    <row r="230" spans="1:1" ht="12.75" customHeight="1" x14ac:dyDescent="0.2">
      <c r="A230" s="32"/>
    </row>
    <row r="231" spans="1:1" ht="12.75" customHeight="1" x14ac:dyDescent="0.2">
      <c r="A231" s="32"/>
    </row>
    <row r="232" spans="1:1" ht="12.75" customHeight="1" x14ac:dyDescent="0.2">
      <c r="A232" s="32"/>
    </row>
    <row r="233" spans="1:1" ht="12.75" customHeight="1" x14ac:dyDescent="0.2">
      <c r="A233" s="32"/>
    </row>
    <row r="234" spans="1:1" ht="12.75" customHeight="1" x14ac:dyDescent="0.2">
      <c r="A234" s="32"/>
    </row>
    <row r="235" spans="1:1" ht="12.75" customHeight="1" x14ac:dyDescent="0.2">
      <c r="A235" s="32"/>
    </row>
    <row r="236" spans="1:1" ht="12.75" customHeight="1" x14ac:dyDescent="0.2">
      <c r="A236" s="32"/>
    </row>
    <row r="237" spans="1:1" ht="12.75" customHeight="1" x14ac:dyDescent="0.2">
      <c r="A237" s="32"/>
    </row>
    <row r="238" spans="1:1" ht="12.75" customHeight="1" x14ac:dyDescent="0.2">
      <c r="A238" s="32"/>
    </row>
    <row r="239" spans="1:1" ht="12.75" customHeight="1" x14ac:dyDescent="0.2">
      <c r="A239" s="32"/>
    </row>
    <row r="240" spans="1:1" ht="12.75" customHeight="1" x14ac:dyDescent="0.2">
      <c r="A240" s="32"/>
    </row>
    <row r="241" spans="1:1" ht="12.75" customHeight="1" x14ac:dyDescent="0.2">
      <c r="A241" s="32"/>
    </row>
    <row r="242" spans="1:1" ht="12.75" customHeight="1" x14ac:dyDescent="0.2">
      <c r="A242" s="32"/>
    </row>
    <row r="243" spans="1:1" ht="12.75" customHeight="1" x14ac:dyDescent="0.2">
      <c r="A243" s="32"/>
    </row>
    <row r="244" spans="1:1" ht="12.75" customHeight="1" x14ac:dyDescent="0.2">
      <c r="A244" s="32"/>
    </row>
    <row r="245" spans="1:1" ht="12.75" customHeight="1" x14ac:dyDescent="0.2">
      <c r="A245" s="32"/>
    </row>
    <row r="246" spans="1:1" ht="12.75" customHeight="1" x14ac:dyDescent="0.2">
      <c r="A246" s="32"/>
    </row>
    <row r="247" spans="1:1" ht="12.75" customHeight="1" x14ac:dyDescent="0.2">
      <c r="A247" s="32"/>
    </row>
    <row r="248" spans="1:1" ht="12.75" customHeight="1" x14ac:dyDescent="0.2">
      <c r="A248" s="32"/>
    </row>
    <row r="249" spans="1:1" ht="12.75" customHeight="1" x14ac:dyDescent="0.2">
      <c r="A249" s="32"/>
    </row>
    <row r="250" spans="1:1" ht="12.75" customHeight="1" x14ac:dyDescent="0.2">
      <c r="A250" s="32"/>
    </row>
    <row r="251" spans="1:1" ht="12.75" customHeight="1" x14ac:dyDescent="0.2">
      <c r="A251" s="32"/>
    </row>
    <row r="252" spans="1:1" ht="12.75" customHeight="1" x14ac:dyDescent="0.2">
      <c r="A252" s="32"/>
    </row>
    <row r="253" spans="1:1" ht="12.75" customHeight="1" x14ac:dyDescent="0.2">
      <c r="A253" s="32"/>
    </row>
    <row r="254" spans="1:1" ht="12.75" customHeight="1" x14ac:dyDescent="0.2">
      <c r="A254" s="32"/>
    </row>
    <row r="255" spans="1:1" ht="12.75" customHeight="1" x14ac:dyDescent="0.2">
      <c r="A255" s="32"/>
    </row>
    <row r="256" spans="1:1" ht="12.75" customHeight="1" x14ac:dyDescent="0.2">
      <c r="A256" s="32"/>
    </row>
    <row r="257" spans="1:1" ht="12.75" customHeight="1" x14ac:dyDescent="0.2">
      <c r="A257" s="32"/>
    </row>
    <row r="258" spans="1:1" ht="12.75" customHeight="1" x14ac:dyDescent="0.2">
      <c r="A258" s="32"/>
    </row>
    <row r="259" spans="1:1" ht="12.75" customHeight="1" x14ac:dyDescent="0.2">
      <c r="A259" s="32"/>
    </row>
    <row r="260" spans="1:1" ht="12.75" customHeight="1" x14ac:dyDescent="0.2">
      <c r="A260" s="32"/>
    </row>
    <row r="261" spans="1:1" ht="12.75" customHeight="1" x14ac:dyDescent="0.2">
      <c r="A261" s="32"/>
    </row>
    <row r="262" spans="1:1" ht="12.75" customHeight="1" x14ac:dyDescent="0.2">
      <c r="A262" s="32"/>
    </row>
    <row r="263" spans="1:1" ht="12.75" customHeight="1" x14ac:dyDescent="0.2">
      <c r="A263" s="32"/>
    </row>
    <row r="264" spans="1:1" ht="12.75" customHeight="1" x14ac:dyDescent="0.2">
      <c r="A264" s="32"/>
    </row>
    <row r="265" spans="1:1" ht="12.75" customHeight="1" x14ac:dyDescent="0.2">
      <c r="A265" s="32"/>
    </row>
    <row r="266" spans="1:1" ht="12.75" customHeight="1" x14ac:dyDescent="0.2">
      <c r="A266" s="32"/>
    </row>
    <row r="267" spans="1:1" ht="12.75" customHeight="1" x14ac:dyDescent="0.2">
      <c r="A267" s="32"/>
    </row>
    <row r="268" spans="1:1" ht="12.75" customHeight="1" x14ac:dyDescent="0.2">
      <c r="A268" s="32"/>
    </row>
    <row r="269" spans="1:1" ht="12.75" customHeight="1" x14ac:dyDescent="0.2">
      <c r="A269" s="32"/>
    </row>
    <row r="270" spans="1:1" ht="12.75" customHeight="1" x14ac:dyDescent="0.2">
      <c r="A270" s="32"/>
    </row>
    <row r="271" spans="1:1" ht="12.75" customHeight="1" x14ac:dyDescent="0.2">
      <c r="A271" s="32"/>
    </row>
    <row r="272" spans="1:1" ht="12.75" customHeight="1" x14ac:dyDescent="0.2">
      <c r="A272" s="32"/>
    </row>
    <row r="273" spans="1:1" ht="12.75" customHeight="1" x14ac:dyDescent="0.2">
      <c r="A273" s="32"/>
    </row>
    <row r="274" spans="1:1" ht="12.75" customHeight="1" x14ac:dyDescent="0.2">
      <c r="A274" s="32"/>
    </row>
    <row r="275" spans="1:1" ht="12.75" customHeight="1" x14ac:dyDescent="0.2">
      <c r="A275" s="32"/>
    </row>
    <row r="276" spans="1:1" ht="12.75" customHeight="1" x14ac:dyDescent="0.2">
      <c r="A276" s="32"/>
    </row>
    <row r="277" spans="1:1" ht="12.75" customHeight="1" x14ac:dyDescent="0.2">
      <c r="A277" s="32"/>
    </row>
    <row r="278" spans="1:1" ht="12.75" customHeight="1" x14ac:dyDescent="0.2">
      <c r="A278" s="32"/>
    </row>
    <row r="279" spans="1:1" ht="12.75" customHeight="1" x14ac:dyDescent="0.2">
      <c r="A279" s="32"/>
    </row>
    <row r="280" spans="1:1" ht="12.75" customHeight="1" x14ac:dyDescent="0.2">
      <c r="A280" s="32"/>
    </row>
    <row r="281" spans="1:1" ht="12.75" customHeight="1" x14ac:dyDescent="0.2">
      <c r="A281" s="32"/>
    </row>
    <row r="282" spans="1:1" ht="12.75" customHeight="1" x14ac:dyDescent="0.2">
      <c r="A282" s="32"/>
    </row>
    <row r="283" spans="1:1" ht="12.75" customHeight="1" x14ac:dyDescent="0.2">
      <c r="A283" s="32"/>
    </row>
    <row r="284" spans="1:1" ht="12.75" customHeight="1" x14ac:dyDescent="0.2">
      <c r="A284" s="32"/>
    </row>
    <row r="285" spans="1:1" ht="12.75" customHeight="1" x14ac:dyDescent="0.2">
      <c r="A285" s="32"/>
    </row>
    <row r="286" spans="1:1" ht="12.75" customHeight="1" x14ac:dyDescent="0.2">
      <c r="A286" s="32"/>
    </row>
    <row r="287" spans="1:1" ht="12.75" customHeight="1" x14ac:dyDescent="0.2">
      <c r="A287" s="32"/>
    </row>
    <row r="288" spans="1:1" ht="12.75" customHeight="1" x14ac:dyDescent="0.2">
      <c r="A288" s="32"/>
    </row>
    <row r="289" spans="1:1" ht="12.75" customHeight="1" x14ac:dyDescent="0.2">
      <c r="A289" s="32"/>
    </row>
    <row r="290" spans="1:1" ht="12.75" customHeight="1" x14ac:dyDescent="0.2">
      <c r="A290" s="32"/>
    </row>
    <row r="291" spans="1:1" ht="12.75" customHeight="1" x14ac:dyDescent="0.2">
      <c r="A291" s="32"/>
    </row>
    <row r="292" spans="1:1" ht="12.75" customHeight="1" x14ac:dyDescent="0.2">
      <c r="A292" s="32"/>
    </row>
    <row r="293" spans="1:1" ht="12.75" customHeight="1" x14ac:dyDescent="0.2">
      <c r="A293" s="32"/>
    </row>
    <row r="294" spans="1:1" ht="12.75" customHeight="1" x14ac:dyDescent="0.2">
      <c r="A294" s="32"/>
    </row>
    <row r="295" spans="1:1" ht="12.75" customHeight="1" x14ac:dyDescent="0.2">
      <c r="A295" s="32"/>
    </row>
    <row r="296" spans="1:1" ht="12.75" customHeight="1" x14ac:dyDescent="0.2">
      <c r="A296" s="32"/>
    </row>
    <row r="297" spans="1:1" ht="12.75" customHeight="1" x14ac:dyDescent="0.2">
      <c r="A297" s="32"/>
    </row>
    <row r="298" spans="1:1" ht="12.75" customHeight="1" x14ac:dyDescent="0.2">
      <c r="A298" s="32"/>
    </row>
    <row r="299" spans="1:1" ht="12.75" customHeight="1" x14ac:dyDescent="0.2">
      <c r="A299" s="32"/>
    </row>
    <row r="300" spans="1:1" ht="12.75" customHeight="1" x14ac:dyDescent="0.2">
      <c r="A300" s="32"/>
    </row>
    <row r="301" spans="1:1" ht="12.75" customHeight="1" x14ac:dyDescent="0.2">
      <c r="A301" s="32"/>
    </row>
    <row r="302" spans="1:1" ht="12.75" customHeight="1" x14ac:dyDescent="0.2">
      <c r="A302" s="32"/>
    </row>
    <row r="303" spans="1:1" ht="12.75" customHeight="1" x14ac:dyDescent="0.2">
      <c r="A303" s="32"/>
    </row>
    <row r="304" spans="1:1" ht="12.75" customHeight="1" x14ac:dyDescent="0.2">
      <c r="A304" s="32"/>
    </row>
    <row r="305" spans="1:1" ht="12.75" customHeight="1" x14ac:dyDescent="0.2">
      <c r="A305" s="32"/>
    </row>
    <row r="306" spans="1:1" ht="12.75" customHeight="1" x14ac:dyDescent="0.2">
      <c r="A306" s="32"/>
    </row>
    <row r="307" spans="1:1" ht="12.75" customHeight="1" x14ac:dyDescent="0.2">
      <c r="A307" s="32"/>
    </row>
    <row r="308" spans="1:1" ht="12.75" customHeight="1" x14ac:dyDescent="0.2">
      <c r="A308" s="32"/>
    </row>
    <row r="309" spans="1:1" ht="12.75" customHeight="1" x14ac:dyDescent="0.2">
      <c r="A309" s="32"/>
    </row>
    <row r="310" spans="1:1" ht="12.75" customHeight="1" x14ac:dyDescent="0.2">
      <c r="A310" s="32"/>
    </row>
    <row r="311" spans="1:1" ht="12.75" customHeight="1" x14ac:dyDescent="0.2">
      <c r="A311" s="32"/>
    </row>
    <row r="312" spans="1:1" ht="12.75" customHeight="1" x14ac:dyDescent="0.2">
      <c r="A312" s="32"/>
    </row>
    <row r="313" spans="1:1" ht="12.75" customHeight="1" x14ac:dyDescent="0.2">
      <c r="A313" s="32"/>
    </row>
    <row r="314" spans="1:1" ht="12.75" customHeight="1" x14ac:dyDescent="0.2">
      <c r="A314" s="32"/>
    </row>
    <row r="315" spans="1:1" ht="12.75" customHeight="1" x14ac:dyDescent="0.2">
      <c r="A315" s="32"/>
    </row>
    <row r="316" spans="1:1" ht="12.75" customHeight="1" x14ac:dyDescent="0.2">
      <c r="A316" s="32"/>
    </row>
    <row r="317" spans="1:1" ht="12.75" customHeight="1" x14ac:dyDescent="0.2">
      <c r="A317" s="32"/>
    </row>
    <row r="318" spans="1:1" ht="12.75" customHeight="1" x14ac:dyDescent="0.2">
      <c r="A318" s="32"/>
    </row>
    <row r="319" spans="1:1" ht="12.75" customHeight="1" x14ac:dyDescent="0.2">
      <c r="A319" s="32"/>
    </row>
    <row r="320" spans="1:1" ht="12.75" customHeight="1" x14ac:dyDescent="0.2">
      <c r="A320" s="32"/>
    </row>
    <row r="321" spans="1:1" ht="12.75" customHeight="1" x14ac:dyDescent="0.2">
      <c r="A321" s="32"/>
    </row>
    <row r="322" spans="1:1" ht="12.75" customHeight="1" x14ac:dyDescent="0.2">
      <c r="A322" s="32"/>
    </row>
    <row r="323" spans="1:1" ht="12.75" customHeight="1" x14ac:dyDescent="0.2">
      <c r="A323" s="32"/>
    </row>
    <row r="324" spans="1:1" ht="12.75" customHeight="1" x14ac:dyDescent="0.2">
      <c r="A324" s="32"/>
    </row>
    <row r="325" spans="1:1" ht="12.75" customHeight="1" x14ac:dyDescent="0.2">
      <c r="A325" s="32"/>
    </row>
    <row r="326" spans="1:1" ht="12.75" customHeight="1" x14ac:dyDescent="0.2">
      <c r="A326" s="32"/>
    </row>
    <row r="327" spans="1:1" ht="12.75" customHeight="1" x14ac:dyDescent="0.2">
      <c r="A327" s="32"/>
    </row>
    <row r="328" spans="1:1" ht="12.75" customHeight="1" x14ac:dyDescent="0.2">
      <c r="A328" s="32"/>
    </row>
    <row r="329" spans="1:1" ht="12.75" customHeight="1" x14ac:dyDescent="0.2">
      <c r="A329" s="32"/>
    </row>
    <row r="330" spans="1:1" ht="12.75" customHeight="1" x14ac:dyDescent="0.2">
      <c r="A330" s="32"/>
    </row>
    <row r="331" spans="1:1" ht="12.75" customHeight="1" x14ac:dyDescent="0.2">
      <c r="A331" s="32"/>
    </row>
    <row r="332" spans="1:1" ht="12.75" customHeight="1" x14ac:dyDescent="0.2">
      <c r="A332" s="32"/>
    </row>
    <row r="333" spans="1:1" ht="12.75" customHeight="1" x14ac:dyDescent="0.2">
      <c r="A333" s="32"/>
    </row>
    <row r="334" spans="1:1" ht="12.75" customHeight="1" x14ac:dyDescent="0.2">
      <c r="A334" s="32"/>
    </row>
    <row r="335" spans="1:1" ht="12.75" customHeight="1" x14ac:dyDescent="0.2">
      <c r="A335" s="32"/>
    </row>
    <row r="336" spans="1:1" ht="12.75" customHeight="1" x14ac:dyDescent="0.2">
      <c r="A336" s="32"/>
    </row>
    <row r="337" spans="1:1" ht="12.75" customHeight="1" x14ac:dyDescent="0.2">
      <c r="A337" s="32"/>
    </row>
    <row r="338" spans="1:1" ht="12.75" customHeight="1" x14ac:dyDescent="0.2">
      <c r="A338" s="32"/>
    </row>
    <row r="339" spans="1:1" ht="12.75" customHeight="1" x14ac:dyDescent="0.2">
      <c r="A339" s="32"/>
    </row>
    <row r="340" spans="1:1" ht="12.75" customHeight="1" x14ac:dyDescent="0.2">
      <c r="A340" s="32"/>
    </row>
    <row r="341" spans="1:1" ht="12.75" customHeight="1" x14ac:dyDescent="0.2">
      <c r="A341" s="32"/>
    </row>
    <row r="342" spans="1:1" ht="12.75" customHeight="1" x14ac:dyDescent="0.2">
      <c r="A342" s="32"/>
    </row>
    <row r="343" spans="1:1" ht="12.75" customHeight="1" x14ac:dyDescent="0.2">
      <c r="A343" s="32"/>
    </row>
    <row r="344" spans="1:1" ht="12.75" customHeight="1" x14ac:dyDescent="0.2">
      <c r="A344" s="32"/>
    </row>
    <row r="345" spans="1:1" ht="12.75" customHeight="1" x14ac:dyDescent="0.2">
      <c r="A345" s="32"/>
    </row>
    <row r="346" spans="1:1" ht="12.75" customHeight="1" x14ac:dyDescent="0.2">
      <c r="A346" s="32"/>
    </row>
    <row r="347" spans="1:1" ht="12.75" customHeight="1" x14ac:dyDescent="0.2">
      <c r="A347" s="32"/>
    </row>
    <row r="348" spans="1:1" ht="12.75" customHeight="1" x14ac:dyDescent="0.2">
      <c r="A348" s="32"/>
    </row>
    <row r="349" spans="1:1" ht="12.75" customHeight="1" x14ac:dyDescent="0.2">
      <c r="A349" s="32"/>
    </row>
    <row r="350" spans="1:1" ht="12.75" customHeight="1" x14ac:dyDescent="0.2">
      <c r="A350" s="32"/>
    </row>
    <row r="351" spans="1:1" ht="12.75" customHeight="1" x14ac:dyDescent="0.2">
      <c r="A351" s="32"/>
    </row>
    <row r="352" spans="1:1" ht="12.75" customHeight="1" x14ac:dyDescent="0.2">
      <c r="A352" s="32"/>
    </row>
    <row r="353" spans="1:1" ht="12.75" customHeight="1" x14ac:dyDescent="0.2">
      <c r="A353" s="32"/>
    </row>
    <row r="354" spans="1:1" ht="12.75" customHeight="1" x14ac:dyDescent="0.2">
      <c r="A354" s="32"/>
    </row>
    <row r="355" spans="1:1" ht="12.75" customHeight="1" x14ac:dyDescent="0.2">
      <c r="A355" s="32"/>
    </row>
    <row r="356" spans="1:1" ht="12.75" customHeight="1" x14ac:dyDescent="0.2">
      <c r="A356" s="32"/>
    </row>
    <row r="357" spans="1:1" ht="12.75" customHeight="1" x14ac:dyDescent="0.2">
      <c r="A357" s="32"/>
    </row>
    <row r="358" spans="1:1" ht="12.75" customHeight="1" x14ac:dyDescent="0.2">
      <c r="A358" s="32"/>
    </row>
    <row r="359" spans="1:1" ht="12.75" customHeight="1" x14ac:dyDescent="0.2">
      <c r="A359" s="32"/>
    </row>
    <row r="360" spans="1:1" ht="12.75" customHeight="1" x14ac:dyDescent="0.2">
      <c r="A360" s="32"/>
    </row>
    <row r="361" spans="1:1" ht="12.75" customHeight="1" x14ac:dyDescent="0.2">
      <c r="A361" s="32"/>
    </row>
    <row r="362" spans="1:1" ht="12.75" customHeight="1" x14ac:dyDescent="0.2">
      <c r="A362" s="32"/>
    </row>
    <row r="363" spans="1:1" ht="12.75" customHeight="1" x14ac:dyDescent="0.2">
      <c r="A363" s="32"/>
    </row>
    <row r="364" spans="1:1" ht="12.75" customHeight="1" x14ac:dyDescent="0.2">
      <c r="A364" s="32"/>
    </row>
    <row r="365" spans="1:1" ht="12.75" customHeight="1" x14ac:dyDescent="0.2">
      <c r="A365" s="32"/>
    </row>
    <row r="366" spans="1:1" ht="12.75" customHeight="1" x14ac:dyDescent="0.2">
      <c r="A366" s="32"/>
    </row>
    <row r="367" spans="1:1" ht="12.75" customHeight="1" x14ac:dyDescent="0.2">
      <c r="A367" s="32"/>
    </row>
    <row r="368" spans="1:1" ht="12.75" customHeight="1" x14ac:dyDescent="0.2">
      <c r="A368" s="32"/>
    </row>
    <row r="369" spans="1:1" ht="12.75" customHeight="1" x14ac:dyDescent="0.2">
      <c r="A369" s="32"/>
    </row>
    <row r="370" spans="1:1" ht="12.75" customHeight="1" x14ac:dyDescent="0.2">
      <c r="A370" s="32"/>
    </row>
    <row r="371" spans="1:1" ht="12.75" customHeight="1" x14ac:dyDescent="0.2">
      <c r="A371" s="32"/>
    </row>
    <row r="372" spans="1:1" ht="12.75" customHeight="1" x14ac:dyDescent="0.2">
      <c r="A372" s="32"/>
    </row>
    <row r="373" spans="1:1" ht="12.75" customHeight="1" x14ac:dyDescent="0.2">
      <c r="A373" s="32"/>
    </row>
    <row r="374" spans="1:1" ht="12.75" customHeight="1" x14ac:dyDescent="0.2">
      <c r="A374" s="32"/>
    </row>
    <row r="375" spans="1:1" ht="12.75" customHeight="1" x14ac:dyDescent="0.2">
      <c r="A375" s="32"/>
    </row>
    <row r="376" spans="1:1" ht="12.75" customHeight="1" x14ac:dyDescent="0.2">
      <c r="A376" s="32"/>
    </row>
    <row r="377" spans="1:1" ht="12.75" customHeight="1" x14ac:dyDescent="0.2">
      <c r="A377" s="32"/>
    </row>
    <row r="378" spans="1:1" ht="12.75" customHeight="1" x14ac:dyDescent="0.2">
      <c r="A378" s="32"/>
    </row>
    <row r="379" spans="1:1" ht="12.75" customHeight="1" x14ac:dyDescent="0.2">
      <c r="A379" s="32"/>
    </row>
    <row r="380" spans="1:1" ht="12.75" customHeight="1" x14ac:dyDescent="0.2">
      <c r="A380" s="32"/>
    </row>
    <row r="381" spans="1:1" ht="12.75" customHeight="1" x14ac:dyDescent="0.2">
      <c r="A381" s="32"/>
    </row>
    <row r="382" spans="1:1" ht="12.75" customHeight="1" x14ac:dyDescent="0.2">
      <c r="A382" s="32"/>
    </row>
    <row r="383" spans="1:1" ht="12.75" customHeight="1" x14ac:dyDescent="0.2">
      <c r="A383" s="32"/>
    </row>
    <row r="384" spans="1:1" ht="12.75" customHeight="1" x14ac:dyDescent="0.2">
      <c r="A384" s="32"/>
    </row>
    <row r="385" spans="1:1" ht="12.75" customHeight="1" x14ac:dyDescent="0.2">
      <c r="A385" s="32"/>
    </row>
    <row r="386" spans="1:1" ht="12.75" customHeight="1" x14ac:dyDescent="0.2">
      <c r="A386" s="32"/>
    </row>
    <row r="387" spans="1:1" ht="12.75" customHeight="1" x14ac:dyDescent="0.2">
      <c r="A387" s="32"/>
    </row>
    <row r="388" spans="1:1" ht="12.75" customHeight="1" x14ac:dyDescent="0.2">
      <c r="A388" s="32"/>
    </row>
    <row r="389" spans="1:1" ht="12.75" customHeight="1" x14ac:dyDescent="0.2">
      <c r="A389" s="32"/>
    </row>
    <row r="390" spans="1:1" ht="12.75" customHeight="1" x14ac:dyDescent="0.2">
      <c r="A390" s="32"/>
    </row>
    <row r="391" spans="1:1" ht="12.75" customHeight="1" x14ac:dyDescent="0.2">
      <c r="A391" s="32"/>
    </row>
    <row r="392" spans="1:1" ht="12.75" customHeight="1" x14ac:dyDescent="0.2">
      <c r="A392" s="32"/>
    </row>
    <row r="393" spans="1:1" ht="12.75" customHeight="1" x14ac:dyDescent="0.2">
      <c r="A393" s="32"/>
    </row>
    <row r="394" spans="1:1" ht="12.75" customHeight="1" x14ac:dyDescent="0.2">
      <c r="A394" s="32"/>
    </row>
    <row r="395" spans="1:1" ht="12.75" customHeight="1" x14ac:dyDescent="0.2">
      <c r="A395" s="32"/>
    </row>
    <row r="396" spans="1:1" ht="12.75" customHeight="1" x14ac:dyDescent="0.2">
      <c r="A396" s="32"/>
    </row>
    <row r="397" spans="1:1" ht="12.75" customHeight="1" x14ac:dyDescent="0.2">
      <c r="A397" s="32"/>
    </row>
    <row r="398" spans="1:1" ht="12.75" customHeight="1" x14ac:dyDescent="0.2">
      <c r="A398" s="32"/>
    </row>
    <row r="399" spans="1:1" ht="12.75" customHeight="1" x14ac:dyDescent="0.2">
      <c r="A399" s="32"/>
    </row>
    <row r="400" spans="1:1" ht="12.75" customHeight="1" x14ac:dyDescent="0.2">
      <c r="A400" s="32"/>
    </row>
    <row r="401" spans="1:1" ht="12.75" customHeight="1" x14ac:dyDescent="0.2">
      <c r="A401" s="32"/>
    </row>
    <row r="402" spans="1:1" ht="12.75" customHeight="1" x14ac:dyDescent="0.2">
      <c r="A402" s="32"/>
    </row>
    <row r="403" spans="1:1" ht="12.75" customHeight="1" x14ac:dyDescent="0.2">
      <c r="A403" s="32"/>
    </row>
    <row r="404" spans="1:1" ht="12.75" customHeight="1" x14ac:dyDescent="0.2">
      <c r="A404" s="32"/>
    </row>
    <row r="405" spans="1:1" ht="12.75" customHeight="1" x14ac:dyDescent="0.2">
      <c r="A405" s="32"/>
    </row>
    <row r="406" spans="1:1" ht="12.75" customHeight="1" x14ac:dyDescent="0.2">
      <c r="A406" s="32"/>
    </row>
    <row r="407" spans="1:1" ht="12.75" customHeight="1" x14ac:dyDescent="0.2">
      <c r="A407" s="32"/>
    </row>
    <row r="408" spans="1:1" ht="12.75" customHeight="1" x14ac:dyDescent="0.2">
      <c r="A408" s="32"/>
    </row>
    <row r="409" spans="1:1" ht="12.75" customHeight="1" x14ac:dyDescent="0.2">
      <c r="A409" s="32"/>
    </row>
    <row r="410" spans="1:1" ht="12.75" customHeight="1" x14ac:dyDescent="0.2">
      <c r="A410" s="32"/>
    </row>
    <row r="411" spans="1:1" ht="12.75" customHeight="1" x14ac:dyDescent="0.2">
      <c r="A411" s="32"/>
    </row>
    <row r="412" spans="1:1" ht="12.75" customHeight="1" x14ac:dyDescent="0.2">
      <c r="A412" s="32"/>
    </row>
    <row r="413" spans="1:1" ht="12.75" customHeight="1" x14ac:dyDescent="0.2">
      <c r="A413" s="32"/>
    </row>
    <row r="414" spans="1:1" ht="12.75" customHeight="1" x14ac:dyDescent="0.2">
      <c r="A414" s="32"/>
    </row>
    <row r="415" spans="1:1" ht="12.75" customHeight="1" x14ac:dyDescent="0.2">
      <c r="A415" s="32"/>
    </row>
    <row r="416" spans="1:1" ht="12.75" customHeight="1" x14ac:dyDescent="0.2">
      <c r="A416" s="32"/>
    </row>
    <row r="417" spans="1:1" ht="12.75" customHeight="1" x14ac:dyDescent="0.2">
      <c r="A417" s="32"/>
    </row>
    <row r="418" spans="1:1" ht="12.75" customHeight="1" x14ac:dyDescent="0.2">
      <c r="A418" s="32"/>
    </row>
    <row r="419" spans="1:1" ht="12.75" customHeight="1" x14ac:dyDescent="0.2">
      <c r="A419" s="32"/>
    </row>
    <row r="420" spans="1:1" ht="12.75" customHeight="1" x14ac:dyDescent="0.2">
      <c r="A420" s="32"/>
    </row>
    <row r="421" spans="1:1" ht="12.75" customHeight="1" x14ac:dyDescent="0.2">
      <c r="A421" s="32"/>
    </row>
    <row r="422" spans="1:1" ht="12.75" customHeight="1" x14ac:dyDescent="0.2">
      <c r="A422" s="32"/>
    </row>
    <row r="423" spans="1:1" ht="12.75" customHeight="1" x14ac:dyDescent="0.2">
      <c r="A423" s="32"/>
    </row>
    <row r="424" spans="1:1" ht="12.75" customHeight="1" x14ac:dyDescent="0.2">
      <c r="A424" s="32"/>
    </row>
    <row r="425" spans="1:1" ht="12.75" customHeight="1" x14ac:dyDescent="0.2">
      <c r="A425" s="32"/>
    </row>
    <row r="426" spans="1:1" ht="12.75" customHeight="1" x14ac:dyDescent="0.2">
      <c r="A426" s="32"/>
    </row>
    <row r="427" spans="1:1" ht="12.75" customHeight="1" x14ac:dyDescent="0.2">
      <c r="A427" s="32"/>
    </row>
    <row r="428" spans="1:1" ht="12.75" customHeight="1" x14ac:dyDescent="0.2">
      <c r="A428" s="32"/>
    </row>
    <row r="429" spans="1:1" ht="12.75" customHeight="1" x14ac:dyDescent="0.2">
      <c r="A429" s="32"/>
    </row>
    <row r="430" spans="1:1" ht="12.75" customHeight="1" x14ac:dyDescent="0.2">
      <c r="A430" s="32"/>
    </row>
    <row r="431" spans="1:1" ht="12.75" customHeight="1" x14ac:dyDescent="0.2">
      <c r="A431" s="32"/>
    </row>
    <row r="432" spans="1:1" ht="12.75" customHeight="1" x14ac:dyDescent="0.2">
      <c r="A432" s="32"/>
    </row>
    <row r="433" spans="1:1" ht="12.75" customHeight="1" x14ac:dyDescent="0.2">
      <c r="A433" s="32"/>
    </row>
    <row r="434" spans="1:1" ht="12.75" customHeight="1" x14ac:dyDescent="0.2">
      <c r="A434" s="32"/>
    </row>
    <row r="435" spans="1:1" ht="12.75" customHeight="1" x14ac:dyDescent="0.2">
      <c r="A435" s="32"/>
    </row>
    <row r="436" spans="1:1" ht="12.75" customHeight="1" x14ac:dyDescent="0.2">
      <c r="A436" s="32"/>
    </row>
    <row r="437" spans="1:1" ht="12.75" customHeight="1" x14ac:dyDescent="0.2">
      <c r="A437" s="32"/>
    </row>
    <row r="438" spans="1:1" ht="12.75" customHeight="1" x14ac:dyDescent="0.2">
      <c r="A438" s="32"/>
    </row>
    <row r="439" spans="1:1" ht="12.75" customHeight="1" x14ac:dyDescent="0.2">
      <c r="A439" s="32"/>
    </row>
    <row r="440" spans="1:1" ht="12.75" customHeight="1" x14ac:dyDescent="0.2">
      <c r="A440" s="32"/>
    </row>
    <row r="441" spans="1:1" ht="12.75" customHeight="1" x14ac:dyDescent="0.2">
      <c r="A441" s="32"/>
    </row>
    <row r="442" spans="1:1" ht="12.75" customHeight="1" x14ac:dyDescent="0.2">
      <c r="A442" s="32"/>
    </row>
    <row r="443" spans="1:1" ht="12.75" customHeight="1" x14ac:dyDescent="0.2">
      <c r="A443" s="32"/>
    </row>
    <row r="444" spans="1:1" ht="12.75" customHeight="1" x14ac:dyDescent="0.2">
      <c r="A444" s="32"/>
    </row>
    <row r="445" spans="1:1" ht="12.75" customHeight="1" x14ac:dyDescent="0.2">
      <c r="A445" s="32"/>
    </row>
    <row r="446" spans="1:1" ht="12.75" customHeight="1" x14ac:dyDescent="0.2">
      <c r="A446" s="32"/>
    </row>
    <row r="447" spans="1:1" ht="12.75" customHeight="1" x14ac:dyDescent="0.2">
      <c r="A447" s="32"/>
    </row>
    <row r="448" spans="1:1" ht="12.75" customHeight="1" x14ac:dyDescent="0.2">
      <c r="A448" s="32"/>
    </row>
    <row r="449" spans="1:1" ht="12.75" customHeight="1" x14ac:dyDescent="0.2">
      <c r="A449" s="32"/>
    </row>
    <row r="450" spans="1:1" ht="12.75" customHeight="1" x14ac:dyDescent="0.2">
      <c r="A450" s="32"/>
    </row>
    <row r="451" spans="1:1" ht="12.75" customHeight="1" x14ac:dyDescent="0.2">
      <c r="A451" s="32"/>
    </row>
    <row r="452" spans="1:1" ht="12.75" customHeight="1" x14ac:dyDescent="0.2">
      <c r="A452" s="32"/>
    </row>
    <row r="453" spans="1:1" ht="12.75" customHeight="1" x14ac:dyDescent="0.2">
      <c r="A453" s="32"/>
    </row>
    <row r="454" spans="1:1" ht="12.75" customHeight="1" x14ac:dyDescent="0.2">
      <c r="A454" s="32"/>
    </row>
    <row r="455" spans="1:1" ht="12.75" customHeight="1" x14ac:dyDescent="0.2">
      <c r="A455" s="32"/>
    </row>
    <row r="456" spans="1:1" ht="12.75" customHeight="1" x14ac:dyDescent="0.2">
      <c r="A456" s="32"/>
    </row>
    <row r="457" spans="1:1" ht="12.75" customHeight="1" x14ac:dyDescent="0.2">
      <c r="A457" s="32"/>
    </row>
    <row r="458" spans="1:1" ht="12.75" customHeight="1" x14ac:dyDescent="0.2">
      <c r="A458" s="32"/>
    </row>
    <row r="459" spans="1:1" ht="12.75" customHeight="1" x14ac:dyDescent="0.2">
      <c r="A459" s="32"/>
    </row>
    <row r="460" spans="1:1" ht="12.75" customHeight="1" x14ac:dyDescent="0.2">
      <c r="A460" s="32"/>
    </row>
    <row r="461" spans="1:1" ht="12.75" customHeight="1" x14ac:dyDescent="0.2">
      <c r="A461" s="32"/>
    </row>
    <row r="462" spans="1:1" ht="12.75" customHeight="1" x14ac:dyDescent="0.2">
      <c r="A462" s="32"/>
    </row>
    <row r="463" spans="1:1" ht="12.75" customHeight="1" x14ac:dyDescent="0.2">
      <c r="A463" s="32"/>
    </row>
    <row r="464" spans="1:1" ht="12.75" customHeight="1" x14ac:dyDescent="0.2">
      <c r="A464" s="32"/>
    </row>
    <row r="465" spans="1:1" ht="12.75" customHeight="1" x14ac:dyDescent="0.2">
      <c r="A465" s="32"/>
    </row>
    <row r="466" spans="1:1" ht="12.75" customHeight="1" x14ac:dyDescent="0.2">
      <c r="A466" s="32"/>
    </row>
    <row r="467" spans="1:1" ht="12.75" customHeight="1" x14ac:dyDescent="0.2">
      <c r="A467" s="32"/>
    </row>
    <row r="468" spans="1:1" ht="12.75" customHeight="1" x14ac:dyDescent="0.2">
      <c r="A468" s="32"/>
    </row>
    <row r="469" spans="1:1" ht="12.75" customHeight="1" x14ac:dyDescent="0.2">
      <c r="A469" s="32"/>
    </row>
    <row r="470" spans="1:1" ht="12.75" customHeight="1" x14ac:dyDescent="0.2">
      <c r="A470" s="32"/>
    </row>
    <row r="471" spans="1:1" ht="12.75" customHeight="1" x14ac:dyDescent="0.2">
      <c r="A471" s="32"/>
    </row>
    <row r="472" spans="1:1" ht="12.75" customHeight="1" x14ac:dyDescent="0.2">
      <c r="A472" s="32"/>
    </row>
    <row r="473" spans="1:1" ht="12.75" customHeight="1" x14ac:dyDescent="0.2">
      <c r="A473" s="32"/>
    </row>
    <row r="474" spans="1:1" ht="12.75" customHeight="1" x14ac:dyDescent="0.2">
      <c r="A474" s="32"/>
    </row>
    <row r="475" spans="1:1" ht="12.75" customHeight="1" x14ac:dyDescent="0.2">
      <c r="A475" s="32"/>
    </row>
    <row r="476" spans="1:1" ht="12.75" customHeight="1" x14ac:dyDescent="0.2">
      <c r="A476" s="32"/>
    </row>
    <row r="477" spans="1:1" ht="12.75" customHeight="1" x14ac:dyDescent="0.2">
      <c r="A477" s="32"/>
    </row>
    <row r="478" spans="1:1" ht="12.75" customHeight="1" x14ac:dyDescent="0.2">
      <c r="A478" s="32"/>
    </row>
    <row r="479" spans="1:1" ht="12.75" customHeight="1" x14ac:dyDescent="0.2">
      <c r="A479" s="32"/>
    </row>
    <row r="480" spans="1:1" ht="12.75" customHeight="1" x14ac:dyDescent="0.2">
      <c r="A480" s="32"/>
    </row>
    <row r="481" spans="1:1" ht="12.75" customHeight="1" x14ac:dyDescent="0.2">
      <c r="A481" s="32"/>
    </row>
    <row r="482" spans="1:1" ht="12.75" customHeight="1" x14ac:dyDescent="0.2">
      <c r="A482" s="32"/>
    </row>
    <row r="483" spans="1:1" ht="12.75" customHeight="1" x14ac:dyDescent="0.2">
      <c r="A483" s="32"/>
    </row>
    <row r="484" spans="1:1" ht="12.75" customHeight="1" x14ac:dyDescent="0.2">
      <c r="A484" s="32"/>
    </row>
    <row r="485" spans="1:1" ht="12.75" customHeight="1" x14ac:dyDescent="0.2">
      <c r="A485" s="32"/>
    </row>
    <row r="486" spans="1:1" ht="12.75" customHeight="1" x14ac:dyDescent="0.2">
      <c r="A486" s="32"/>
    </row>
    <row r="487" spans="1:1" ht="12.75" customHeight="1" x14ac:dyDescent="0.2">
      <c r="A487" s="32"/>
    </row>
    <row r="488" spans="1:1" ht="12.75" customHeight="1" x14ac:dyDescent="0.2">
      <c r="A488" s="32"/>
    </row>
    <row r="489" spans="1:1" ht="12.75" customHeight="1" x14ac:dyDescent="0.2">
      <c r="A489" s="32"/>
    </row>
    <row r="490" spans="1:1" ht="12.75" customHeight="1" x14ac:dyDescent="0.2">
      <c r="A490" s="32"/>
    </row>
    <row r="491" spans="1:1" ht="12.75" customHeight="1" x14ac:dyDescent="0.2">
      <c r="A491" s="32"/>
    </row>
    <row r="492" spans="1:1" ht="12.75" customHeight="1" x14ac:dyDescent="0.2">
      <c r="A492" s="32"/>
    </row>
    <row r="493" spans="1:1" ht="12.75" customHeight="1" x14ac:dyDescent="0.2">
      <c r="A493" s="32"/>
    </row>
    <row r="494" spans="1:1" ht="12.75" customHeight="1" x14ac:dyDescent="0.2">
      <c r="A494" s="32"/>
    </row>
    <row r="495" spans="1:1" ht="12.75" customHeight="1" x14ac:dyDescent="0.2">
      <c r="A495" s="32"/>
    </row>
    <row r="496" spans="1:1" ht="12.75" customHeight="1" x14ac:dyDescent="0.2">
      <c r="A496" s="32"/>
    </row>
    <row r="497" spans="1:1" ht="12.75" customHeight="1" x14ac:dyDescent="0.2">
      <c r="A497" s="32"/>
    </row>
    <row r="498" spans="1:1" ht="12.75" customHeight="1" x14ac:dyDescent="0.2">
      <c r="A498" s="32"/>
    </row>
    <row r="499" spans="1:1" ht="12.75" customHeight="1" x14ac:dyDescent="0.2">
      <c r="A499" s="32"/>
    </row>
    <row r="500" spans="1:1" ht="12.75" customHeight="1" x14ac:dyDescent="0.2">
      <c r="A500" s="32"/>
    </row>
    <row r="501" spans="1:1" ht="12.75" customHeight="1" x14ac:dyDescent="0.2">
      <c r="A501" s="32"/>
    </row>
    <row r="502" spans="1:1" ht="12.75" customHeight="1" x14ac:dyDescent="0.2">
      <c r="A502" s="32"/>
    </row>
    <row r="503" spans="1:1" ht="12.75" customHeight="1" x14ac:dyDescent="0.2">
      <c r="A503" s="32"/>
    </row>
    <row r="504" spans="1:1" ht="12.75" customHeight="1" x14ac:dyDescent="0.2">
      <c r="A504" s="32"/>
    </row>
    <row r="505" spans="1:1" ht="12.75" customHeight="1" x14ac:dyDescent="0.2">
      <c r="A505" s="32"/>
    </row>
    <row r="506" spans="1:1" ht="12.75" customHeight="1" x14ac:dyDescent="0.2">
      <c r="A506" s="32"/>
    </row>
    <row r="507" spans="1:1" ht="12.75" customHeight="1" x14ac:dyDescent="0.2">
      <c r="A507" s="32"/>
    </row>
    <row r="508" spans="1:1" ht="12.75" customHeight="1" x14ac:dyDescent="0.2">
      <c r="A508" s="32"/>
    </row>
    <row r="509" spans="1:1" ht="12.75" customHeight="1" x14ac:dyDescent="0.2">
      <c r="A509" s="32"/>
    </row>
    <row r="510" spans="1:1" ht="12.75" customHeight="1" x14ac:dyDescent="0.2">
      <c r="A510" s="32"/>
    </row>
    <row r="511" spans="1:1" ht="12.75" customHeight="1" x14ac:dyDescent="0.2">
      <c r="A511" s="32"/>
    </row>
    <row r="512" spans="1:1" ht="12.75" customHeight="1" x14ac:dyDescent="0.2">
      <c r="A512" s="32"/>
    </row>
    <row r="513" spans="1:1" ht="12.75" customHeight="1" x14ac:dyDescent="0.2">
      <c r="A513" s="32"/>
    </row>
    <row r="514" spans="1:1" ht="12.75" customHeight="1" x14ac:dyDescent="0.2">
      <c r="A514" s="32"/>
    </row>
    <row r="515" spans="1:1" ht="12.75" customHeight="1" x14ac:dyDescent="0.2">
      <c r="A515" s="32"/>
    </row>
    <row r="516" spans="1:1" ht="12.75" customHeight="1" x14ac:dyDescent="0.2">
      <c r="A516" s="32"/>
    </row>
    <row r="517" spans="1:1" ht="12.75" customHeight="1" x14ac:dyDescent="0.2">
      <c r="A517" s="32"/>
    </row>
    <row r="518" spans="1:1" ht="12.75" customHeight="1" x14ac:dyDescent="0.2">
      <c r="A518" s="32"/>
    </row>
    <row r="519" spans="1:1" ht="12.75" customHeight="1" x14ac:dyDescent="0.2">
      <c r="A519" s="32"/>
    </row>
    <row r="520" spans="1:1" ht="12.75" customHeight="1" x14ac:dyDescent="0.2">
      <c r="A520" s="32"/>
    </row>
    <row r="521" spans="1:1" ht="12.75" customHeight="1" x14ac:dyDescent="0.2">
      <c r="A521" s="32"/>
    </row>
    <row r="522" spans="1:1" ht="12.75" customHeight="1" x14ac:dyDescent="0.2">
      <c r="A522" s="32"/>
    </row>
    <row r="523" spans="1:1" ht="12.75" customHeight="1" x14ac:dyDescent="0.2">
      <c r="A523" s="32"/>
    </row>
    <row r="524" spans="1:1" ht="12.75" customHeight="1" x14ac:dyDescent="0.2">
      <c r="A524" s="32"/>
    </row>
    <row r="525" spans="1:1" ht="12.75" customHeight="1" x14ac:dyDescent="0.2">
      <c r="A525" s="32"/>
    </row>
    <row r="526" spans="1:1" ht="12.75" customHeight="1" x14ac:dyDescent="0.2">
      <c r="A526" s="32"/>
    </row>
    <row r="527" spans="1:1" ht="12.75" customHeight="1" x14ac:dyDescent="0.2">
      <c r="A527" s="32"/>
    </row>
    <row r="528" spans="1:1" ht="12.75" customHeight="1" x14ac:dyDescent="0.2">
      <c r="A528" s="32"/>
    </row>
    <row r="529" spans="1:1" ht="12.75" customHeight="1" x14ac:dyDescent="0.2">
      <c r="A529" s="32"/>
    </row>
    <row r="530" spans="1:1" ht="12.75" customHeight="1" x14ac:dyDescent="0.2">
      <c r="A530" s="32"/>
    </row>
    <row r="531" spans="1:1" ht="12.75" customHeight="1" x14ac:dyDescent="0.2">
      <c r="A531" s="32"/>
    </row>
    <row r="532" spans="1:1" ht="12.75" customHeight="1" x14ac:dyDescent="0.2">
      <c r="A532" s="32"/>
    </row>
    <row r="533" spans="1:1" ht="12.75" customHeight="1" x14ac:dyDescent="0.2">
      <c r="A533" s="32"/>
    </row>
    <row r="534" spans="1:1" ht="12.75" customHeight="1" x14ac:dyDescent="0.2">
      <c r="A534" s="32"/>
    </row>
    <row r="535" spans="1:1" ht="12.75" customHeight="1" x14ac:dyDescent="0.2">
      <c r="A535" s="32"/>
    </row>
    <row r="536" spans="1:1" ht="12.75" customHeight="1" x14ac:dyDescent="0.2">
      <c r="A536" s="32"/>
    </row>
    <row r="537" spans="1:1" ht="12.75" customHeight="1" x14ac:dyDescent="0.2">
      <c r="A537" s="32"/>
    </row>
    <row r="538" spans="1:1" ht="12.75" customHeight="1" x14ac:dyDescent="0.2">
      <c r="A538" s="32"/>
    </row>
    <row r="539" spans="1:1" ht="12.75" customHeight="1" x14ac:dyDescent="0.2">
      <c r="A539" s="32"/>
    </row>
    <row r="540" spans="1:1" ht="12.75" customHeight="1" x14ac:dyDescent="0.2">
      <c r="A540" s="32"/>
    </row>
    <row r="541" spans="1:1" ht="12.75" customHeight="1" x14ac:dyDescent="0.2">
      <c r="A541" s="32"/>
    </row>
    <row r="542" spans="1:1" ht="12.75" customHeight="1" x14ac:dyDescent="0.2">
      <c r="A542" s="32"/>
    </row>
    <row r="543" spans="1:1" ht="12.75" customHeight="1" x14ac:dyDescent="0.2">
      <c r="A543" s="32"/>
    </row>
    <row r="544" spans="1:1" ht="12.75" customHeight="1" x14ac:dyDescent="0.2">
      <c r="A544" s="32"/>
    </row>
    <row r="545" spans="1:1" ht="12.75" customHeight="1" x14ac:dyDescent="0.2">
      <c r="A545" s="32"/>
    </row>
    <row r="546" spans="1:1" ht="12.75" customHeight="1" x14ac:dyDescent="0.2">
      <c r="A546" s="32"/>
    </row>
    <row r="547" spans="1:1" ht="12.75" customHeight="1" x14ac:dyDescent="0.2">
      <c r="A547" s="32"/>
    </row>
    <row r="548" spans="1:1" ht="12.75" customHeight="1" x14ac:dyDescent="0.2">
      <c r="A548" s="32"/>
    </row>
    <row r="549" spans="1:1" ht="12.75" customHeight="1" x14ac:dyDescent="0.2">
      <c r="A549" s="32"/>
    </row>
    <row r="550" spans="1:1" ht="12.75" customHeight="1" x14ac:dyDescent="0.2">
      <c r="A550" s="32"/>
    </row>
    <row r="551" spans="1:1" ht="12.75" customHeight="1" x14ac:dyDescent="0.2">
      <c r="A551" s="32"/>
    </row>
    <row r="552" spans="1:1" ht="12.75" customHeight="1" x14ac:dyDescent="0.2">
      <c r="A552" s="32"/>
    </row>
    <row r="553" spans="1:1" ht="12.75" customHeight="1" x14ac:dyDescent="0.2">
      <c r="A553" s="32"/>
    </row>
    <row r="554" spans="1:1" ht="12.75" customHeight="1" x14ac:dyDescent="0.2">
      <c r="A554" s="32"/>
    </row>
    <row r="555" spans="1:1" ht="12.75" customHeight="1" x14ac:dyDescent="0.2">
      <c r="A555" s="32"/>
    </row>
    <row r="556" spans="1:1" ht="12.75" customHeight="1" x14ac:dyDescent="0.2">
      <c r="A556" s="32"/>
    </row>
    <row r="557" spans="1:1" ht="12.75" customHeight="1" x14ac:dyDescent="0.2">
      <c r="A557" s="32"/>
    </row>
    <row r="558" spans="1:1" ht="12.75" customHeight="1" x14ac:dyDescent="0.2">
      <c r="A558" s="32"/>
    </row>
    <row r="559" spans="1:1" ht="12.75" customHeight="1" x14ac:dyDescent="0.2">
      <c r="A559" s="32"/>
    </row>
    <row r="560" spans="1:1" ht="12.75" customHeight="1" x14ac:dyDescent="0.2">
      <c r="A560" s="32"/>
    </row>
    <row r="561" spans="1:1" ht="12.75" customHeight="1" x14ac:dyDescent="0.2">
      <c r="A561" s="32"/>
    </row>
    <row r="562" spans="1:1" ht="12.75" customHeight="1" x14ac:dyDescent="0.2">
      <c r="A562" s="32"/>
    </row>
    <row r="563" spans="1:1" ht="12.75" customHeight="1" x14ac:dyDescent="0.2">
      <c r="A563" s="32"/>
    </row>
    <row r="564" spans="1:1" ht="12.75" customHeight="1" x14ac:dyDescent="0.2">
      <c r="A564" s="32"/>
    </row>
    <row r="565" spans="1:1" ht="12.75" customHeight="1" x14ac:dyDescent="0.2">
      <c r="A565" s="32"/>
    </row>
    <row r="566" spans="1:1" ht="12.75" customHeight="1" x14ac:dyDescent="0.2">
      <c r="A566" s="32"/>
    </row>
    <row r="567" spans="1:1" ht="12.75" customHeight="1" x14ac:dyDescent="0.2">
      <c r="A567" s="32"/>
    </row>
    <row r="568" spans="1:1" ht="12.75" customHeight="1" x14ac:dyDescent="0.2">
      <c r="A568" s="32"/>
    </row>
    <row r="569" spans="1:1" ht="12.75" customHeight="1" x14ac:dyDescent="0.2">
      <c r="A569" s="32"/>
    </row>
    <row r="570" spans="1:1" ht="12.75" customHeight="1" x14ac:dyDescent="0.2">
      <c r="A570" s="32"/>
    </row>
    <row r="571" spans="1:1" ht="12.75" customHeight="1" x14ac:dyDescent="0.2">
      <c r="A571" s="32"/>
    </row>
    <row r="572" spans="1:1" ht="12.75" customHeight="1" x14ac:dyDescent="0.2">
      <c r="A572" s="32"/>
    </row>
    <row r="573" spans="1:1" ht="12.75" customHeight="1" x14ac:dyDescent="0.2">
      <c r="A573" s="32"/>
    </row>
    <row r="574" spans="1:1" ht="12.75" customHeight="1" x14ac:dyDescent="0.2">
      <c r="A574" s="32"/>
    </row>
    <row r="575" spans="1:1" ht="12.75" customHeight="1" x14ac:dyDescent="0.2">
      <c r="A575" s="32"/>
    </row>
    <row r="576" spans="1:1" ht="12.75" customHeight="1" x14ac:dyDescent="0.2">
      <c r="A576" s="32"/>
    </row>
    <row r="577" spans="1:1" ht="12.75" customHeight="1" x14ac:dyDescent="0.2">
      <c r="A577" s="32"/>
    </row>
    <row r="578" spans="1:1" ht="12.75" customHeight="1" x14ac:dyDescent="0.2">
      <c r="A578" s="32"/>
    </row>
    <row r="579" spans="1:1" ht="12.75" customHeight="1" x14ac:dyDescent="0.2">
      <c r="A579" s="32"/>
    </row>
    <row r="580" spans="1:1" ht="12.75" customHeight="1" x14ac:dyDescent="0.2">
      <c r="A580" s="32"/>
    </row>
    <row r="581" spans="1:1" ht="12.75" customHeight="1" x14ac:dyDescent="0.2">
      <c r="A581" s="32"/>
    </row>
    <row r="582" spans="1:1" ht="12.75" customHeight="1" x14ac:dyDescent="0.2">
      <c r="A582" s="32"/>
    </row>
    <row r="583" spans="1:1" ht="12.75" customHeight="1" x14ac:dyDescent="0.2">
      <c r="A583" s="32"/>
    </row>
    <row r="584" spans="1:1" ht="12.75" customHeight="1" x14ac:dyDescent="0.2">
      <c r="A584" s="32"/>
    </row>
    <row r="585" spans="1:1" ht="12.75" customHeight="1" x14ac:dyDescent="0.2">
      <c r="A585" s="32"/>
    </row>
    <row r="586" spans="1:1" ht="12.75" customHeight="1" x14ac:dyDescent="0.2">
      <c r="A586" s="32"/>
    </row>
    <row r="587" spans="1:1" ht="12.75" customHeight="1" x14ac:dyDescent="0.2">
      <c r="A587" s="32"/>
    </row>
    <row r="588" spans="1:1" ht="12.75" customHeight="1" x14ac:dyDescent="0.2">
      <c r="A588" s="32"/>
    </row>
    <row r="589" spans="1:1" ht="12.75" customHeight="1" x14ac:dyDescent="0.2">
      <c r="A589" s="32"/>
    </row>
    <row r="590" spans="1:1" ht="12.75" customHeight="1" x14ac:dyDescent="0.2">
      <c r="A590" s="32"/>
    </row>
    <row r="591" spans="1:1" ht="12.75" customHeight="1" x14ac:dyDescent="0.2">
      <c r="A591" s="32"/>
    </row>
    <row r="592" spans="1:1" ht="12.75" customHeight="1" x14ac:dyDescent="0.2">
      <c r="A592" s="32"/>
    </row>
    <row r="593" spans="1:1" ht="12.75" customHeight="1" x14ac:dyDescent="0.2">
      <c r="A593" s="32"/>
    </row>
    <row r="594" spans="1:1" ht="12.75" customHeight="1" x14ac:dyDescent="0.2">
      <c r="A594" s="32"/>
    </row>
    <row r="595" spans="1:1" ht="12.75" customHeight="1" x14ac:dyDescent="0.2">
      <c r="A595" s="32"/>
    </row>
    <row r="596" spans="1:1" ht="12.75" customHeight="1" x14ac:dyDescent="0.2">
      <c r="A596" s="32"/>
    </row>
    <row r="597" spans="1:1" ht="12.75" customHeight="1" x14ac:dyDescent="0.2">
      <c r="A597" s="32"/>
    </row>
    <row r="598" spans="1:1" ht="12.75" customHeight="1" x14ac:dyDescent="0.2">
      <c r="A598" s="32"/>
    </row>
    <row r="599" spans="1:1" ht="12.75" customHeight="1" x14ac:dyDescent="0.2">
      <c r="A599" s="32"/>
    </row>
    <row r="600" spans="1:1" ht="12.75" customHeight="1" x14ac:dyDescent="0.2">
      <c r="A600" s="32"/>
    </row>
    <row r="601" spans="1:1" ht="12.75" customHeight="1" x14ac:dyDescent="0.2">
      <c r="A601" s="32"/>
    </row>
    <row r="602" spans="1:1" ht="12.75" customHeight="1" x14ac:dyDescent="0.2">
      <c r="A602" s="32"/>
    </row>
    <row r="603" spans="1:1" ht="12.75" customHeight="1" x14ac:dyDescent="0.2">
      <c r="A603" s="32"/>
    </row>
    <row r="604" spans="1:1" ht="12.75" customHeight="1" x14ac:dyDescent="0.2">
      <c r="A604" s="32"/>
    </row>
    <row r="605" spans="1:1" ht="12.75" customHeight="1" x14ac:dyDescent="0.2">
      <c r="A605" s="32"/>
    </row>
    <row r="606" spans="1:1" ht="12.75" customHeight="1" x14ac:dyDescent="0.2">
      <c r="A606" s="32"/>
    </row>
    <row r="607" spans="1:1" ht="12.75" customHeight="1" x14ac:dyDescent="0.2">
      <c r="A607" s="32"/>
    </row>
    <row r="608" spans="1:1" ht="12.75" customHeight="1" x14ac:dyDescent="0.2">
      <c r="A608" s="32"/>
    </row>
    <row r="609" spans="1:1" ht="12.75" customHeight="1" x14ac:dyDescent="0.2">
      <c r="A609" s="32"/>
    </row>
    <row r="610" spans="1:1" ht="12.75" customHeight="1" x14ac:dyDescent="0.2">
      <c r="A610" s="32"/>
    </row>
    <row r="611" spans="1:1" ht="12.75" customHeight="1" x14ac:dyDescent="0.2">
      <c r="A611" s="32"/>
    </row>
    <row r="612" spans="1:1" ht="12.75" customHeight="1" x14ac:dyDescent="0.2">
      <c r="A612" s="32"/>
    </row>
    <row r="613" spans="1:1" ht="12.75" customHeight="1" x14ac:dyDescent="0.2">
      <c r="A613" s="32"/>
    </row>
    <row r="614" spans="1:1" ht="12.75" customHeight="1" x14ac:dyDescent="0.2">
      <c r="A614" s="32"/>
    </row>
    <row r="615" spans="1:1" ht="12.75" customHeight="1" x14ac:dyDescent="0.2">
      <c r="A615" s="32"/>
    </row>
    <row r="616" spans="1:1" ht="12.75" customHeight="1" x14ac:dyDescent="0.2">
      <c r="A616" s="32"/>
    </row>
    <row r="617" spans="1:1" ht="12.75" customHeight="1" x14ac:dyDescent="0.2">
      <c r="A617" s="32"/>
    </row>
    <row r="618" spans="1:1" ht="12.75" customHeight="1" x14ac:dyDescent="0.2">
      <c r="A618" s="32"/>
    </row>
    <row r="619" spans="1:1" ht="12.75" customHeight="1" x14ac:dyDescent="0.2">
      <c r="A619" s="32"/>
    </row>
    <row r="620" spans="1:1" ht="12.75" customHeight="1" x14ac:dyDescent="0.2">
      <c r="A620" s="32"/>
    </row>
    <row r="621" spans="1:1" ht="12.75" customHeight="1" x14ac:dyDescent="0.2">
      <c r="A621" s="32"/>
    </row>
    <row r="622" spans="1:1" ht="12.75" customHeight="1" x14ac:dyDescent="0.2">
      <c r="A622" s="32"/>
    </row>
    <row r="623" spans="1:1" ht="12.75" customHeight="1" x14ac:dyDescent="0.2">
      <c r="A623" s="32"/>
    </row>
    <row r="624" spans="1:1" ht="12.75" customHeight="1" x14ac:dyDescent="0.2">
      <c r="A624" s="32"/>
    </row>
    <row r="625" spans="1:1" ht="12.75" customHeight="1" x14ac:dyDescent="0.2">
      <c r="A625" s="32"/>
    </row>
    <row r="626" spans="1:1" ht="12.75" customHeight="1" x14ac:dyDescent="0.2">
      <c r="A626" s="32"/>
    </row>
    <row r="627" spans="1:1" ht="12.75" customHeight="1" x14ac:dyDescent="0.2">
      <c r="A627" s="32"/>
    </row>
    <row r="628" spans="1:1" ht="12.75" customHeight="1" x14ac:dyDescent="0.2">
      <c r="A628" s="32"/>
    </row>
    <row r="629" spans="1:1" ht="12.75" customHeight="1" x14ac:dyDescent="0.2">
      <c r="A629" s="32"/>
    </row>
    <row r="630" spans="1:1" ht="12.75" customHeight="1" x14ac:dyDescent="0.2">
      <c r="A630" s="32"/>
    </row>
    <row r="631" spans="1:1" ht="12.75" customHeight="1" x14ac:dyDescent="0.2">
      <c r="A631" s="32"/>
    </row>
    <row r="632" spans="1:1" ht="12.75" customHeight="1" x14ac:dyDescent="0.2">
      <c r="A632" s="32"/>
    </row>
    <row r="633" spans="1:1" ht="12.75" customHeight="1" x14ac:dyDescent="0.2">
      <c r="A633" s="32"/>
    </row>
    <row r="634" spans="1:1" ht="12.75" customHeight="1" x14ac:dyDescent="0.2">
      <c r="A634" s="32"/>
    </row>
    <row r="635" spans="1:1" ht="12.75" customHeight="1" x14ac:dyDescent="0.2">
      <c r="A635" s="32"/>
    </row>
    <row r="636" spans="1:1" ht="12.75" customHeight="1" x14ac:dyDescent="0.2">
      <c r="A636" s="32"/>
    </row>
    <row r="637" spans="1:1" ht="12.75" customHeight="1" x14ac:dyDescent="0.2">
      <c r="A637" s="32"/>
    </row>
    <row r="638" spans="1:1" ht="12.75" customHeight="1" x14ac:dyDescent="0.2">
      <c r="A638" s="32"/>
    </row>
    <row r="639" spans="1:1" ht="12.75" customHeight="1" x14ac:dyDescent="0.2">
      <c r="A639" s="32"/>
    </row>
    <row r="640" spans="1:1" ht="12.75" customHeight="1" x14ac:dyDescent="0.2">
      <c r="A640" s="32"/>
    </row>
    <row r="641" spans="1:1" ht="12.75" customHeight="1" x14ac:dyDescent="0.2">
      <c r="A641" s="32"/>
    </row>
    <row r="642" spans="1:1" ht="12.75" customHeight="1" x14ac:dyDescent="0.2">
      <c r="A642" s="32"/>
    </row>
    <row r="643" spans="1:1" ht="12.75" customHeight="1" x14ac:dyDescent="0.2">
      <c r="A643" s="32"/>
    </row>
    <row r="644" spans="1:1" ht="12.75" customHeight="1" x14ac:dyDescent="0.2">
      <c r="A644" s="32"/>
    </row>
    <row r="645" spans="1:1" ht="12.75" customHeight="1" x14ac:dyDescent="0.2">
      <c r="A645" s="32"/>
    </row>
    <row r="646" spans="1:1" ht="12.75" customHeight="1" x14ac:dyDescent="0.2">
      <c r="A646" s="32"/>
    </row>
    <row r="647" spans="1:1" ht="12.75" customHeight="1" x14ac:dyDescent="0.2">
      <c r="A647" s="32"/>
    </row>
    <row r="648" spans="1:1" ht="12.75" customHeight="1" x14ac:dyDescent="0.2">
      <c r="A648" s="32"/>
    </row>
    <row r="649" spans="1:1" ht="12.75" customHeight="1" x14ac:dyDescent="0.2">
      <c r="A649" s="32"/>
    </row>
    <row r="650" spans="1:1" ht="12.75" customHeight="1" x14ac:dyDescent="0.2">
      <c r="A650" s="32"/>
    </row>
    <row r="651" spans="1:1" ht="12.75" customHeight="1" x14ac:dyDescent="0.2">
      <c r="A651" s="32"/>
    </row>
    <row r="652" spans="1:1" ht="12.75" customHeight="1" x14ac:dyDescent="0.2">
      <c r="A652" s="32"/>
    </row>
    <row r="653" spans="1:1" ht="12.75" customHeight="1" x14ac:dyDescent="0.2">
      <c r="A653" s="32"/>
    </row>
    <row r="654" spans="1:1" ht="12.75" customHeight="1" x14ac:dyDescent="0.2">
      <c r="A654" s="32"/>
    </row>
    <row r="655" spans="1:1" ht="12.75" customHeight="1" x14ac:dyDescent="0.2">
      <c r="A655" s="32"/>
    </row>
    <row r="656" spans="1:1" ht="12.75" customHeight="1" x14ac:dyDescent="0.2">
      <c r="A656" s="32"/>
    </row>
    <row r="657" spans="1:1" ht="12.75" customHeight="1" x14ac:dyDescent="0.2">
      <c r="A657" s="32"/>
    </row>
    <row r="658" spans="1:1" ht="12.75" customHeight="1" x14ac:dyDescent="0.2">
      <c r="A658" s="32"/>
    </row>
    <row r="659" spans="1:1" ht="12.75" customHeight="1" x14ac:dyDescent="0.2">
      <c r="A659" s="32"/>
    </row>
    <row r="660" spans="1:1" ht="12.75" customHeight="1" x14ac:dyDescent="0.2">
      <c r="A660" s="32"/>
    </row>
    <row r="661" spans="1:1" ht="12.75" customHeight="1" x14ac:dyDescent="0.2">
      <c r="A661" s="32"/>
    </row>
    <row r="662" spans="1:1" ht="12.75" customHeight="1" x14ac:dyDescent="0.2">
      <c r="A662" s="32"/>
    </row>
    <row r="663" spans="1:1" ht="12.75" customHeight="1" x14ac:dyDescent="0.2">
      <c r="A663" s="32"/>
    </row>
    <row r="664" spans="1:1" ht="12.75" customHeight="1" x14ac:dyDescent="0.2">
      <c r="A664" s="32"/>
    </row>
    <row r="665" spans="1:1" ht="12.75" customHeight="1" x14ac:dyDescent="0.2">
      <c r="A665" s="32"/>
    </row>
    <row r="666" spans="1:1" ht="12.75" customHeight="1" x14ac:dyDescent="0.2">
      <c r="A666" s="32"/>
    </row>
    <row r="667" spans="1:1" ht="12.75" customHeight="1" x14ac:dyDescent="0.2">
      <c r="A667" s="32"/>
    </row>
    <row r="668" spans="1:1" ht="12.75" customHeight="1" x14ac:dyDescent="0.2">
      <c r="A668" s="32"/>
    </row>
    <row r="669" spans="1:1" ht="12.75" customHeight="1" x14ac:dyDescent="0.2">
      <c r="A669" s="32"/>
    </row>
    <row r="670" spans="1:1" ht="12.75" customHeight="1" x14ac:dyDescent="0.2">
      <c r="A670" s="32"/>
    </row>
    <row r="671" spans="1:1" ht="12.75" customHeight="1" x14ac:dyDescent="0.2">
      <c r="A671" s="32"/>
    </row>
    <row r="672" spans="1:1" ht="12.75" customHeight="1" x14ac:dyDescent="0.2">
      <c r="A672" s="32"/>
    </row>
    <row r="673" spans="1:1" ht="12.75" customHeight="1" x14ac:dyDescent="0.2">
      <c r="A673" s="32"/>
    </row>
    <row r="674" spans="1:1" ht="12.75" customHeight="1" x14ac:dyDescent="0.2">
      <c r="A674" s="32"/>
    </row>
    <row r="675" spans="1:1" ht="12.75" customHeight="1" x14ac:dyDescent="0.2">
      <c r="A675" s="32"/>
    </row>
    <row r="676" spans="1:1" ht="12.75" customHeight="1" x14ac:dyDescent="0.2">
      <c r="A676" s="32"/>
    </row>
    <row r="677" spans="1:1" ht="12.75" customHeight="1" x14ac:dyDescent="0.2">
      <c r="A677" s="32"/>
    </row>
    <row r="678" spans="1:1" ht="12.75" customHeight="1" x14ac:dyDescent="0.2">
      <c r="A678" s="32"/>
    </row>
    <row r="679" spans="1:1" ht="12.75" customHeight="1" x14ac:dyDescent="0.2">
      <c r="A679" s="32"/>
    </row>
    <row r="680" spans="1:1" ht="12.75" customHeight="1" x14ac:dyDescent="0.2">
      <c r="A680" s="32"/>
    </row>
    <row r="681" spans="1:1" ht="12.75" customHeight="1" x14ac:dyDescent="0.2">
      <c r="A681" s="32"/>
    </row>
    <row r="682" spans="1:1" ht="12.75" customHeight="1" x14ac:dyDescent="0.2">
      <c r="A682" s="32"/>
    </row>
    <row r="683" spans="1:1" ht="12.75" customHeight="1" x14ac:dyDescent="0.2">
      <c r="A683" s="32"/>
    </row>
    <row r="684" spans="1:1" ht="12.75" customHeight="1" x14ac:dyDescent="0.2">
      <c r="A684" s="32"/>
    </row>
    <row r="685" spans="1:1" ht="12.75" customHeight="1" x14ac:dyDescent="0.2">
      <c r="A685" s="32"/>
    </row>
    <row r="686" spans="1:1" ht="12.75" customHeight="1" x14ac:dyDescent="0.2">
      <c r="A686" s="32"/>
    </row>
    <row r="687" spans="1:1" ht="12.75" customHeight="1" x14ac:dyDescent="0.2">
      <c r="A687" s="32"/>
    </row>
    <row r="688" spans="1:1" ht="12.75" customHeight="1" x14ac:dyDescent="0.2">
      <c r="A688" s="32"/>
    </row>
    <row r="689" spans="1:1" ht="12.75" customHeight="1" x14ac:dyDescent="0.2">
      <c r="A689" s="32"/>
    </row>
    <row r="690" spans="1:1" ht="12.75" customHeight="1" x14ac:dyDescent="0.2">
      <c r="A690" s="32"/>
    </row>
    <row r="691" spans="1:1" ht="12.75" customHeight="1" x14ac:dyDescent="0.2">
      <c r="A691" s="32"/>
    </row>
    <row r="692" spans="1:1" ht="12.75" customHeight="1" x14ac:dyDescent="0.2">
      <c r="A692" s="32"/>
    </row>
    <row r="693" spans="1:1" ht="12.75" customHeight="1" x14ac:dyDescent="0.2">
      <c r="A693" s="32"/>
    </row>
    <row r="694" spans="1:1" ht="12.75" customHeight="1" x14ac:dyDescent="0.2">
      <c r="A694" s="32"/>
    </row>
    <row r="695" spans="1:1" ht="12.75" customHeight="1" x14ac:dyDescent="0.2">
      <c r="A695" s="32"/>
    </row>
    <row r="696" spans="1:1" ht="12.75" customHeight="1" x14ac:dyDescent="0.2">
      <c r="A696" s="32"/>
    </row>
    <row r="697" spans="1:1" ht="12.75" customHeight="1" x14ac:dyDescent="0.2">
      <c r="A697" s="32"/>
    </row>
    <row r="698" spans="1:1" ht="12.75" customHeight="1" x14ac:dyDescent="0.2">
      <c r="A698" s="32"/>
    </row>
    <row r="699" spans="1:1" ht="12.75" customHeight="1" x14ac:dyDescent="0.2">
      <c r="A699" s="32"/>
    </row>
    <row r="700" spans="1:1" ht="12.75" customHeight="1" x14ac:dyDescent="0.2">
      <c r="A700" s="32"/>
    </row>
    <row r="701" spans="1:1" ht="12.75" customHeight="1" x14ac:dyDescent="0.2">
      <c r="A701" s="32"/>
    </row>
    <row r="702" spans="1:1" ht="12.75" customHeight="1" x14ac:dyDescent="0.2">
      <c r="A702" s="32"/>
    </row>
    <row r="703" spans="1:1" ht="12.75" customHeight="1" x14ac:dyDescent="0.2">
      <c r="A703" s="32"/>
    </row>
    <row r="704" spans="1:1" ht="12.75" customHeight="1" x14ac:dyDescent="0.2">
      <c r="A704" s="32"/>
    </row>
    <row r="705" spans="1:1" ht="12.75" customHeight="1" x14ac:dyDescent="0.2">
      <c r="A705" s="32"/>
    </row>
    <row r="706" spans="1:1" ht="12.75" customHeight="1" x14ac:dyDescent="0.2">
      <c r="A706" s="32"/>
    </row>
    <row r="707" spans="1:1" ht="12.75" customHeight="1" x14ac:dyDescent="0.2">
      <c r="A707" s="32"/>
    </row>
    <row r="708" spans="1:1" ht="12.75" customHeight="1" x14ac:dyDescent="0.2">
      <c r="A708" s="32"/>
    </row>
    <row r="709" spans="1:1" ht="12.75" customHeight="1" x14ac:dyDescent="0.2">
      <c r="A709" s="32"/>
    </row>
    <row r="710" spans="1:1" ht="12.75" customHeight="1" x14ac:dyDescent="0.2">
      <c r="A710" s="32"/>
    </row>
    <row r="711" spans="1:1" ht="12.75" customHeight="1" x14ac:dyDescent="0.2">
      <c r="A711" s="32"/>
    </row>
    <row r="712" spans="1:1" ht="12.75" customHeight="1" x14ac:dyDescent="0.2">
      <c r="A712" s="32"/>
    </row>
    <row r="713" spans="1:1" ht="12.75" customHeight="1" x14ac:dyDescent="0.2">
      <c r="A713" s="32"/>
    </row>
    <row r="714" spans="1:1" ht="12.75" customHeight="1" x14ac:dyDescent="0.2">
      <c r="A714" s="32"/>
    </row>
    <row r="715" spans="1:1" ht="12.75" customHeight="1" x14ac:dyDescent="0.2">
      <c r="A715" s="32"/>
    </row>
    <row r="716" spans="1:1" ht="12.75" customHeight="1" x14ac:dyDescent="0.2">
      <c r="A716" s="32"/>
    </row>
    <row r="717" spans="1:1" ht="12.75" customHeight="1" x14ac:dyDescent="0.2">
      <c r="A717" s="32"/>
    </row>
    <row r="718" spans="1:1" ht="12.75" customHeight="1" x14ac:dyDescent="0.2">
      <c r="A718" s="32"/>
    </row>
    <row r="719" spans="1:1" ht="12.75" customHeight="1" x14ac:dyDescent="0.2">
      <c r="A719" s="32"/>
    </row>
    <row r="720" spans="1:1" ht="12.75" customHeight="1" x14ac:dyDescent="0.2">
      <c r="A720" s="32"/>
    </row>
    <row r="721" spans="1:1" ht="12.75" customHeight="1" x14ac:dyDescent="0.2">
      <c r="A721" s="32"/>
    </row>
    <row r="722" spans="1:1" ht="12.75" customHeight="1" x14ac:dyDescent="0.2">
      <c r="A722" s="32"/>
    </row>
    <row r="723" spans="1:1" ht="12.75" customHeight="1" x14ac:dyDescent="0.2">
      <c r="A723" s="32"/>
    </row>
    <row r="724" spans="1:1" ht="12.75" customHeight="1" x14ac:dyDescent="0.2">
      <c r="A724" s="32"/>
    </row>
    <row r="725" spans="1:1" ht="12.75" customHeight="1" x14ac:dyDescent="0.2">
      <c r="A725" s="32"/>
    </row>
    <row r="726" spans="1:1" ht="12.75" customHeight="1" x14ac:dyDescent="0.2">
      <c r="A726" s="32"/>
    </row>
    <row r="727" spans="1:1" ht="12.75" customHeight="1" x14ac:dyDescent="0.2">
      <c r="A727" s="32"/>
    </row>
    <row r="728" spans="1:1" ht="12.75" customHeight="1" x14ac:dyDescent="0.2">
      <c r="A728" s="32"/>
    </row>
    <row r="729" spans="1:1" ht="12.75" customHeight="1" x14ac:dyDescent="0.2">
      <c r="A729" s="32"/>
    </row>
    <row r="730" spans="1:1" ht="12.75" customHeight="1" x14ac:dyDescent="0.2">
      <c r="A730" s="32"/>
    </row>
    <row r="731" spans="1:1" ht="12.75" customHeight="1" x14ac:dyDescent="0.2">
      <c r="A731" s="32"/>
    </row>
    <row r="732" spans="1:1" ht="12.75" customHeight="1" x14ac:dyDescent="0.2">
      <c r="A732" s="32"/>
    </row>
    <row r="733" spans="1:1" ht="12.75" customHeight="1" x14ac:dyDescent="0.2">
      <c r="A733" s="32"/>
    </row>
    <row r="734" spans="1:1" ht="12.75" customHeight="1" x14ac:dyDescent="0.2">
      <c r="A734" s="32"/>
    </row>
    <row r="735" spans="1:1" ht="12.75" customHeight="1" x14ac:dyDescent="0.2">
      <c r="A735" s="32"/>
    </row>
    <row r="736" spans="1:1" ht="12.75" customHeight="1" x14ac:dyDescent="0.2">
      <c r="A736" s="32"/>
    </row>
    <row r="737" spans="1:1" ht="12.75" customHeight="1" x14ac:dyDescent="0.2">
      <c r="A737" s="32"/>
    </row>
    <row r="738" spans="1:1" ht="12.75" customHeight="1" x14ac:dyDescent="0.2">
      <c r="A738" s="32"/>
    </row>
    <row r="739" spans="1:1" ht="12.75" customHeight="1" x14ac:dyDescent="0.2">
      <c r="A739" s="32"/>
    </row>
    <row r="740" spans="1:1" ht="12.75" customHeight="1" x14ac:dyDescent="0.2">
      <c r="A740" s="32"/>
    </row>
    <row r="741" spans="1:1" ht="12.75" customHeight="1" x14ac:dyDescent="0.2">
      <c r="A741" s="32"/>
    </row>
    <row r="742" spans="1:1" ht="12.75" customHeight="1" x14ac:dyDescent="0.2">
      <c r="A742" s="32"/>
    </row>
    <row r="743" spans="1:1" ht="12.75" customHeight="1" x14ac:dyDescent="0.2">
      <c r="A743" s="32"/>
    </row>
    <row r="744" spans="1:1" ht="12.75" customHeight="1" x14ac:dyDescent="0.2">
      <c r="A744" s="32"/>
    </row>
    <row r="745" spans="1:1" ht="12.75" customHeight="1" x14ac:dyDescent="0.2">
      <c r="A745" s="32"/>
    </row>
    <row r="746" spans="1:1" ht="12.75" customHeight="1" x14ac:dyDescent="0.2">
      <c r="A746" s="32"/>
    </row>
    <row r="747" spans="1:1" ht="12.75" customHeight="1" x14ac:dyDescent="0.2">
      <c r="A747" s="32"/>
    </row>
    <row r="748" spans="1:1" ht="12.75" customHeight="1" x14ac:dyDescent="0.2">
      <c r="A748" s="32"/>
    </row>
    <row r="749" spans="1:1" ht="12.75" customHeight="1" x14ac:dyDescent="0.2">
      <c r="A749" s="32"/>
    </row>
    <row r="750" spans="1:1" ht="12.75" customHeight="1" x14ac:dyDescent="0.2">
      <c r="A750" s="32"/>
    </row>
    <row r="751" spans="1:1" ht="12.75" customHeight="1" x14ac:dyDescent="0.2">
      <c r="A751" s="32"/>
    </row>
    <row r="752" spans="1:1" ht="12.75" customHeight="1" x14ac:dyDescent="0.2">
      <c r="A752" s="32"/>
    </row>
    <row r="753" spans="1:1" ht="12.75" customHeight="1" x14ac:dyDescent="0.2">
      <c r="A753" s="32"/>
    </row>
    <row r="754" spans="1:1" ht="12.75" customHeight="1" x14ac:dyDescent="0.2">
      <c r="A754" s="32"/>
    </row>
    <row r="755" spans="1:1" ht="12.75" customHeight="1" x14ac:dyDescent="0.2">
      <c r="A755" s="32"/>
    </row>
    <row r="756" spans="1:1" ht="12.75" customHeight="1" x14ac:dyDescent="0.2">
      <c r="A756" s="32"/>
    </row>
    <row r="757" spans="1:1" ht="12.75" customHeight="1" x14ac:dyDescent="0.2">
      <c r="A757" s="32"/>
    </row>
    <row r="758" spans="1:1" ht="12.75" customHeight="1" x14ac:dyDescent="0.2">
      <c r="A758" s="32"/>
    </row>
    <row r="759" spans="1:1" ht="12.75" customHeight="1" x14ac:dyDescent="0.2">
      <c r="A759" s="32"/>
    </row>
    <row r="760" spans="1:1" ht="12.75" customHeight="1" x14ac:dyDescent="0.2">
      <c r="A760" s="32"/>
    </row>
    <row r="761" spans="1:1" ht="12.75" customHeight="1" x14ac:dyDescent="0.2">
      <c r="A761" s="32"/>
    </row>
    <row r="762" spans="1:1" ht="12.75" customHeight="1" x14ac:dyDescent="0.2">
      <c r="A762" s="32"/>
    </row>
    <row r="763" spans="1:1" ht="12.75" customHeight="1" x14ac:dyDescent="0.2">
      <c r="A763" s="32"/>
    </row>
    <row r="764" spans="1:1" ht="12.75" customHeight="1" x14ac:dyDescent="0.2">
      <c r="A764" s="32"/>
    </row>
    <row r="765" spans="1:1" ht="12.75" customHeight="1" x14ac:dyDescent="0.2">
      <c r="A765" s="32"/>
    </row>
    <row r="766" spans="1:1" ht="12.75" customHeight="1" x14ac:dyDescent="0.2">
      <c r="A766" s="32"/>
    </row>
    <row r="767" spans="1:1" ht="12.75" customHeight="1" x14ac:dyDescent="0.2">
      <c r="A767" s="32"/>
    </row>
    <row r="768" spans="1:1" ht="12.75" customHeight="1" x14ac:dyDescent="0.2">
      <c r="A768" s="32"/>
    </row>
    <row r="769" spans="1:1" ht="12.75" customHeight="1" x14ac:dyDescent="0.2">
      <c r="A769" s="32"/>
    </row>
    <row r="770" spans="1:1" ht="12.75" customHeight="1" x14ac:dyDescent="0.2">
      <c r="A770" s="32"/>
    </row>
    <row r="771" spans="1:1" ht="12.75" customHeight="1" x14ac:dyDescent="0.2">
      <c r="A771" s="32"/>
    </row>
    <row r="772" spans="1:1" ht="12.75" customHeight="1" x14ac:dyDescent="0.2">
      <c r="A772" s="32"/>
    </row>
    <row r="773" spans="1:1" ht="12.75" customHeight="1" x14ac:dyDescent="0.2">
      <c r="A773" s="32"/>
    </row>
    <row r="774" spans="1:1" ht="12.75" customHeight="1" x14ac:dyDescent="0.2">
      <c r="A774" s="32"/>
    </row>
    <row r="775" spans="1:1" ht="12.75" customHeight="1" x14ac:dyDescent="0.2">
      <c r="A775" s="32"/>
    </row>
    <row r="776" spans="1:1" ht="12.75" customHeight="1" x14ac:dyDescent="0.2">
      <c r="A776" s="32"/>
    </row>
    <row r="777" spans="1:1" ht="12.75" customHeight="1" x14ac:dyDescent="0.2">
      <c r="A777" s="32"/>
    </row>
    <row r="778" spans="1:1" ht="12.75" customHeight="1" x14ac:dyDescent="0.2">
      <c r="A778" s="32"/>
    </row>
    <row r="779" spans="1:1" ht="12.75" customHeight="1" x14ac:dyDescent="0.2">
      <c r="A779" s="32"/>
    </row>
    <row r="780" spans="1:1" ht="12.75" customHeight="1" x14ac:dyDescent="0.2">
      <c r="A780" s="32"/>
    </row>
    <row r="781" spans="1:1" ht="12.75" customHeight="1" x14ac:dyDescent="0.2">
      <c r="A781" s="32"/>
    </row>
    <row r="782" spans="1:1" ht="12.75" customHeight="1" x14ac:dyDescent="0.2">
      <c r="A782" s="32"/>
    </row>
    <row r="783" spans="1:1" ht="12.75" customHeight="1" x14ac:dyDescent="0.2">
      <c r="A783" s="32"/>
    </row>
    <row r="784" spans="1:1" ht="12.75" customHeight="1" x14ac:dyDescent="0.2">
      <c r="A784" s="32"/>
    </row>
    <row r="785" spans="1:1" ht="12.75" customHeight="1" x14ac:dyDescent="0.2">
      <c r="A785" s="32"/>
    </row>
    <row r="786" spans="1:1" ht="12.75" customHeight="1" x14ac:dyDescent="0.2">
      <c r="A786" s="32"/>
    </row>
    <row r="787" spans="1:1" ht="12.75" customHeight="1" x14ac:dyDescent="0.2">
      <c r="A787" s="32"/>
    </row>
    <row r="788" spans="1:1" ht="12.75" customHeight="1" x14ac:dyDescent="0.2">
      <c r="A788" s="32"/>
    </row>
    <row r="789" spans="1:1" ht="12.75" customHeight="1" x14ac:dyDescent="0.2">
      <c r="A789" s="32"/>
    </row>
    <row r="790" spans="1:1" ht="12.75" customHeight="1" x14ac:dyDescent="0.2">
      <c r="A790" s="32"/>
    </row>
    <row r="791" spans="1:1" ht="12.75" customHeight="1" x14ac:dyDescent="0.2">
      <c r="A791" s="32"/>
    </row>
    <row r="792" spans="1:1" ht="12.75" customHeight="1" x14ac:dyDescent="0.2">
      <c r="A792" s="32"/>
    </row>
    <row r="793" spans="1:1" ht="12.75" customHeight="1" x14ac:dyDescent="0.2">
      <c r="A793" s="32"/>
    </row>
    <row r="794" spans="1:1" ht="12.75" customHeight="1" x14ac:dyDescent="0.2">
      <c r="A794" s="32"/>
    </row>
    <row r="795" spans="1:1" ht="12.75" customHeight="1" x14ac:dyDescent="0.2">
      <c r="A795" s="32"/>
    </row>
    <row r="796" spans="1:1" ht="12.75" customHeight="1" x14ac:dyDescent="0.2">
      <c r="A796" s="32"/>
    </row>
    <row r="797" spans="1:1" ht="12.75" customHeight="1" x14ac:dyDescent="0.2">
      <c r="A797" s="32"/>
    </row>
    <row r="798" spans="1:1" ht="12.75" customHeight="1" x14ac:dyDescent="0.2">
      <c r="A798" s="32"/>
    </row>
    <row r="799" spans="1:1" ht="12.75" customHeight="1" x14ac:dyDescent="0.2">
      <c r="A799" s="32"/>
    </row>
    <row r="800" spans="1:1" ht="12.75" customHeight="1" x14ac:dyDescent="0.2">
      <c r="A800" s="32"/>
    </row>
    <row r="801" spans="1:1" ht="12.75" customHeight="1" x14ac:dyDescent="0.2">
      <c r="A801" s="32"/>
    </row>
    <row r="802" spans="1:1" ht="12.75" customHeight="1" x14ac:dyDescent="0.2">
      <c r="A802" s="32"/>
    </row>
    <row r="803" spans="1:1" ht="12.75" customHeight="1" x14ac:dyDescent="0.2">
      <c r="A803" s="32"/>
    </row>
    <row r="804" spans="1:1" ht="12.75" customHeight="1" x14ac:dyDescent="0.2">
      <c r="A804" s="32"/>
    </row>
    <row r="805" spans="1:1" ht="12.75" customHeight="1" x14ac:dyDescent="0.2">
      <c r="A805" s="32"/>
    </row>
    <row r="806" spans="1:1" ht="12.75" customHeight="1" x14ac:dyDescent="0.2">
      <c r="A806" s="32"/>
    </row>
    <row r="807" spans="1:1" ht="12.75" customHeight="1" x14ac:dyDescent="0.2">
      <c r="A807" s="32"/>
    </row>
    <row r="808" spans="1:1" ht="12.75" customHeight="1" x14ac:dyDescent="0.2">
      <c r="A808" s="32"/>
    </row>
    <row r="809" spans="1:1" ht="12.75" customHeight="1" x14ac:dyDescent="0.2">
      <c r="A809" s="32"/>
    </row>
    <row r="810" spans="1:1" ht="12.75" customHeight="1" x14ac:dyDescent="0.2">
      <c r="A810" s="32"/>
    </row>
    <row r="811" spans="1:1" ht="12.75" customHeight="1" x14ac:dyDescent="0.2">
      <c r="A811" s="32"/>
    </row>
    <row r="812" spans="1:1" ht="12.75" customHeight="1" x14ac:dyDescent="0.2">
      <c r="A812" s="32"/>
    </row>
    <row r="813" spans="1:1" ht="12.75" customHeight="1" x14ac:dyDescent="0.2">
      <c r="A813" s="32"/>
    </row>
    <row r="814" spans="1:1" ht="12.75" customHeight="1" x14ac:dyDescent="0.2">
      <c r="A814" s="32"/>
    </row>
    <row r="815" spans="1:1" ht="12.75" customHeight="1" x14ac:dyDescent="0.2">
      <c r="A815" s="32"/>
    </row>
    <row r="816" spans="1:1" ht="12.75" customHeight="1" x14ac:dyDescent="0.2">
      <c r="A816" s="32"/>
    </row>
    <row r="817" spans="1:1" ht="12.75" customHeight="1" x14ac:dyDescent="0.2">
      <c r="A817" s="32"/>
    </row>
    <row r="818" spans="1:1" ht="12.75" customHeight="1" x14ac:dyDescent="0.2">
      <c r="A818" s="32"/>
    </row>
    <row r="819" spans="1:1" ht="12.75" customHeight="1" x14ac:dyDescent="0.2">
      <c r="A819" s="32"/>
    </row>
    <row r="820" spans="1:1" ht="12.75" customHeight="1" x14ac:dyDescent="0.2">
      <c r="A820" s="32"/>
    </row>
    <row r="821" spans="1:1" ht="12.75" customHeight="1" x14ac:dyDescent="0.2">
      <c r="A821" s="32"/>
    </row>
    <row r="822" spans="1:1" ht="12.75" customHeight="1" x14ac:dyDescent="0.2">
      <c r="A822" s="32"/>
    </row>
    <row r="823" spans="1:1" ht="12.75" customHeight="1" x14ac:dyDescent="0.2">
      <c r="A823" s="32"/>
    </row>
    <row r="824" spans="1:1" ht="12.75" customHeight="1" x14ac:dyDescent="0.2">
      <c r="A824" s="32"/>
    </row>
    <row r="825" spans="1:1" ht="12.75" customHeight="1" x14ac:dyDescent="0.2">
      <c r="A825" s="32"/>
    </row>
    <row r="826" spans="1:1" ht="12.75" customHeight="1" x14ac:dyDescent="0.2">
      <c r="A826" s="32"/>
    </row>
    <row r="827" spans="1:1" ht="12.75" customHeight="1" x14ac:dyDescent="0.2">
      <c r="A827" s="32"/>
    </row>
    <row r="828" spans="1:1" ht="12.75" customHeight="1" x14ac:dyDescent="0.2">
      <c r="A828" s="32"/>
    </row>
    <row r="829" spans="1:1" ht="12.75" customHeight="1" x14ac:dyDescent="0.2">
      <c r="A829" s="32"/>
    </row>
    <row r="830" spans="1:1" ht="12.75" customHeight="1" x14ac:dyDescent="0.2">
      <c r="A830" s="32"/>
    </row>
    <row r="831" spans="1:1" ht="12.75" customHeight="1" x14ac:dyDescent="0.2">
      <c r="A831" s="32"/>
    </row>
    <row r="832" spans="1:1" ht="12.75" customHeight="1" x14ac:dyDescent="0.2">
      <c r="A832" s="32"/>
    </row>
    <row r="833" spans="1:1" ht="12.75" customHeight="1" x14ac:dyDescent="0.2">
      <c r="A833" s="32"/>
    </row>
    <row r="834" spans="1:1" ht="12.75" customHeight="1" x14ac:dyDescent="0.2">
      <c r="A834" s="32"/>
    </row>
    <row r="835" spans="1:1" ht="12.75" customHeight="1" x14ac:dyDescent="0.2">
      <c r="A835" s="32"/>
    </row>
    <row r="836" spans="1:1" ht="12.75" customHeight="1" x14ac:dyDescent="0.2">
      <c r="A836" s="32"/>
    </row>
    <row r="837" spans="1:1" ht="12.75" customHeight="1" x14ac:dyDescent="0.2">
      <c r="A837" s="32"/>
    </row>
    <row r="838" spans="1:1" ht="12.75" customHeight="1" x14ac:dyDescent="0.2">
      <c r="A838" s="32"/>
    </row>
    <row r="839" spans="1:1" ht="12.75" customHeight="1" x14ac:dyDescent="0.2">
      <c r="A839" s="32"/>
    </row>
    <row r="840" spans="1:1" ht="12.75" customHeight="1" x14ac:dyDescent="0.2">
      <c r="A840" s="32"/>
    </row>
    <row r="841" spans="1:1" ht="12.75" customHeight="1" x14ac:dyDescent="0.2">
      <c r="A841" s="32"/>
    </row>
    <row r="842" spans="1:1" ht="12.75" customHeight="1" x14ac:dyDescent="0.2">
      <c r="A842" s="32"/>
    </row>
    <row r="843" spans="1:1" ht="12.75" customHeight="1" x14ac:dyDescent="0.2">
      <c r="A843" s="32"/>
    </row>
    <row r="844" spans="1:1" ht="12.75" customHeight="1" x14ac:dyDescent="0.2">
      <c r="A844" s="32"/>
    </row>
    <row r="845" spans="1:1" ht="12.75" customHeight="1" x14ac:dyDescent="0.2">
      <c r="A845" s="32"/>
    </row>
    <row r="846" spans="1:1" ht="12.75" customHeight="1" x14ac:dyDescent="0.2">
      <c r="A846" s="32"/>
    </row>
    <row r="847" spans="1:1" ht="12.75" customHeight="1" x14ac:dyDescent="0.2">
      <c r="A847" s="32"/>
    </row>
    <row r="848" spans="1:1" ht="12.75" customHeight="1" x14ac:dyDescent="0.2">
      <c r="A848" s="32"/>
    </row>
    <row r="849" spans="1:1" ht="12.75" customHeight="1" x14ac:dyDescent="0.2">
      <c r="A849" s="32"/>
    </row>
    <row r="850" spans="1:1" ht="12.75" customHeight="1" x14ac:dyDescent="0.2">
      <c r="A850" s="32"/>
    </row>
    <row r="851" spans="1:1" ht="12.75" customHeight="1" x14ac:dyDescent="0.2">
      <c r="A851" s="32"/>
    </row>
    <row r="852" spans="1:1" ht="12.75" customHeight="1" x14ac:dyDescent="0.2">
      <c r="A852" s="32"/>
    </row>
    <row r="853" spans="1:1" ht="12.75" customHeight="1" x14ac:dyDescent="0.2">
      <c r="A853" s="32"/>
    </row>
    <row r="854" spans="1:1" ht="12.75" customHeight="1" x14ac:dyDescent="0.2">
      <c r="A854" s="32"/>
    </row>
    <row r="855" spans="1:1" ht="12.75" customHeight="1" x14ac:dyDescent="0.2">
      <c r="A855" s="32"/>
    </row>
    <row r="856" spans="1:1" ht="12.75" customHeight="1" x14ac:dyDescent="0.2">
      <c r="A856" s="32"/>
    </row>
    <row r="857" spans="1:1" ht="12.75" customHeight="1" x14ac:dyDescent="0.2">
      <c r="A857" s="32"/>
    </row>
    <row r="858" spans="1:1" ht="12.75" customHeight="1" x14ac:dyDescent="0.2">
      <c r="A858" s="32"/>
    </row>
    <row r="859" spans="1:1" ht="12.75" customHeight="1" x14ac:dyDescent="0.2">
      <c r="A859" s="32"/>
    </row>
    <row r="860" spans="1:1" ht="12.75" customHeight="1" x14ac:dyDescent="0.2">
      <c r="A860" s="32"/>
    </row>
    <row r="861" spans="1:1" ht="12.75" customHeight="1" x14ac:dyDescent="0.2">
      <c r="A861" s="32"/>
    </row>
    <row r="862" spans="1:1" ht="12.75" customHeight="1" x14ac:dyDescent="0.2">
      <c r="A862" s="32"/>
    </row>
    <row r="863" spans="1:1" ht="12.75" customHeight="1" x14ac:dyDescent="0.2">
      <c r="A863" s="32"/>
    </row>
    <row r="864" spans="1:1" ht="12.75" customHeight="1" x14ac:dyDescent="0.2">
      <c r="A864" s="32"/>
    </row>
    <row r="865" spans="1:1" ht="12.75" customHeight="1" x14ac:dyDescent="0.2">
      <c r="A865" s="32"/>
    </row>
    <row r="866" spans="1:1" ht="12.75" customHeight="1" x14ac:dyDescent="0.2">
      <c r="A866" s="32"/>
    </row>
    <row r="867" spans="1:1" ht="12.75" customHeight="1" x14ac:dyDescent="0.2">
      <c r="A867" s="32"/>
    </row>
    <row r="868" spans="1:1" ht="12.75" customHeight="1" x14ac:dyDescent="0.2">
      <c r="A868" s="32"/>
    </row>
    <row r="869" spans="1:1" ht="12.75" customHeight="1" x14ac:dyDescent="0.2">
      <c r="A869" s="32"/>
    </row>
    <row r="870" spans="1:1" ht="12.75" customHeight="1" x14ac:dyDescent="0.2">
      <c r="A870" s="32"/>
    </row>
    <row r="871" spans="1:1" ht="12.75" customHeight="1" x14ac:dyDescent="0.2">
      <c r="A871" s="32"/>
    </row>
    <row r="872" spans="1:1" ht="12.75" customHeight="1" x14ac:dyDescent="0.2">
      <c r="A872" s="32"/>
    </row>
    <row r="873" spans="1:1" ht="12.75" customHeight="1" x14ac:dyDescent="0.2">
      <c r="A873" s="32"/>
    </row>
    <row r="874" spans="1:1" ht="12.75" customHeight="1" x14ac:dyDescent="0.2">
      <c r="A874" s="32"/>
    </row>
    <row r="875" spans="1:1" ht="12.75" customHeight="1" x14ac:dyDescent="0.2">
      <c r="A875" s="32"/>
    </row>
    <row r="876" spans="1:1" ht="12.75" customHeight="1" x14ac:dyDescent="0.2">
      <c r="A876" s="32"/>
    </row>
    <row r="877" spans="1:1" ht="12.75" customHeight="1" x14ac:dyDescent="0.2">
      <c r="A877" s="32"/>
    </row>
    <row r="878" spans="1:1" ht="12.75" customHeight="1" x14ac:dyDescent="0.2">
      <c r="A878" s="32"/>
    </row>
    <row r="879" spans="1:1" ht="12.75" customHeight="1" x14ac:dyDescent="0.2">
      <c r="A879" s="32"/>
    </row>
    <row r="880" spans="1:1" ht="12.75" customHeight="1" x14ac:dyDescent="0.2">
      <c r="A880" s="32"/>
    </row>
    <row r="881" spans="1:1" ht="12.75" customHeight="1" x14ac:dyDescent="0.2">
      <c r="A881" s="32"/>
    </row>
    <row r="882" spans="1:1" ht="12.75" customHeight="1" x14ac:dyDescent="0.2">
      <c r="A882" s="32"/>
    </row>
    <row r="883" spans="1:1" ht="12.75" customHeight="1" x14ac:dyDescent="0.2">
      <c r="A883" s="32"/>
    </row>
    <row r="884" spans="1:1" ht="12.75" customHeight="1" x14ac:dyDescent="0.2">
      <c r="A884" s="32"/>
    </row>
    <row r="885" spans="1:1" ht="12.75" customHeight="1" x14ac:dyDescent="0.2">
      <c r="A885" s="32"/>
    </row>
    <row r="886" spans="1:1" ht="12.75" customHeight="1" x14ac:dyDescent="0.2">
      <c r="A886" s="32"/>
    </row>
    <row r="887" spans="1:1" ht="12.75" customHeight="1" x14ac:dyDescent="0.2">
      <c r="A887" s="32"/>
    </row>
    <row r="888" spans="1:1" ht="12.75" customHeight="1" x14ac:dyDescent="0.2">
      <c r="A888" s="32"/>
    </row>
    <row r="889" spans="1:1" ht="12.75" customHeight="1" x14ac:dyDescent="0.2">
      <c r="A889" s="32"/>
    </row>
    <row r="890" spans="1:1" ht="12.75" customHeight="1" x14ac:dyDescent="0.2">
      <c r="A890" s="32"/>
    </row>
    <row r="891" spans="1:1" ht="12.75" customHeight="1" x14ac:dyDescent="0.2">
      <c r="A891" s="32"/>
    </row>
    <row r="892" spans="1:1" ht="12.75" customHeight="1" x14ac:dyDescent="0.2">
      <c r="A892" s="32"/>
    </row>
    <row r="893" spans="1:1" ht="12.75" customHeight="1" x14ac:dyDescent="0.2">
      <c r="A893" s="32"/>
    </row>
    <row r="894" spans="1:1" ht="12.75" customHeight="1" x14ac:dyDescent="0.2">
      <c r="A894" s="32"/>
    </row>
    <row r="895" spans="1:1" ht="12.75" customHeight="1" x14ac:dyDescent="0.2">
      <c r="A895" s="32"/>
    </row>
    <row r="896" spans="1:1" ht="12.75" customHeight="1" x14ac:dyDescent="0.2">
      <c r="A896" s="32"/>
    </row>
    <row r="897" spans="1:1" ht="12.75" customHeight="1" x14ac:dyDescent="0.2">
      <c r="A897" s="32"/>
    </row>
    <row r="898" spans="1:1" ht="12.75" customHeight="1" x14ac:dyDescent="0.2">
      <c r="A898" s="32"/>
    </row>
    <row r="899" spans="1:1" ht="12.75" customHeight="1" x14ac:dyDescent="0.2">
      <c r="A899" s="32"/>
    </row>
    <row r="900" spans="1:1" ht="12.75" customHeight="1" x14ac:dyDescent="0.2">
      <c r="A900" s="32"/>
    </row>
    <row r="901" spans="1:1" ht="12.75" customHeight="1" x14ac:dyDescent="0.2">
      <c r="A901" s="32"/>
    </row>
    <row r="902" spans="1:1" ht="12.75" customHeight="1" x14ac:dyDescent="0.2">
      <c r="A902" s="32"/>
    </row>
    <row r="903" spans="1:1" ht="12.75" customHeight="1" x14ac:dyDescent="0.2">
      <c r="A903" s="32"/>
    </row>
    <row r="904" spans="1:1" ht="12.75" customHeight="1" x14ac:dyDescent="0.2">
      <c r="A904" s="32"/>
    </row>
    <row r="905" spans="1:1" ht="12.75" customHeight="1" x14ac:dyDescent="0.2">
      <c r="A905" s="32"/>
    </row>
    <row r="906" spans="1:1" ht="12.75" customHeight="1" x14ac:dyDescent="0.2">
      <c r="A906" s="32"/>
    </row>
    <row r="907" spans="1:1" ht="12.75" customHeight="1" x14ac:dyDescent="0.2">
      <c r="A907" s="32"/>
    </row>
    <row r="908" spans="1:1" ht="12.75" customHeight="1" x14ac:dyDescent="0.2">
      <c r="A908" s="32"/>
    </row>
    <row r="909" spans="1:1" ht="12.75" customHeight="1" x14ac:dyDescent="0.2">
      <c r="A909" s="32"/>
    </row>
    <row r="910" spans="1:1" ht="12.75" customHeight="1" x14ac:dyDescent="0.2">
      <c r="A910" s="32"/>
    </row>
    <row r="911" spans="1:1" ht="12.75" customHeight="1" x14ac:dyDescent="0.2">
      <c r="A911" s="32"/>
    </row>
    <row r="912" spans="1:1" ht="12.75" customHeight="1" x14ac:dyDescent="0.2">
      <c r="A912" s="32"/>
    </row>
    <row r="913" spans="1:1" ht="12.75" customHeight="1" x14ac:dyDescent="0.2">
      <c r="A913" s="32"/>
    </row>
    <row r="914" spans="1:1" ht="12.75" customHeight="1" x14ac:dyDescent="0.2">
      <c r="A914" s="32"/>
    </row>
    <row r="915" spans="1:1" ht="12.75" customHeight="1" x14ac:dyDescent="0.2">
      <c r="A915" s="32"/>
    </row>
    <row r="916" spans="1:1" ht="12.75" customHeight="1" x14ac:dyDescent="0.2">
      <c r="A916" s="32"/>
    </row>
    <row r="917" spans="1:1" ht="12.75" customHeight="1" x14ac:dyDescent="0.2">
      <c r="A917" s="32"/>
    </row>
    <row r="918" spans="1:1" ht="12.75" customHeight="1" x14ac:dyDescent="0.2">
      <c r="A918" s="32"/>
    </row>
    <row r="919" spans="1:1" ht="12.75" customHeight="1" x14ac:dyDescent="0.2">
      <c r="A919" s="32"/>
    </row>
    <row r="920" spans="1:1" ht="12.75" customHeight="1" x14ac:dyDescent="0.2">
      <c r="A920" s="32"/>
    </row>
    <row r="921" spans="1:1" ht="12.75" customHeight="1" x14ac:dyDescent="0.2">
      <c r="A921" s="32"/>
    </row>
    <row r="922" spans="1:1" ht="12.75" customHeight="1" x14ac:dyDescent="0.2">
      <c r="A922" s="32"/>
    </row>
    <row r="923" spans="1:1" ht="12.75" customHeight="1" x14ac:dyDescent="0.2">
      <c r="A923" s="32"/>
    </row>
    <row r="924" spans="1:1" ht="12.75" customHeight="1" x14ac:dyDescent="0.2">
      <c r="A924" s="32"/>
    </row>
    <row r="925" spans="1:1" ht="12.75" customHeight="1" x14ac:dyDescent="0.2">
      <c r="A925" s="32"/>
    </row>
    <row r="926" spans="1:1" ht="12.75" customHeight="1" x14ac:dyDescent="0.2">
      <c r="A926" s="32"/>
    </row>
    <row r="927" spans="1:1" ht="12.75" customHeight="1" x14ac:dyDescent="0.2">
      <c r="A927" s="32"/>
    </row>
    <row r="928" spans="1:1" ht="12.75" customHeight="1" x14ac:dyDescent="0.2">
      <c r="A928" s="32"/>
    </row>
    <row r="929" spans="1:1" ht="12.75" customHeight="1" x14ac:dyDescent="0.2">
      <c r="A929" s="32"/>
    </row>
    <row r="930" spans="1:1" ht="12.75" customHeight="1" x14ac:dyDescent="0.2">
      <c r="A930" s="32"/>
    </row>
    <row r="931" spans="1:1" ht="12.75" customHeight="1" x14ac:dyDescent="0.2">
      <c r="A931" s="32"/>
    </row>
    <row r="932" spans="1:1" ht="12.75" customHeight="1" x14ac:dyDescent="0.2">
      <c r="A932" s="32"/>
    </row>
    <row r="933" spans="1:1" ht="12.75" customHeight="1" x14ac:dyDescent="0.2">
      <c r="A933" s="32"/>
    </row>
    <row r="934" spans="1:1" ht="12.75" customHeight="1" x14ac:dyDescent="0.2">
      <c r="A934" s="32"/>
    </row>
    <row r="935" spans="1:1" ht="12.75" customHeight="1" x14ac:dyDescent="0.2">
      <c r="A935" s="32"/>
    </row>
    <row r="936" spans="1:1" ht="12.75" customHeight="1" x14ac:dyDescent="0.2">
      <c r="A936" s="32"/>
    </row>
    <row r="937" spans="1:1" ht="12.75" customHeight="1" x14ac:dyDescent="0.2">
      <c r="A937" s="32"/>
    </row>
    <row r="938" spans="1:1" ht="12.75" customHeight="1" x14ac:dyDescent="0.2">
      <c r="A938" s="32"/>
    </row>
    <row r="939" spans="1:1" ht="12.75" customHeight="1" x14ac:dyDescent="0.2">
      <c r="A939" s="32"/>
    </row>
    <row r="940" spans="1:1" ht="12.75" customHeight="1" x14ac:dyDescent="0.2">
      <c r="A940" s="32"/>
    </row>
    <row r="941" spans="1:1" ht="12.75" customHeight="1" x14ac:dyDescent="0.2">
      <c r="A941" s="32"/>
    </row>
    <row r="942" spans="1:1" ht="12.75" customHeight="1" x14ac:dyDescent="0.2">
      <c r="A942" s="32"/>
    </row>
    <row r="943" spans="1:1" ht="12.75" customHeight="1" x14ac:dyDescent="0.2">
      <c r="A943" s="32"/>
    </row>
    <row r="944" spans="1:1" ht="12.75" customHeight="1" x14ac:dyDescent="0.2">
      <c r="A944" s="32"/>
    </row>
    <row r="945" spans="1:1" ht="12.75" customHeight="1" x14ac:dyDescent="0.2">
      <c r="A945" s="32"/>
    </row>
    <row r="946" spans="1:1" ht="12.75" customHeight="1" x14ac:dyDescent="0.2">
      <c r="A946" s="32"/>
    </row>
    <row r="947" spans="1:1" ht="12.75" customHeight="1" x14ac:dyDescent="0.2">
      <c r="A947" s="32"/>
    </row>
    <row r="948" spans="1:1" ht="12.75" customHeight="1" x14ac:dyDescent="0.2">
      <c r="A948" s="32"/>
    </row>
    <row r="949" spans="1:1" ht="12.75" customHeight="1" x14ac:dyDescent="0.2">
      <c r="A949" s="32"/>
    </row>
    <row r="950" spans="1:1" ht="12.75" customHeight="1" x14ac:dyDescent="0.2">
      <c r="A950" s="32"/>
    </row>
    <row r="951" spans="1:1" ht="12.75" customHeight="1" x14ac:dyDescent="0.2">
      <c r="A951" s="32"/>
    </row>
    <row r="952" spans="1:1" ht="12.75" customHeight="1" x14ac:dyDescent="0.2">
      <c r="A952" s="32"/>
    </row>
    <row r="953" spans="1:1" ht="12.75" customHeight="1" x14ac:dyDescent="0.2">
      <c r="A953" s="32"/>
    </row>
    <row r="954" spans="1:1" ht="12.75" customHeight="1" x14ac:dyDescent="0.2">
      <c r="A954" s="32"/>
    </row>
    <row r="955" spans="1:1" ht="12.75" customHeight="1" x14ac:dyDescent="0.2">
      <c r="A955" s="32"/>
    </row>
    <row r="956" spans="1:1" ht="12.75" customHeight="1" x14ac:dyDescent="0.2">
      <c r="A956" s="32"/>
    </row>
    <row r="957" spans="1:1" ht="12.75" customHeight="1" x14ac:dyDescent="0.2">
      <c r="A957" s="32"/>
    </row>
    <row r="958" spans="1:1" ht="12.75" customHeight="1" x14ac:dyDescent="0.2">
      <c r="A958" s="32"/>
    </row>
    <row r="959" spans="1:1" ht="12.75" customHeight="1" x14ac:dyDescent="0.2">
      <c r="A959" s="32"/>
    </row>
    <row r="960" spans="1:1" ht="12.75" customHeight="1" x14ac:dyDescent="0.2">
      <c r="A960" s="32"/>
    </row>
    <row r="961" spans="1:1" ht="12.75" customHeight="1" x14ac:dyDescent="0.2">
      <c r="A961" s="32"/>
    </row>
    <row r="962" spans="1:1" ht="12.75" customHeight="1" x14ac:dyDescent="0.2">
      <c r="A962" s="32"/>
    </row>
    <row r="963" spans="1:1" ht="12.75" customHeight="1" x14ac:dyDescent="0.2">
      <c r="A963" s="32"/>
    </row>
    <row r="964" spans="1:1" ht="12.75" customHeight="1" x14ac:dyDescent="0.2">
      <c r="A964" s="32"/>
    </row>
    <row r="965" spans="1:1" ht="12.75" customHeight="1" x14ac:dyDescent="0.2">
      <c r="A965" s="32"/>
    </row>
    <row r="966" spans="1:1" ht="12.75" customHeight="1" x14ac:dyDescent="0.2">
      <c r="A966" s="32"/>
    </row>
    <row r="967" spans="1:1" ht="12.75" customHeight="1" x14ac:dyDescent="0.2">
      <c r="A967" s="32"/>
    </row>
    <row r="968" spans="1:1" ht="12.75" customHeight="1" x14ac:dyDescent="0.2">
      <c r="A968" s="32"/>
    </row>
    <row r="969" spans="1:1" ht="12.75" customHeight="1" x14ac:dyDescent="0.2">
      <c r="A969" s="32"/>
    </row>
    <row r="970" spans="1:1" ht="12.75" customHeight="1" x14ac:dyDescent="0.2">
      <c r="A970" s="32"/>
    </row>
    <row r="971" spans="1:1" ht="12.75" customHeight="1" x14ac:dyDescent="0.2">
      <c r="A971" s="32"/>
    </row>
    <row r="972" spans="1:1" ht="12.75" customHeight="1" x14ac:dyDescent="0.2">
      <c r="A972" s="32"/>
    </row>
    <row r="973" spans="1:1" ht="12.75" customHeight="1" x14ac:dyDescent="0.2">
      <c r="A973" s="32"/>
    </row>
    <row r="974" spans="1:1" ht="12.75" customHeight="1" x14ac:dyDescent="0.2">
      <c r="A974" s="32"/>
    </row>
    <row r="975" spans="1:1" ht="12.75" customHeight="1" x14ac:dyDescent="0.2">
      <c r="A975" s="32"/>
    </row>
    <row r="976" spans="1:1" ht="12.75" customHeight="1" x14ac:dyDescent="0.2">
      <c r="A976" s="32"/>
    </row>
    <row r="977" spans="1:1" ht="12.75" customHeight="1" x14ac:dyDescent="0.2">
      <c r="A977" s="32"/>
    </row>
    <row r="978" spans="1:1" ht="12.75" customHeight="1" x14ac:dyDescent="0.2">
      <c r="A978" s="32"/>
    </row>
    <row r="979" spans="1:1" ht="12.75" customHeight="1" x14ac:dyDescent="0.2">
      <c r="A979" s="32"/>
    </row>
    <row r="980" spans="1:1" ht="12.75" customHeight="1" x14ac:dyDescent="0.2">
      <c r="A980" s="32"/>
    </row>
    <row r="981" spans="1:1" ht="12.75" customHeight="1" x14ac:dyDescent="0.2">
      <c r="A981" s="32"/>
    </row>
    <row r="982" spans="1:1" ht="12.75" customHeight="1" x14ac:dyDescent="0.2">
      <c r="A982" s="32"/>
    </row>
    <row r="983" spans="1:1" ht="12.75" customHeight="1" x14ac:dyDescent="0.2">
      <c r="A983" s="32"/>
    </row>
    <row r="984" spans="1:1" ht="12.75" customHeight="1" x14ac:dyDescent="0.2">
      <c r="A984" s="32"/>
    </row>
    <row r="985" spans="1:1" ht="12.75" customHeight="1" x14ac:dyDescent="0.2">
      <c r="A985" s="32"/>
    </row>
    <row r="986" spans="1:1" ht="12.75" customHeight="1" x14ac:dyDescent="0.2">
      <c r="A986" s="32"/>
    </row>
    <row r="987" spans="1:1" ht="12.75" customHeight="1" x14ac:dyDescent="0.2">
      <c r="A987" s="32"/>
    </row>
    <row r="988" spans="1:1" ht="12.75" customHeight="1" x14ac:dyDescent="0.2">
      <c r="A988" s="32"/>
    </row>
    <row r="989" spans="1:1" ht="12.75" customHeight="1" x14ac:dyDescent="0.2">
      <c r="A989" s="32"/>
    </row>
    <row r="990" spans="1:1" ht="12.75" customHeight="1" x14ac:dyDescent="0.2">
      <c r="A990" s="32"/>
    </row>
    <row r="991" spans="1:1" ht="12.75" customHeight="1" x14ac:dyDescent="0.2">
      <c r="A991" s="32"/>
    </row>
    <row r="992" spans="1:1" ht="12.75" customHeight="1" x14ac:dyDescent="0.2">
      <c r="A992" s="32"/>
    </row>
    <row r="993" spans="1:1" ht="12.75" customHeight="1" x14ac:dyDescent="0.2">
      <c r="A993" s="32"/>
    </row>
    <row r="994" spans="1:1" ht="12.75" customHeight="1" x14ac:dyDescent="0.2">
      <c r="A994" s="32"/>
    </row>
    <row r="995" spans="1:1" ht="12.75" customHeight="1" x14ac:dyDescent="0.2">
      <c r="A995" s="32"/>
    </row>
    <row r="996" spans="1:1" ht="12.75" customHeight="1" x14ac:dyDescent="0.2">
      <c r="A996" s="32"/>
    </row>
    <row r="997" spans="1:1" ht="12.75" customHeight="1" x14ac:dyDescent="0.2">
      <c r="A997" s="32"/>
    </row>
    <row r="998" spans="1:1" ht="12.75" customHeight="1" x14ac:dyDescent="0.2">
      <c r="A998" s="32"/>
    </row>
    <row r="999" spans="1:1" ht="12.75" customHeight="1" x14ac:dyDescent="0.2">
      <c r="A999" s="32"/>
    </row>
    <row r="1000" spans="1:1" ht="12.75" customHeight="1" x14ac:dyDescent="0.2">
      <c r="A1000" s="32"/>
    </row>
    <row r="1001" spans="1:1" ht="12.75" customHeight="1" x14ac:dyDescent="0.2">
      <c r="A1001" s="32"/>
    </row>
    <row r="1002" spans="1:1" ht="12.75" customHeight="1" x14ac:dyDescent="0.2">
      <c r="A1002" s="32"/>
    </row>
    <row r="1003" spans="1:1" ht="12.75" customHeight="1" x14ac:dyDescent="0.2">
      <c r="A1003" s="32"/>
    </row>
    <row r="1004" spans="1:1" ht="12.75" customHeight="1" x14ac:dyDescent="0.2">
      <c r="A1004" s="32"/>
    </row>
    <row r="1005" spans="1:1" ht="12.75" customHeight="1" x14ac:dyDescent="0.2">
      <c r="A1005" s="32"/>
    </row>
    <row r="1006" spans="1:1" ht="12.75" customHeight="1" x14ac:dyDescent="0.2">
      <c r="A1006" s="32"/>
    </row>
    <row r="1007" spans="1:1" ht="12.75" customHeight="1" x14ac:dyDescent="0.2">
      <c r="A1007" s="32"/>
    </row>
    <row r="1008" spans="1:1" ht="12.75" customHeight="1" x14ac:dyDescent="0.2">
      <c r="A1008" s="32"/>
    </row>
    <row r="1009" spans="1:1" ht="12.75" customHeight="1" x14ac:dyDescent="0.2">
      <c r="A1009" s="32"/>
    </row>
    <row r="1010" spans="1:1" ht="12.75" customHeight="1" x14ac:dyDescent="0.2">
      <c r="A1010" s="32"/>
    </row>
    <row r="1011" spans="1:1" ht="12.75" customHeight="1" x14ac:dyDescent="0.2">
      <c r="A1011" s="32"/>
    </row>
    <row r="1012" spans="1:1" ht="12.75" customHeight="1" x14ac:dyDescent="0.2">
      <c r="A1012" s="32"/>
    </row>
    <row r="1013" spans="1:1" ht="12.75" customHeight="1" x14ac:dyDescent="0.2">
      <c r="A1013" s="32"/>
    </row>
    <row r="1014" spans="1:1" ht="12.75" customHeight="1" x14ac:dyDescent="0.2">
      <c r="A1014" s="32"/>
    </row>
    <row r="1015" spans="1:1" ht="12.75" customHeight="1" x14ac:dyDescent="0.2">
      <c r="A1015" s="32"/>
    </row>
    <row r="1016" spans="1:1" ht="12.75" customHeight="1" x14ac:dyDescent="0.2">
      <c r="A1016" s="32"/>
    </row>
    <row r="1017" spans="1:1" ht="12.75" customHeight="1" x14ac:dyDescent="0.2">
      <c r="A1017" s="32"/>
    </row>
    <row r="1018" spans="1:1" ht="12.75" customHeight="1" x14ac:dyDescent="0.2">
      <c r="A1018" s="32"/>
    </row>
    <row r="1019" spans="1:1" ht="12.75" customHeight="1" x14ac:dyDescent="0.2">
      <c r="A1019" s="32"/>
    </row>
    <row r="1020" spans="1:1" ht="12.75" customHeight="1" x14ac:dyDescent="0.2">
      <c r="A1020" s="32"/>
    </row>
    <row r="1021" spans="1:1" ht="12.75" customHeight="1" x14ac:dyDescent="0.2">
      <c r="A1021" s="32"/>
    </row>
    <row r="1022" spans="1:1" ht="12.75" customHeight="1" x14ac:dyDescent="0.2">
      <c r="A1022" s="32"/>
    </row>
    <row r="1023" spans="1:1" ht="12.75" customHeight="1" x14ac:dyDescent="0.2">
      <c r="A1023" s="32"/>
    </row>
    <row r="1024" spans="1:1" ht="12.75" customHeight="1" x14ac:dyDescent="0.2">
      <c r="A1024" s="32"/>
    </row>
    <row r="1025" spans="1:1" ht="12.75" customHeight="1" x14ac:dyDescent="0.2">
      <c r="A1025" s="32"/>
    </row>
    <row r="1026" spans="1:1" ht="12.75" customHeight="1" x14ac:dyDescent="0.2">
      <c r="A1026" s="32"/>
    </row>
    <row r="1027" spans="1:1" ht="12.75" customHeight="1" x14ac:dyDescent="0.2">
      <c r="A1027" s="32"/>
    </row>
    <row r="1028" spans="1:1" ht="12.75" customHeight="1" x14ac:dyDescent="0.2">
      <c r="A1028" s="32"/>
    </row>
    <row r="1029" spans="1:1" ht="12.75" customHeight="1" x14ac:dyDescent="0.2">
      <c r="A1029" s="32"/>
    </row>
    <row r="1030" spans="1:1" ht="12.75" customHeight="1" x14ac:dyDescent="0.2">
      <c r="A1030" s="32"/>
    </row>
    <row r="1031" spans="1:1" ht="12.75" customHeight="1" x14ac:dyDescent="0.2">
      <c r="A1031" s="32"/>
    </row>
    <row r="1032" spans="1:1" ht="12.75" customHeight="1" x14ac:dyDescent="0.2">
      <c r="A1032" s="32"/>
    </row>
    <row r="1033" spans="1:1" ht="12.75" customHeight="1" x14ac:dyDescent="0.2">
      <c r="A1033" s="32"/>
    </row>
    <row r="1034" spans="1:1" ht="12.75" customHeight="1" x14ac:dyDescent="0.2">
      <c r="A1034" s="32"/>
    </row>
    <row r="1035" spans="1:1" ht="12.75" customHeight="1" x14ac:dyDescent="0.2">
      <c r="A1035" s="32"/>
    </row>
    <row r="1036" spans="1:1" ht="12.75" customHeight="1" x14ac:dyDescent="0.2">
      <c r="A1036" s="32"/>
    </row>
    <row r="1037" spans="1:1" ht="12.75" customHeight="1" x14ac:dyDescent="0.2">
      <c r="A1037" s="32"/>
    </row>
    <row r="1038" spans="1:1" ht="12.75" customHeight="1" x14ac:dyDescent="0.2">
      <c r="A1038" s="32"/>
    </row>
    <row r="1039" spans="1:1" ht="12.75" customHeight="1" x14ac:dyDescent="0.2">
      <c r="A1039" s="32"/>
    </row>
    <row r="1040" spans="1:1" ht="12.75" customHeight="1" x14ac:dyDescent="0.2">
      <c r="A1040" s="32"/>
    </row>
    <row r="1041" spans="1:1" ht="12.75" customHeight="1" x14ac:dyDescent="0.2">
      <c r="A1041" s="32"/>
    </row>
    <row r="1042" spans="1:1" ht="12.75" customHeight="1" x14ac:dyDescent="0.2">
      <c r="A1042" s="32"/>
    </row>
    <row r="1043" spans="1:1" ht="12.75" customHeight="1" x14ac:dyDescent="0.2">
      <c r="A1043" s="32"/>
    </row>
    <row r="1044" spans="1:1" ht="12.75" customHeight="1" x14ac:dyDescent="0.2">
      <c r="A1044" s="32"/>
    </row>
    <row r="1045" spans="1:1" ht="12.75" customHeight="1" x14ac:dyDescent="0.2">
      <c r="A1045" s="32"/>
    </row>
    <row r="1046" spans="1:1" ht="12.75" customHeight="1" x14ac:dyDescent="0.2">
      <c r="A1046" s="32"/>
    </row>
    <row r="1047" spans="1:1" ht="12.75" customHeight="1" x14ac:dyDescent="0.2">
      <c r="A1047" s="32"/>
    </row>
    <row r="1048" spans="1:1" ht="12.75" customHeight="1" x14ac:dyDescent="0.2">
      <c r="A1048" s="32"/>
    </row>
    <row r="1049" spans="1:1" ht="12.75" customHeight="1" x14ac:dyDescent="0.2">
      <c r="A1049" s="32"/>
    </row>
    <row r="1050" spans="1:1" ht="12.75" customHeight="1" x14ac:dyDescent="0.2">
      <c r="A1050" s="32"/>
    </row>
    <row r="1051" spans="1:1" ht="12.75" customHeight="1" x14ac:dyDescent="0.2">
      <c r="A1051" s="32"/>
    </row>
    <row r="1052" spans="1:1" ht="12.75" customHeight="1" x14ac:dyDescent="0.2">
      <c r="A1052" s="32"/>
    </row>
    <row r="1053" spans="1:1" ht="12.75" customHeight="1" x14ac:dyDescent="0.2">
      <c r="A1053" s="32"/>
    </row>
    <row r="1054" spans="1:1" ht="12.75" customHeight="1" x14ac:dyDescent="0.2">
      <c r="A1054" s="32"/>
    </row>
    <row r="1055" spans="1:1" ht="12.75" customHeight="1" x14ac:dyDescent="0.2">
      <c r="A1055" s="32"/>
    </row>
    <row r="1056" spans="1:1" ht="12.75" customHeight="1" x14ac:dyDescent="0.2">
      <c r="A1056" s="32"/>
    </row>
    <row r="1057" spans="1:1" ht="12.75" customHeight="1" x14ac:dyDescent="0.2">
      <c r="A1057" s="32"/>
    </row>
    <row r="1058" spans="1:1" ht="12.75" customHeight="1" x14ac:dyDescent="0.2">
      <c r="A1058" s="32"/>
    </row>
    <row r="1059" spans="1:1" ht="12.75" customHeight="1" x14ac:dyDescent="0.2">
      <c r="A1059" s="32"/>
    </row>
    <row r="1060" spans="1:1" ht="12.75" customHeight="1" x14ac:dyDescent="0.2">
      <c r="A1060" s="32"/>
    </row>
    <row r="1061" spans="1:1" ht="12.75" customHeight="1" x14ac:dyDescent="0.2">
      <c r="A1061" s="32"/>
    </row>
    <row r="1062" spans="1:1" ht="12.75" customHeight="1" x14ac:dyDescent="0.2">
      <c r="A1062" s="32"/>
    </row>
    <row r="1063" spans="1:1" ht="12.75" customHeight="1" x14ac:dyDescent="0.2">
      <c r="A1063" s="32"/>
    </row>
    <row r="1064" spans="1:1" ht="12.75" customHeight="1" x14ac:dyDescent="0.2">
      <c r="A1064" s="32"/>
    </row>
    <row r="1065" spans="1:1" ht="12.75" customHeight="1" x14ac:dyDescent="0.2">
      <c r="A1065" s="32"/>
    </row>
    <row r="1066" spans="1:1" ht="12.75" customHeight="1" x14ac:dyDescent="0.2">
      <c r="A1066" s="32"/>
    </row>
    <row r="1067" spans="1:1" ht="12.75" customHeight="1" x14ac:dyDescent="0.2">
      <c r="A1067" s="32"/>
    </row>
    <row r="1068" spans="1:1" ht="12.75" customHeight="1" x14ac:dyDescent="0.2">
      <c r="A1068" s="32"/>
    </row>
    <row r="1069" spans="1:1" ht="12.75" customHeight="1" x14ac:dyDescent="0.2">
      <c r="A1069" s="32"/>
    </row>
    <row r="1070" spans="1:1" ht="12.75" customHeight="1" x14ac:dyDescent="0.2">
      <c r="A1070" s="32"/>
    </row>
    <row r="1071" spans="1:1" ht="12.75" customHeight="1" x14ac:dyDescent="0.2">
      <c r="A1071" s="32"/>
    </row>
    <row r="1072" spans="1:1" ht="12.75" customHeight="1" x14ac:dyDescent="0.2">
      <c r="A1072" s="32"/>
    </row>
    <row r="1073" spans="1:1" ht="12.75" customHeight="1" x14ac:dyDescent="0.2">
      <c r="A1073" s="32"/>
    </row>
    <row r="1074" spans="1:1" ht="12.75" customHeight="1" x14ac:dyDescent="0.2">
      <c r="A1074" s="32"/>
    </row>
    <row r="1075" spans="1:1" ht="12.75" customHeight="1" x14ac:dyDescent="0.2">
      <c r="A1075" s="32"/>
    </row>
    <row r="1076" spans="1:1" ht="12.75" customHeight="1" x14ac:dyDescent="0.2">
      <c r="A1076" s="32"/>
    </row>
    <row r="1077" spans="1:1" ht="12.75" customHeight="1" x14ac:dyDescent="0.2">
      <c r="A1077" s="32"/>
    </row>
    <row r="1078" spans="1:1" ht="12.75" customHeight="1" x14ac:dyDescent="0.2">
      <c r="A1078" s="32"/>
    </row>
    <row r="1079" spans="1:1" ht="12.75" customHeight="1" x14ac:dyDescent="0.2">
      <c r="A1079" s="32"/>
    </row>
    <row r="1080" spans="1:1" ht="12.75" customHeight="1" x14ac:dyDescent="0.2">
      <c r="A1080" s="32"/>
    </row>
    <row r="1081" spans="1:1" ht="12.75" customHeight="1" x14ac:dyDescent="0.2">
      <c r="A1081" s="32"/>
    </row>
    <row r="1082" spans="1:1" ht="12.75" customHeight="1" x14ac:dyDescent="0.2">
      <c r="A1082" s="32"/>
    </row>
    <row r="1083" spans="1:1" ht="12.75" customHeight="1" x14ac:dyDescent="0.2">
      <c r="A1083" s="32"/>
    </row>
    <row r="1084" spans="1:1" ht="12.75" customHeight="1" x14ac:dyDescent="0.2">
      <c r="A1084" s="32"/>
    </row>
    <row r="1085" spans="1:1" ht="12.75" customHeight="1" x14ac:dyDescent="0.2">
      <c r="A1085" s="32"/>
    </row>
    <row r="1086" spans="1:1" ht="12.75" customHeight="1" x14ac:dyDescent="0.2">
      <c r="A1086" s="32"/>
    </row>
    <row r="1087" spans="1:1" ht="12.75" customHeight="1" x14ac:dyDescent="0.2">
      <c r="A1087" s="32"/>
    </row>
    <row r="1088" spans="1:1" ht="12.75" customHeight="1" x14ac:dyDescent="0.2">
      <c r="A1088" s="32"/>
    </row>
    <row r="1089" spans="1:1" ht="12.75" customHeight="1" x14ac:dyDescent="0.2">
      <c r="A1089" s="32"/>
    </row>
    <row r="1090" spans="1:1" ht="12.75" customHeight="1" x14ac:dyDescent="0.2">
      <c r="A1090" s="32"/>
    </row>
    <row r="1091" spans="1:1" ht="12.75" customHeight="1" x14ac:dyDescent="0.2">
      <c r="A1091" s="32"/>
    </row>
    <row r="1092" spans="1:1" ht="12.75" customHeight="1" x14ac:dyDescent="0.2">
      <c r="A1092" s="32"/>
    </row>
    <row r="1093" spans="1:1" ht="12.75" customHeight="1" x14ac:dyDescent="0.2">
      <c r="A1093" s="32"/>
    </row>
    <row r="1094" spans="1:1" ht="12.75" customHeight="1" x14ac:dyDescent="0.2">
      <c r="A1094" s="32"/>
    </row>
    <row r="1095" spans="1:1" ht="12.75" customHeight="1" x14ac:dyDescent="0.2">
      <c r="A1095" s="32"/>
    </row>
    <row r="1096" spans="1:1" ht="12.75" customHeight="1" x14ac:dyDescent="0.2">
      <c r="A1096" s="32"/>
    </row>
    <row r="1097" spans="1:1" ht="12.75" customHeight="1" x14ac:dyDescent="0.2">
      <c r="A1097" s="32"/>
    </row>
    <row r="1098" spans="1:1" ht="12.75" customHeight="1" x14ac:dyDescent="0.2">
      <c r="A1098" s="32"/>
    </row>
    <row r="1099" spans="1:1" ht="12.75" customHeight="1" x14ac:dyDescent="0.2">
      <c r="A1099" s="32"/>
    </row>
    <row r="1100" spans="1:1" ht="12.75" customHeight="1" x14ac:dyDescent="0.2">
      <c r="A1100" s="32"/>
    </row>
    <row r="1101" spans="1:1" ht="12.75" customHeight="1" x14ac:dyDescent="0.2">
      <c r="A1101" s="32"/>
    </row>
    <row r="1102" spans="1:1" ht="12.75" customHeight="1" x14ac:dyDescent="0.2">
      <c r="A1102" s="32"/>
    </row>
    <row r="1103" spans="1:1" ht="12.75" customHeight="1" x14ac:dyDescent="0.2">
      <c r="A1103" s="32"/>
    </row>
    <row r="1104" spans="1:1" ht="12.75" customHeight="1" x14ac:dyDescent="0.2">
      <c r="A1104" s="32"/>
    </row>
    <row r="1105" spans="1:1" ht="12.75" customHeight="1" x14ac:dyDescent="0.2">
      <c r="A1105" s="32"/>
    </row>
    <row r="1106" spans="1:1" ht="12.75" customHeight="1" x14ac:dyDescent="0.2">
      <c r="A1106" s="32"/>
    </row>
    <row r="1107" spans="1:1" ht="12.75" customHeight="1" x14ac:dyDescent="0.2">
      <c r="A1107" s="32"/>
    </row>
    <row r="1108" spans="1:1" ht="12.75" customHeight="1" x14ac:dyDescent="0.2">
      <c r="A1108" s="32"/>
    </row>
    <row r="1109" spans="1:1" ht="12.75" customHeight="1" x14ac:dyDescent="0.2">
      <c r="A1109" s="32"/>
    </row>
    <row r="1110" spans="1:1" ht="12.75" customHeight="1" x14ac:dyDescent="0.2">
      <c r="A1110" s="32"/>
    </row>
    <row r="1111" spans="1:1" ht="12.75" customHeight="1" x14ac:dyDescent="0.2">
      <c r="A1111" s="32"/>
    </row>
    <row r="1112" spans="1:1" ht="12.75" customHeight="1" x14ac:dyDescent="0.2">
      <c r="A1112" s="32"/>
    </row>
    <row r="1113" spans="1:1" ht="12.75" customHeight="1" x14ac:dyDescent="0.2">
      <c r="A1113" s="32"/>
    </row>
    <row r="1114" spans="1:1" ht="12.75" customHeight="1" x14ac:dyDescent="0.2">
      <c r="A1114" s="32"/>
    </row>
    <row r="1115" spans="1:1" ht="12.75" customHeight="1" x14ac:dyDescent="0.2">
      <c r="A1115" s="32"/>
    </row>
    <row r="1116" spans="1:1" ht="12.75" customHeight="1" x14ac:dyDescent="0.2">
      <c r="A1116" s="32"/>
    </row>
    <row r="1117" spans="1:1" ht="12.75" customHeight="1" x14ac:dyDescent="0.2">
      <c r="A1117" s="32"/>
    </row>
    <row r="1118" spans="1:1" ht="12.75" customHeight="1" x14ac:dyDescent="0.2">
      <c r="A1118" s="32"/>
    </row>
    <row r="1119" spans="1:1" ht="12.75" customHeight="1" x14ac:dyDescent="0.2">
      <c r="A1119" s="32"/>
    </row>
    <row r="1120" spans="1:1" ht="12.75" customHeight="1" x14ac:dyDescent="0.2">
      <c r="A1120" s="32"/>
    </row>
    <row r="1121" spans="1:1" ht="12.75" customHeight="1" x14ac:dyDescent="0.2">
      <c r="A1121" s="32"/>
    </row>
    <row r="1122" spans="1:1" ht="12.75" customHeight="1" x14ac:dyDescent="0.2">
      <c r="A1122" s="32"/>
    </row>
    <row r="1123" spans="1:1" ht="12.75" customHeight="1" x14ac:dyDescent="0.2">
      <c r="A1123" s="32"/>
    </row>
    <row r="1124" spans="1:1" ht="12.75" customHeight="1" x14ac:dyDescent="0.2">
      <c r="A1124" s="32"/>
    </row>
    <row r="1125" spans="1:1" ht="12.75" customHeight="1" x14ac:dyDescent="0.2">
      <c r="A1125" s="32"/>
    </row>
    <row r="1126" spans="1:1" ht="12.75" customHeight="1" x14ac:dyDescent="0.2">
      <c r="A1126" s="32"/>
    </row>
    <row r="1127" spans="1:1" ht="12.75" customHeight="1" x14ac:dyDescent="0.2">
      <c r="A1127" s="32"/>
    </row>
    <row r="1128" spans="1:1" ht="12.75" customHeight="1" x14ac:dyDescent="0.2">
      <c r="A1128" s="32"/>
    </row>
    <row r="1129" spans="1:1" ht="12.75" customHeight="1" x14ac:dyDescent="0.2">
      <c r="A1129" s="32"/>
    </row>
    <row r="1130" spans="1:1" ht="12.75" customHeight="1" x14ac:dyDescent="0.2">
      <c r="A1130" s="32"/>
    </row>
    <row r="1131" spans="1:1" ht="12.75" customHeight="1" x14ac:dyDescent="0.2">
      <c r="A1131" s="32"/>
    </row>
    <row r="1132" spans="1:1" ht="12.75" customHeight="1" x14ac:dyDescent="0.2">
      <c r="A1132" s="32"/>
    </row>
    <row r="1133" spans="1:1" ht="12.75" customHeight="1" x14ac:dyDescent="0.2">
      <c r="A1133" s="32"/>
    </row>
    <row r="1134" spans="1:1" ht="12.75" customHeight="1" x14ac:dyDescent="0.2">
      <c r="A1134" s="32"/>
    </row>
    <row r="1135" spans="1:1" ht="12.75" customHeight="1" x14ac:dyDescent="0.2">
      <c r="A1135" s="32"/>
    </row>
    <row r="1136" spans="1:1" ht="12.75" customHeight="1" x14ac:dyDescent="0.2">
      <c r="A1136" s="32"/>
    </row>
    <row r="1137" spans="1:1" ht="12.75" customHeight="1" x14ac:dyDescent="0.2">
      <c r="A1137" s="32"/>
    </row>
    <row r="1138" spans="1:1" ht="12.75" customHeight="1" x14ac:dyDescent="0.2">
      <c r="A1138" s="32"/>
    </row>
    <row r="1139" spans="1:1" ht="12.75" customHeight="1" x14ac:dyDescent="0.2">
      <c r="A1139" s="32"/>
    </row>
  </sheetData>
  <sortState xmlns:xlrd2="http://schemas.microsoft.com/office/spreadsheetml/2017/richdata2" ref="A2:J1140">
    <sortCondition ref="F1:F1140"/>
  </sortState>
  <hyperlinks>
    <hyperlink ref="J61" r:id="rId1" xr:uid="{5DA7A7DA-AC86-4823-BFD4-62CE5D7B868D}"/>
  </hyperlinks>
  <pageMargins left="0.78749999999999998" right="0.78749999999999998" top="1.0249999999999999" bottom="1.0249999999999999" header="0" footer="0"/>
  <pageSetup orientation="portrait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80E28-FDA8-41DD-810C-820412BA8E2C}">
  <dimension ref="A1:G1096"/>
  <sheetViews>
    <sheetView workbookViewId="0">
      <selection activeCell="F21" sqref="F21"/>
    </sheetView>
  </sheetViews>
  <sheetFormatPr defaultRowHeight="12.75" x14ac:dyDescent="0.2"/>
  <cols>
    <col min="1" max="1" width="20.1640625" customWidth="1"/>
    <col min="2" max="2" width="3.33203125" customWidth="1"/>
    <col min="3" max="3" width="10.1640625" customWidth="1"/>
    <col min="4" max="4" width="9.83203125" customWidth="1"/>
    <col min="5" max="5" width="13.83203125" customWidth="1"/>
    <col min="6" max="6" width="17.33203125" customWidth="1"/>
    <col min="7" max="7" width="23.33203125" customWidth="1"/>
  </cols>
  <sheetData>
    <row r="1" spans="1:7" ht="14.25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</row>
    <row r="2" spans="1:7" ht="15" x14ac:dyDescent="0.25">
      <c r="A2" s="17" t="s">
        <v>363</v>
      </c>
      <c r="B2" s="36">
        <v>16.96</v>
      </c>
      <c r="C2" s="18">
        <v>4</v>
      </c>
      <c r="D2" s="35">
        <f t="shared" ref="D2:D64" si="0">C2*B2</f>
        <v>67.84</v>
      </c>
      <c r="E2" s="13" t="s">
        <v>441</v>
      </c>
      <c r="F2" s="18"/>
      <c r="G2" s="19"/>
    </row>
    <row r="3" spans="1:7" x14ac:dyDescent="0.2">
      <c r="A3" t="s">
        <v>368</v>
      </c>
      <c r="B3" s="8">
        <v>1.1299999999999999</v>
      </c>
      <c r="C3" s="18">
        <v>1</v>
      </c>
      <c r="D3" s="35">
        <f t="shared" si="0"/>
        <v>1.1299999999999999</v>
      </c>
      <c r="E3" s="13" t="s">
        <v>441</v>
      </c>
      <c r="F3" s="18"/>
      <c r="G3" s="19"/>
    </row>
    <row r="4" spans="1:7" x14ac:dyDescent="0.2">
      <c r="A4" s="17" t="s">
        <v>115</v>
      </c>
      <c r="B4" s="8"/>
      <c r="C4" s="18">
        <v>1</v>
      </c>
      <c r="D4" s="35">
        <f t="shared" si="0"/>
        <v>0</v>
      </c>
      <c r="E4" s="13" t="s">
        <v>441</v>
      </c>
      <c r="F4" s="18"/>
      <c r="G4" s="19"/>
    </row>
    <row r="5" spans="1:7" x14ac:dyDescent="0.2">
      <c r="A5" s="17" t="s">
        <v>384</v>
      </c>
      <c r="B5" s="8"/>
      <c r="C5" s="18">
        <v>4</v>
      </c>
      <c r="D5" s="35">
        <f t="shared" si="0"/>
        <v>0</v>
      </c>
      <c r="E5" s="13" t="s">
        <v>441</v>
      </c>
      <c r="F5" s="18"/>
      <c r="G5" s="19"/>
    </row>
    <row r="6" spans="1:7" x14ac:dyDescent="0.2">
      <c r="A6" s="34" t="s">
        <v>369</v>
      </c>
      <c r="B6" s="23"/>
      <c r="C6" s="18">
        <v>1</v>
      </c>
      <c r="D6" s="35">
        <f t="shared" si="0"/>
        <v>0</v>
      </c>
      <c r="E6" s="13" t="s">
        <v>441</v>
      </c>
      <c r="F6" s="18"/>
    </row>
    <row r="7" spans="1:7" ht="15" x14ac:dyDescent="0.25">
      <c r="A7" s="37" t="s">
        <v>344</v>
      </c>
      <c r="B7" s="8">
        <v>1.59</v>
      </c>
      <c r="C7" s="9">
        <v>2</v>
      </c>
      <c r="D7" s="35">
        <f t="shared" si="0"/>
        <v>3.18</v>
      </c>
      <c r="E7" s="11" t="s">
        <v>441</v>
      </c>
      <c r="F7" s="12"/>
      <c r="G7" s="9"/>
    </row>
    <row r="8" spans="1:7" x14ac:dyDescent="0.2">
      <c r="A8" s="34" t="s">
        <v>372</v>
      </c>
      <c r="B8" s="23">
        <v>1.54</v>
      </c>
      <c r="C8" s="18">
        <v>2</v>
      </c>
      <c r="D8" s="35">
        <f t="shared" si="0"/>
        <v>3.08</v>
      </c>
      <c r="E8" t="s">
        <v>441</v>
      </c>
      <c r="F8" s="18"/>
    </row>
    <row r="9" spans="1:7" x14ac:dyDescent="0.2">
      <c r="A9" s="34" t="s">
        <v>60</v>
      </c>
      <c r="B9" s="23">
        <v>1.54</v>
      </c>
      <c r="C9" s="18">
        <v>2</v>
      </c>
      <c r="D9" s="35">
        <f t="shared" si="0"/>
        <v>3.08</v>
      </c>
      <c r="E9" t="s">
        <v>441</v>
      </c>
      <c r="F9" s="18"/>
    </row>
    <row r="10" spans="1:7" x14ac:dyDescent="0.2">
      <c r="A10" s="17" t="s">
        <v>352</v>
      </c>
      <c r="B10" s="8">
        <v>1.32</v>
      </c>
      <c r="C10" s="18">
        <v>6</v>
      </c>
      <c r="D10" s="35">
        <f t="shared" si="0"/>
        <v>7.92</v>
      </c>
      <c r="E10" s="13" t="s">
        <v>441</v>
      </c>
      <c r="F10" s="18"/>
      <c r="G10" s="19"/>
    </row>
    <row r="11" spans="1:7" x14ac:dyDescent="0.2">
      <c r="A11" s="17" t="s">
        <v>322</v>
      </c>
      <c r="B11" s="8">
        <v>1.29</v>
      </c>
      <c r="C11" s="18">
        <v>4</v>
      </c>
      <c r="D11" s="35">
        <f t="shared" si="0"/>
        <v>5.16</v>
      </c>
      <c r="E11" s="13" t="s">
        <v>441</v>
      </c>
      <c r="F11" s="18"/>
      <c r="G11" s="19"/>
    </row>
    <row r="12" spans="1:7" x14ac:dyDescent="0.2">
      <c r="A12" s="17" t="s">
        <v>364</v>
      </c>
      <c r="B12" s="8">
        <v>2.0299999999999998</v>
      </c>
      <c r="C12" s="18">
        <v>4</v>
      </c>
      <c r="D12" s="35">
        <f t="shared" si="0"/>
        <v>8.1199999999999992</v>
      </c>
      <c r="E12" s="13" t="s">
        <v>441</v>
      </c>
      <c r="F12" s="18"/>
      <c r="G12" s="19"/>
    </row>
    <row r="13" spans="1:7" x14ac:dyDescent="0.2">
      <c r="A13" s="17" t="s">
        <v>383</v>
      </c>
      <c r="B13" s="8"/>
      <c r="C13" s="18">
        <v>3</v>
      </c>
      <c r="D13" s="35">
        <f t="shared" si="0"/>
        <v>0</v>
      </c>
      <c r="E13" s="13" t="s">
        <v>441</v>
      </c>
      <c r="F13" s="18"/>
      <c r="G13" s="19"/>
    </row>
    <row r="14" spans="1:7" x14ac:dyDescent="0.2">
      <c r="A14" s="17" t="s">
        <v>382</v>
      </c>
      <c r="B14" s="8"/>
      <c r="C14" s="18">
        <v>1</v>
      </c>
      <c r="D14" s="35">
        <f t="shared" si="0"/>
        <v>0</v>
      </c>
      <c r="E14" s="13" t="s">
        <v>441</v>
      </c>
      <c r="F14" s="18"/>
      <c r="G14" s="19"/>
    </row>
    <row r="15" spans="1:7" x14ac:dyDescent="0.2">
      <c r="A15" t="s">
        <v>350</v>
      </c>
      <c r="B15" s="8">
        <v>1.58</v>
      </c>
      <c r="C15" s="18">
        <v>1</v>
      </c>
      <c r="D15" s="35">
        <f t="shared" si="0"/>
        <v>1.58</v>
      </c>
      <c r="E15" t="s">
        <v>441</v>
      </c>
      <c r="F15" s="19"/>
    </row>
    <row r="16" spans="1:7" x14ac:dyDescent="0.2">
      <c r="A16" s="17" t="s">
        <v>360</v>
      </c>
      <c r="B16" s="8"/>
      <c r="C16" s="18">
        <v>1</v>
      </c>
      <c r="D16" s="35">
        <f t="shared" si="0"/>
        <v>0</v>
      </c>
      <c r="E16" s="13" t="s">
        <v>446</v>
      </c>
      <c r="F16" s="18" t="s">
        <v>447</v>
      </c>
      <c r="G16" s="19"/>
    </row>
    <row r="17" spans="1:7" ht="15" x14ac:dyDescent="0.25">
      <c r="A17" s="17" t="s">
        <v>365</v>
      </c>
      <c r="B17" s="36">
        <v>1.43</v>
      </c>
      <c r="C17" s="18">
        <v>4</v>
      </c>
      <c r="D17" s="35">
        <f t="shared" si="0"/>
        <v>5.72</v>
      </c>
      <c r="E17" s="13" t="s">
        <v>441</v>
      </c>
      <c r="F17" s="18"/>
      <c r="G17" s="19"/>
    </row>
    <row r="18" spans="1:7" ht="15" x14ac:dyDescent="0.25">
      <c r="A18" s="17" t="s">
        <v>324</v>
      </c>
      <c r="B18" s="36">
        <v>1.51</v>
      </c>
      <c r="C18" s="18">
        <v>4</v>
      </c>
      <c r="D18" s="35">
        <f t="shared" si="0"/>
        <v>6.04</v>
      </c>
      <c r="E18" s="13" t="s">
        <v>441</v>
      </c>
      <c r="F18" s="18"/>
      <c r="G18" s="19"/>
    </row>
    <row r="19" spans="1:7" x14ac:dyDescent="0.2">
      <c r="A19" s="17" t="s">
        <v>385</v>
      </c>
      <c r="B19" s="8"/>
      <c r="C19" s="18">
        <v>1</v>
      </c>
      <c r="D19" s="35">
        <f t="shared" si="0"/>
        <v>0</v>
      </c>
      <c r="E19" s="13" t="s">
        <v>443</v>
      </c>
      <c r="F19" s="18"/>
      <c r="G19" s="19"/>
    </row>
    <row r="20" spans="1:7" x14ac:dyDescent="0.2">
      <c r="A20" s="17" t="s">
        <v>386</v>
      </c>
      <c r="B20" s="8"/>
      <c r="C20" s="18">
        <v>1</v>
      </c>
      <c r="D20" s="35">
        <f t="shared" si="0"/>
        <v>0</v>
      </c>
      <c r="E20" s="13" t="s">
        <v>441</v>
      </c>
      <c r="F20" s="18"/>
      <c r="G20" s="19"/>
    </row>
    <row r="21" spans="1:7" x14ac:dyDescent="0.2">
      <c r="A21" t="s">
        <v>351</v>
      </c>
      <c r="B21" s="8">
        <v>2.66</v>
      </c>
      <c r="C21" s="18">
        <v>2</v>
      </c>
      <c r="D21" s="35">
        <f t="shared" si="0"/>
        <v>5.32</v>
      </c>
      <c r="E21" s="13" t="s">
        <v>445</v>
      </c>
      <c r="F21" s="19" t="s">
        <v>444</v>
      </c>
    </row>
    <row r="22" spans="1:7" x14ac:dyDescent="0.2">
      <c r="A22" s="17" t="s">
        <v>401</v>
      </c>
      <c r="B22" s="8"/>
      <c r="C22" s="18">
        <v>1</v>
      </c>
      <c r="D22" s="35">
        <f t="shared" si="0"/>
        <v>0</v>
      </c>
      <c r="E22" s="13" t="s">
        <v>443</v>
      </c>
      <c r="F22" s="18"/>
      <c r="G22" s="19"/>
    </row>
    <row r="23" spans="1:7" x14ac:dyDescent="0.2">
      <c r="A23" s="17" t="s">
        <v>355</v>
      </c>
      <c r="B23" s="8"/>
      <c r="C23" s="18">
        <v>1</v>
      </c>
      <c r="D23" s="35">
        <f t="shared" si="0"/>
        <v>0</v>
      </c>
      <c r="E23" s="13" t="s">
        <v>441</v>
      </c>
      <c r="F23" s="18"/>
      <c r="G23" s="19"/>
    </row>
    <row r="24" spans="1:7" x14ac:dyDescent="0.2">
      <c r="A24" s="17" t="s">
        <v>381</v>
      </c>
      <c r="B24" s="8"/>
      <c r="C24" s="18">
        <v>1</v>
      </c>
      <c r="D24" s="35">
        <f t="shared" si="0"/>
        <v>0</v>
      </c>
      <c r="E24" s="13" t="s">
        <v>441</v>
      </c>
      <c r="F24" s="18"/>
      <c r="G24" s="19"/>
    </row>
    <row r="25" spans="1:7" x14ac:dyDescent="0.2">
      <c r="A25" s="17" t="s">
        <v>113</v>
      </c>
      <c r="B25" s="8">
        <v>2.39</v>
      </c>
      <c r="C25" s="18">
        <v>4</v>
      </c>
      <c r="D25" s="35">
        <f t="shared" si="0"/>
        <v>9.56</v>
      </c>
      <c r="E25" s="13" t="s">
        <v>441</v>
      </c>
      <c r="F25" s="18"/>
      <c r="G25" s="19"/>
    </row>
    <row r="26" spans="1:7" x14ac:dyDescent="0.2">
      <c r="A26" s="17" t="s">
        <v>357</v>
      </c>
      <c r="B26" s="8"/>
      <c r="C26" s="18">
        <v>1</v>
      </c>
      <c r="D26" s="35">
        <f t="shared" si="0"/>
        <v>0</v>
      </c>
      <c r="E26" s="13" t="s">
        <v>441</v>
      </c>
      <c r="F26" s="18"/>
      <c r="G26" s="19"/>
    </row>
    <row r="27" spans="1:7" x14ac:dyDescent="0.2">
      <c r="A27" s="17" t="s">
        <v>356</v>
      </c>
      <c r="B27" s="8"/>
      <c r="C27" s="18">
        <v>1</v>
      </c>
      <c r="D27" s="35">
        <f t="shared" si="0"/>
        <v>0</v>
      </c>
      <c r="E27" s="13" t="s">
        <v>443</v>
      </c>
      <c r="F27" s="18"/>
      <c r="G27" s="19"/>
    </row>
    <row r="28" spans="1:7" x14ac:dyDescent="0.2">
      <c r="A28" s="34" t="s">
        <v>375</v>
      </c>
      <c r="B28" s="8"/>
      <c r="C28" s="18">
        <v>1</v>
      </c>
      <c r="D28" s="35">
        <f t="shared" si="0"/>
        <v>0</v>
      </c>
      <c r="E28" s="13" t="s">
        <v>441</v>
      </c>
      <c r="F28" s="18"/>
      <c r="G28" s="19"/>
    </row>
    <row r="29" spans="1:7" x14ac:dyDescent="0.2">
      <c r="A29" s="17" t="s">
        <v>361</v>
      </c>
      <c r="B29" s="23">
        <v>8.09</v>
      </c>
      <c r="C29" s="18">
        <v>1</v>
      </c>
      <c r="D29" s="35">
        <f t="shared" si="0"/>
        <v>8.09</v>
      </c>
      <c r="E29" s="13" t="s">
        <v>442</v>
      </c>
      <c r="F29" s="18"/>
    </row>
    <row r="30" spans="1:7" ht="15" x14ac:dyDescent="0.25">
      <c r="A30" s="17" t="s">
        <v>371</v>
      </c>
      <c r="B30" s="36"/>
      <c r="C30" s="18">
        <v>4</v>
      </c>
      <c r="D30" s="35">
        <f t="shared" si="0"/>
        <v>0</v>
      </c>
      <c r="E30" s="13" t="s">
        <v>441</v>
      </c>
      <c r="F30" s="18"/>
      <c r="G30" s="19"/>
    </row>
    <row r="31" spans="1:7" x14ac:dyDescent="0.2">
      <c r="A31" s="17" t="s">
        <v>321</v>
      </c>
      <c r="B31" s="8"/>
      <c r="C31" s="18">
        <v>2</v>
      </c>
      <c r="D31" s="35">
        <f t="shared" si="0"/>
        <v>0</v>
      </c>
      <c r="E31" s="13" t="s">
        <v>442</v>
      </c>
      <c r="F31" s="18"/>
      <c r="G31" s="19"/>
    </row>
    <row r="32" spans="1:7" x14ac:dyDescent="0.2">
      <c r="A32" s="17" t="s">
        <v>354</v>
      </c>
      <c r="B32" s="8"/>
      <c r="C32" s="18">
        <v>1</v>
      </c>
      <c r="D32" s="35">
        <f t="shared" si="0"/>
        <v>0</v>
      </c>
      <c r="E32" s="13"/>
      <c r="F32" s="18"/>
      <c r="G32" s="19"/>
    </row>
    <row r="33" spans="1:7" ht="38.25" x14ac:dyDescent="0.2">
      <c r="A33" s="17" t="s">
        <v>396</v>
      </c>
      <c r="B33" s="8">
        <v>11.89</v>
      </c>
      <c r="C33" s="18">
        <v>2</v>
      </c>
      <c r="D33" s="35">
        <f t="shared" si="0"/>
        <v>23.78</v>
      </c>
      <c r="E33" s="25"/>
      <c r="F33" s="18" t="s">
        <v>52</v>
      </c>
      <c r="G33" s="19" t="s">
        <v>101</v>
      </c>
    </row>
    <row r="34" spans="1:7" ht="38.25" x14ac:dyDescent="0.2">
      <c r="A34" s="17" t="s">
        <v>391</v>
      </c>
      <c r="B34" s="8">
        <v>7.6</v>
      </c>
      <c r="C34" s="18">
        <v>4</v>
      </c>
      <c r="D34" s="35">
        <f t="shared" si="0"/>
        <v>30.4</v>
      </c>
      <c r="E34" s="25"/>
      <c r="F34" s="18" t="s">
        <v>52</v>
      </c>
      <c r="G34" s="19" t="s">
        <v>90</v>
      </c>
    </row>
    <row r="35" spans="1:7" ht="38.25" x14ac:dyDescent="0.2">
      <c r="A35" s="17" t="s">
        <v>393</v>
      </c>
      <c r="B35" s="8">
        <v>7.79</v>
      </c>
      <c r="C35" s="18">
        <v>4</v>
      </c>
      <c r="D35" s="35">
        <f t="shared" si="0"/>
        <v>31.16</v>
      </c>
      <c r="E35" s="25"/>
      <c r="F35" s="18" t="s">
        <v>52</v>
      </c>
      <c r="G35" s="19" t="s">
        <v>95</v>
      </c>
    </row>
    <row r="36" spans="1:7" x14ac:dyDescent="0.2">
      <c r="A36" s="34" t="s">
        <v>374</v>
      </c>
      <c r="B36" s="23">
        <v>10.89</v>
      </c>
      <c r="C36" s="18">
        <v>2</v>
      </c>
      <c r="D36" s="35">
        <f t="shared" si="0"/>
        <v>21.78</v>
      </c>
      <c r="F36" s="18" t="s">
        <v>52</v>
      </c>
    </row>
    <row r="37" spans="1:7" x14ac:dyDescent="0.2">
      <c r="A37" s="34" t="s">
        <v>405</v>
      </c>
      <c r="B37" s="23">
        <v>16.82</v>
      </c>
      <c r="C37" s="18">
        <v>1</v>
      </c>
      <c r="D37" s="35">
        <f t="shared" si="0"/>
        <v>16.82</v>
      </c>
      <c r="F37" s="18" t="s">
        <v>52</v>
      </c>
    </row>
    <row r="38" spans="1:7" x14ac:dyDescent="0.2">
      <c r="A38" s="34" t="s">
        <v>373</v>
      </c>
      <c r="B38" s="23">
        <v>32.57</v>
      </c>
      <c r="C38" s="18">
        <v>5</v>
      </c>
      <c r="D38" s="35">
        <f t="shared" si="0"/>
        <v>162.85</v>
      </c>
      <c r="F38" s="18" t="s">
        <v>52</v>
      </c>
    </row>
    <row r="39" spans="1:7" x14ac:dyDescent="0.2">
      <c r="A39" s="34" t="s">
        <v>406</v>
      </c>
      <c r="B39" s="23">
        <v>30.14</v>
      </c>
      <c r="C39" s="18">
        <v>2</v>
      </c>
      <c r="D39" s="35">
        <f t="shared" si="0"/>
        <v>60.28</v>
      </c>
      <c r="F39" s="18" t="s">
        <v>52</v>
      </c>
    </row>
    <row r="40" spans="1:7" x14ac:dyDescent="0.2">
      <c r="A40" s="34" t="s">
        <v>407</v>
      </c>
      <c r="B40" s="23">
        <v>44.68</v>
      </c>
      <c r="C40" s="18">
        <v>1</v>
      </c>
      <c r="D40" s="35">
        <f t="shared" si="0"/>
        <v>44.68</v>
      </c>
      <c r="F40" s="18" t="s">
        <v>52</v>
      </c>
    </row>
    <row r="41" spans="1:7" x14ac:dyDescent="0.2">
      <c r="A41" s="34" t="s">
        <v>408</v>
      </c>
      <c r="B41" s="8">
        <v>41.18</v>
      </c>
      <c r="C41" s="18">
        <v>4</v>
      </c>
      <c r="D41" s="35">
        <f t="shared" si="0"/>
        <v>164.72</v>
      </c>
      <c r="F41" s="18" t="s">
        <v>52</v>
      </c>
    </row>
    <row r="42" spans="1:7" x14ac:dyDescent="0.2">
      <c r="A42" s="34" t="s">
        <v>399</v>
      </c>
      <c r="B42" s="8">
        <v>66.260000000000005</v>
      </c>
      <c r="C42" s="18">
        <v>1</v>
      </c>
      <c r="D42" s="35">
        <f t="shared" si="0"/>
        <v>66.260000000000005</v>
      </c>
      <c r="F42" s="19" t="s">
        <v>185</v>
      </c>
    </row>
    <row r="43" spans="1:7" ht="51" x14ac:dyDescent="0.2">
      <c r="A43" s="17" t="s">
        <v>397</v>
      </c>
      <c r="B43" s="8">
        <v>26.9</v>
      </c>
      <c r="C43" s="18">
        <v>4</v>
      </c>
      <c r="D43" s="35">
        <f t="shared" si="0"/>
        <v>107.6</v>
      </c>
      <c r="E43" s="25"/>
      <c r="F43" s="18" t="s">
        <v>52</v>
      </c>
    </row>
    <row r="44" spans="1:7" x14ac:dyDescent="0.2">
      <c r="A44" s="34" t="s">
        <v>335</v>
      </c>
      <c r="B44" s="23">
        <v>9.3800000000000008</v>
      </c>
      <c r="C44" s="18">
        <v>2</v>
      </c>
      <c r="D44" s="35">
        <f t="shared" si="0"/>
        <v>18.760000000000002</v>
      </c>
      <c r="F44" s="18" t="s">
        <v>52</v>
      </c>
    </row>
    <row r="45" spans="1:7" x14ac:dyDescent="0.2">
      <c r="A45" s="34" t="s">
        <v>334</v>
      </c>
      <c r="B45" s="23">
        <v>17.53</v>
      </c>
      <c r="C45" s="18">
        <v>1</v>
      </c>
      <c r="D45" s="35">
        <f t="shared" si="0"/>
        <v>17.53</v>
      </c>
      <c r="F45" s="18" t="s">
        <v>52</v>
      </c>
    </row>
    <row r="46" spans="1:7" x14ac:dyDescent="0.2">
      <c r="A46" s="34" t="s">
        <v>314</v>
      </c>
      <c r="B46" s="23">
        <v>28.36</v>
      </c>
      <c r="C46" s="18">
        <v>5</v>
      </c>
      <c r="D46" s="35">
        <f t="shared" si="0"/>
        <v>141.80000000000001</v>
      </c>
      <c r="F46" s="18" t="s">
        <v>52</v>
      </c>
    </row>
    <row r="47" spans="1:7" x14ac:dyDescent="0.2">
      <c r="A47" s="34" t="s">
        <v>328</v>
      </c>
      <c r="B47" s="23">
        <v>28.36</v>
      </c>
      <c r="C47" s="18">
        <v>1</v>
      </c>
      <c r="D47" s="35">
        <f t="shared" si="0"/>
        <v>28.36</v>
      </c>
      <c r="F47" s="18" t="s">
        <v>52</v>
      </c>
    </row>
    <row r="48" spans="1:7" x14ac:dyDescent="0.2">
      <c r="A48" s="34" t="s">
        <v>370</v>
      </c>
      <c r="B48" s="23">
        <v>25.92</v>
      </c>
      <c r="C48" s="18">
        <v>2</v>
      </c>
      <c r="D48" s="35">
        <f t="shared" si="0"/>
        <v>51.84</v>
      </c>
      <c r="F48" s="18" t="s">
        <v>52</v>
      </c>
    </row>
    <row r="49" spans="1:7" x14ac:dyDescent="0.2">
      <c r="A49" s="34" t="s">
        <v>327</v>
      </c>
      <c r="B49" s="23">
        <v>44.18</v>
      </c>
      <c r="C49" s="18">
        <v>2</v>
      </c>
      <c r="D49" s="35">
        <f t="shared" si="0"/>
        <v>88.36</v>
      </c>
      <c r="F49" s="18" t="s">
        <v>52</v>
      </c>
    </row>
    <row r="50" spans="1:7" x14ac:dyDescent="0.2">
      <c r="A50" s="34" t="s">
        <v>313</v>
      </c>
      <c r="B50" s="23">
        <v>51.56</v>
      </c>
      <c r="C50" s="18">
        <v>2</v>
      </c>
      <c r="D50" s="35">
        <f t="shared" si="0"/>
        <v>103.12</v>
      </c>
      <c r="F50" s="19" t="s">
        <v>185</v>
      </c>
    </row>
    <row r="51" spans="1:7" x14ac:dyDescent="0.2">
      <c r="A51" s="34" t="s">
        <v>318</v>
      </c>
      <c r="B51" s="23">
        <v>11.29</v>
      </c>
      <c r="C51" s="18">
        <v>4</v>
      </c>
      <c r="D51" s="35">
        <f t="shared" si="0"/>
        <v>45.16</v>
      </c>
      <c r="F51" s="18" t="s">
        <v>52</v>
      </c>
    </row>
    <row r="52" spans="1:7" x14ac:dyDescent="0.2">
      <c r="A52" s="34" t="s">
        <v>332</v>
      </c>
      <c r="B52" s="23">
        <v>20.91</v>
      </c>
      <c r="C52" s="18">
        <v>6</v>
      </c>
      <c r="D52" s="35">
        <f t="shared" si="0"/>
        <v>125.46000000000001</v>
      </c>
      <c r="F52" s="18" t="s">
        <v>52</v>
      </c>
    </row>
    <row r="53" spans="1:7" ht="38.25" x14ac:dyDescent="0.2">
      <c r="A53" s="17" t="s">
        <v>316</v>
      </c>
      <c r="B53" s="23">
        <v>18.98</v>
      </c>
      <c r="C53" s="18">
        <v>2</v>
      </c>
      <c r="D53" s="35">
        <f t="shared" si="0"/>
        <v>37.96</v>
      </c>
      <c r="F53" s="19" t="s">
        <v>185</v>
      </c>
    </row>
    <row r="54" spans="1:7" ht="38.25" x14ac:dyDescent="0.2">
      <c r="A54" s="17" t="s">
        <v>341</v>
      </c>
      <c r="B54" s="8">
        <v>31.12</v>
      </c>
      <c r="C54" s="18">
        <v>7</v>
      </c>
      <c r="D54" s="35">
        <f t="shared" si="0"/>
        <v>217.84</v>
      </c>
      <c r="E54" s="13"/>
      <c r="F54" s="19" t="s">
        <v>185</v>
      </c>
      <c r="G54" s="19" t="s">
        <v>186</v>
      </c>
    </row>
    <row r="55" spans="1:7" x14ac:dyDescent="0.2">
      <c r="A55" t="s">
        <v>339</v>
      </c>
      <c r="B55" s="8">
        <v>32.619999999999997</v>
      </c>
      <c r="C55" s="18">
        <v>1</v>
      </c>
      <c r="D55" s="35">
        <f t="shared" si="0"/>
        <v>32.619999999999997</v>
      </c>
      <c r="F55" s="19" t="s">
        <v>185</v>
      </c>
    </row>
    <row r="56" spans="1:7" ht="38.25" x14ac:dyDescent="0.2">
      <c r="A56" s="17" t="s">
        <v>315</v>
      </c>
      <c r="B56" s="23">
        <v>39.270000000000003</v>
      </c>
      <c r="C56" s="18">
        <v>2</v>
      </c>
      <c r="D56" s="35">
        <f t="shared" si="0"/>
        <v>78.540000000000006</v>
      </c>
      <c r="F56" s="19" t="s">
        <v>185</v>
      </c>
    </row>
    <row r="57" spans="1:7" x14ac:dyDescent="0.2">
      <c r="A57" s="34" t="s">
        <v>312</v>
      </c>
      <c r="B57" s="23">
        <v>127.65</v>
      </c>
      <c r="C57" s="18">
        <v>4</v>
      </c>
      <c r="D57" s="35">
        <f t="shared" si="0"/>
        <v>510.6</v>
      </c>
      <c r="F57" s="19" t="s">
        <v>185</v>
      </c>
    </row>
    <row r="58" spans="1:7" x14ac:dyDescent="0.2">
      <c r="A58" s="34" t="s">
        <v>402</v>
      </c>
      <c r="B58" s="23">
        <v>77.75</v>
      </c>
      <c r="C58" s="18">
        <v>2</v>
      </c>
      <c r="D58" s="35">
        <f t="shared" si="0"/>
        <v>155.5</v>
      </c>
      <c r="F58" s="18" t="s">
        <v>52</v>
      </c>
    </row>
    <row r="59" spans="1:7" x14ac:dyDescent="0.2">
      <c r="A59" s="34" t="s">
        <v>403</v>
      </c>
      <c r="B59" s="23">
        <v>82.98</v>
      </c>
      <c r="C59" s="18">
        <v>1</v>
      </c>
      <c r="D59" s="35">
        <f t="shared" si="0"/>
        <v>82.98</v>
      </c>
      <c r="F59" s="18" t="s">
        <v>52</v>
      </c>
    </row>
    <row r="60" spans="1:7" ht="15" x14ac:dyDescent="0.25">
      <c r="A60" t="s">
        <v>367</v>
      </c>
      <c r="B60" s="36">
        <v>116.02</v>
      </c>
      <c r="C60" s="18">
        <v>1</v>
      </c>
      <c r="D60" s="35">
        <f t="shared" si="0"/>
        <v>116.02</v>
      </c>
      <c r="E60" s="13"/>
      <c r="F60" s="18"/>
      <c r="G60" s="19"/>
    </row>
    <row r="61" spans="1:7" ht="25.5" x14ac:dyDescent="0.2">
      <c r="A61" s="17" t="s">
        <v>320</v>
      </c>
      <c r="B61" s="23">
        <v>190.61</v>
      </c>
      <c r="C61" s="18">
        <v>1</v>
      </c>
      <c r="D61" s="35">
        <f t="shared" si="0"/>
        <v>190.61</v>
      </c>
      <c r="F61" s="19" t="s">
        <v>185</v>
      </c>
    </row>
    <row r="62" spans="1:7" x14ac:dyDescent="0.2">
      <c r="A62" s="34" t="s">
        <v>311</v>
      </c>
      <c r="B62" s="23">
        <v>77.22</v>
      </c>
      <c r="C62" s="18">
        <v>2</v>
      </c>
      <c r="D62" s="35">
        <f t="shared" si="0"/>
        <v>154.44</v>
      </c>
      <c r="F62" s="18" t="s">
        <v>125</v>
      </c>
    </row>
    <row r="63" spans="1:7" x14ac:dyDescent="0.2">
      <c r="A63" s="34" t="s">
        <v>326</v>
      </c>
      <c r="B63" s="23">
        <v>100.82</v>
      </c>
      <c r="C63" s="18">
        <v>1</v>
      </c>
      <c r="D63" s="35">
        <f t="shared" si="0"/>
        <v>100.82</v>
      </c>
      <c r="F63" s="18" t="s">
        <v>125</v>
      </c>
    </row>
    <row r="64" spans="1:7" x14ac:dyDescent="0.2">
      <c r="A64" s="34" t="s">
        <v>325</v>
      </c>
      <c r="B64" s="23">
        <v>134.81</v>
      </c>
      <c r="C64" s="18">
        <v>4</v>
      </c>
      <c r="D64" s="35">
        <f t="shared" si="0"/>
        <v>539.24</v>
      </c>
      <c r="F64" s="18" t="s">
        <v>125</v>
      </c>
    </row>
    <row r="65" spans="1:7" x14ac:dyDescent="0.2">
      <c r="A65" s="34" t="s">
        <v>404</v>
      </c>
      <c r="B65" s="23">
        <v>103.48</v>
      </c>
      <c r="C65" s="18">
        <v>2</v>
      </c>
      <c r="D65" s="35">
        <f t="shared" ref="D65:D70" si="1">C65*B65</f>
        <v>206.96</v>
      </c>
      <c r="F65" s="19" t="s">
        <v>185</v>
      </c>
      <c r="G65" s="19" t="s">
        <v>235</v>
      </c>
    </row>
    <row r="66" spans="1:7" ht="63.75" x14ac:dyDescent="0.2">
      <c r="A66" s="17" t="s">
        <v>392</v>
      </c>
      <c r="B66" s="8">
        <v>26.63</v>
      </c>
      <c r="C66" s="18">
        <v>4</v>
      </c>
      <c r="D66" s="35">
        <f t="shared" si="1"/>
        <v>106.52</v>
      </c>
      <c r="E66" s="25"/>
      <c r="F66" s="18" t="s">
        <v>52</v>
      </c>
      <c r="G66" s="19" t="s">
        <v>93</v>
      </c>
    </row>
    <row r="67" spans="1:7" ht="63.75" x14ac:dyDescent="0.2">
      <c r="A67" s="17" t="s">
        <v>395</v>
      </c>
      <c r="B67" s="8">
        <v>33.04</v>
      </c>
      <c r="C67" s="18">
        <v>2</v>
      </c>
      <c r="D67" s="35">
        <f t="shared" si="1"/>
        <v>66.08</v>
      </c>
      <c r="E67" s="25"/>
      <c r="F67" s="18" t="s">
        <v>52</v>
      </c>
      <c r="G67" s="19" t="s">
        <v>99</v>
      </c>
    </row>
    <row r="68" spans="1:7" ht="51" x14ac:dyDescent="0.2">
      <c r="A68" s="17" t="s">
        <v>394</v>
      </c>
      <c r="B68" s="8">
        <v>39.92</v>
      </c>
      <c r="C68" s="18">
        <v>2</v>
      </c>
      <c r="D68" s="35">
        <f t="shared" si="1"/>
        <v>79.84</v>
      </c>
      <c r="E68" s="25"/>
      <c r="F68" s="18" t="s">
        <v>52</v>
      </c>
      <c r="G68" s="19" t="s">
        <v>97</v>
      </c>
    </row>
    <row r="69" spans="1:7" ht="15" x14ac:dyDescent="0.25">
      <c r="A69" s="34" t="s">
        <v>400</v>
      </c>
      <c r="B69" s="23">
        <v>70.59</v>
      </c>
      <c r="C69" s="9">
        <v>1</v>
      </c>
      <c r="D69" s="35">
        <f t="shared" si="1"/>
        <v>70.59</v>
      </c>
      <c r="E69" s="11"/>
      <c r="F69" s="18"/>
      <c r="G69" s="19" t="s">
        <v>53</v>
      </c>
    </row>
    <row r="70" spans="1:7" ht="15" x14ac:dyDescent="0.25">
      <c r="A70" s="19" t="s">
        <v>398</v>
      </c>
      <c r="B70" s="23">
        <v>66.62</v>
      </c>
      <c r="C70" s="9">
        <v>3</v>
      </c>
      <c r="D70" s="35">
        <f t="shared" si="1"/>
        <v>199.86</v>
      </c>
      <c r="E70" s="11"/>
      <c r="F70" s="18"/>
      <c r="G70" s="19" t="s">
        <v>73</v>
      </c>
    </row>
    <row r="71" spans="1:7" x14ac:dyDescent="0.2">
      <c r="A71" s="17"/>
      <c r="B71" s="17"/>
      <c r="C71" s="17"/>
      <c r="D71" s="17"/>
      <c r="E71" s="17"/>
      <c r="F71" s="17"/>
      <c r="G71" s="17"/>
    </row>
    <row r="72" spans="1:7" ht="15" x14ac:dyDescent="0.25">
      <c r="A72" s="17"/>
      <c r="B72" s="8"/>
      <c r="C72" s="18"/>
      <c r="D72" s="10"/>
      <c r="E72" s="13"/>
      <c r="F72" s="13"/>
    </row>
    <row r="73" spans="1:7" ht="15" x14ac:dyDescent="0.25">
      <c r="A73" s="19"/>
      <c r="B73" s="23"/>
      <c r="C73" s="9"/>
      <c r="D73" s="10">
        <f>SUM(D2:D70)</f>
        <v>4433.5599999999995</v>
      </c>
      <c r="E73" s="11"/>
      <c r="F73" s="18"/>
      <c r="G73" s="19"/>
    </row>
    <row r="74" spans="1:7" ht="15" x14ac:dyDescent="0.25">
      <c r="A74" s="19"/>
      <c r="B74" s="23"/>
      <c r="C74" s="9"/>
      <c r="D74" s="10"/>
      <c r="E74" s="11"/>
      <c r="F74" s="18"/>
      <c r="G74" s="19"/>
    </row>
    <row r="75" spans="1:7" x14ac:dyDescent="0.2">
      <c r="B75" s="8"/>
      <c r="C75" s="18"/>
      <c r="D75" s="26"/>
      <c r="F75" s="19"/>
    </row>
    <row r="76" spans="1:7" x14ac:dyDescent="0.2">
      <c r="A76" s="17"/>
      <c r="B76" s="23"/>
      <c r="C76" s="18"/>
      <c r="D76" s="26"/>
      <c r="F76" s="18"/>
    </row>
    <row r="77" spans="1:7" ht="15" x14ac:dyDescent="0.25">
      <c r="A77" s="17"/>
      <c r="B77" s="8"/>
      <c r="C77" s="18"/>
      <c r="D77" s="10"/>
      <c r="E77" s="13"/>
      <c r="F77" s="18"/>
      <c r="G77" s="19"/>
    </row>
    <row r="78" spans="1:7" x14ac:dyDescent="0.2">
      <c r="A78" s="34"/>
      <c r="B78" s="23"/>
      <c r="C78" s="18"/>
      <c r="D78" s="26"/>
      <c r="F78" s="18"/>
    </row>
    <row r="79" spans="1:7" x14ac:dyDescent="0.2">
      <c r="A79" s="17"/>
      <c r="B79" s="23"/>
      <c r="C79" s="18"/>
      <c r="D79" s="26"/>
      <c r="F79" s="18"/>
    </row>
    <row r="80" spans="1:7" ht="15" x14ac:dyDescent="0.25">
      <c r="A80" s="17"/>
      <c r="B80" s="8"/>
      <c r="C80" s="18"/>
      <c r="D80" s="10"/>
      <c r="E80" s="13"/>
      <c r="F80" s="18"/>
      <c r="G80" s="19"/>
    </row>
    <row r="81" spans="1:7" x14ac:dyDescent="0.2">
      <c r="A81" s="17"/>
      <c r="B81" s="8"/>
      <c r="C81" s="18"/>
      <c r="D81" s="26"/>
      <c r="E81" s="25"/>
      <c r="F81" s="18"/>
      <c r="G81" s="17"/>
    </row>
    <row r="82" spans="1:7" x14ac:dyDescent="0.2">
      <c r="A82" s="34"/>
      <c r="B82" s="23"/>
      <c r="C82" s="18"/>
      <c r="D82" s="26"/>
      <c r="F82" s="18"/>
    </row>
    <row r="83" spans="1:7" x14ac:dyDescent="0.2">
      <c r="A83" s="17"/>
      <c r="B83" s="23"/>
      <c r="C83" s="18"/>
      <c r="D83" s="26"/>
      <c r="F83" s="18"/>
    </row>
    <row r="84" spans="1:7" x14ac:dyDescent="0.2">
      <c r="A84" s="34"/>
      <c r="B84" s="23"/>
      <c r="C84" s="18"/>
      <c r="D84" s="26"/>
      <c r="F84" s="18"/>
    </row>
    <row r="85" spans="1:7" x14ac:dyDescent="0.2">
      <c r="A85" s="34"/>
      <c r="B85" s="23"/>
      <c r="C85" s="18"/>
      <c r="D85" s="26"/>
      <c r="F85" s="19"/>
    </row>
    <row r="86" spans="1:7" x14ac:dyDescent="0.2">
      <c r="A86" s="34"/>
      <c r="B86" s="8"/>
      <c r="C86" s="18"/>
      <c r="D86" s="26"/>
      <c r="E86" s="13"/>
      <c r="F86" s="18"/>
      <c r="G86" s="19"/>
    </row>
    <row r="87" spans="1:7" x14ac:dyDescent="0.2">
      <c r="C87" s="18"/>
      <c r="D87" s="26"/>
      <c r="E87" s="13"/>
      <c r="F87" s="19"/>
      <c r="G87" s="19"/>
    </row>
    <row r="88" spans="1:7" x14ac:dyDescent="0.2">
      <c r="A88" s="34"/>
      <c r="B88" s="23"/>
      <c r="C88" s="18"/>
      <c r="D88" s="26"/>
      <c r="F88" s="18"/>
    </row>
    <row r="89" spans="1:7" x14ac:dyDescent="0.2">
      <c r="A89" s="17"/>
      <c r="B89" s="23"/>
      <c r="C89" s="18"/>
      <c r="D89" s="26"/>
      <c r="F89" s="19"/>
    </row>
    <row r="90" spans="1:7" x14ac:dyDescent="0.2">
      <c r="A90" s="34"/>
      <c r="B90" s="23"/>
      <c r="C90" s="18"/>
      <c r="D90" s="26"/>
      <c r="F90" s="18"/>
    </row>
    <row r="91" spans="1:7" x14ac:dyDescent="0.2">
      <c r="A91" s="34"/>
      <c r="B91" s="23"/>
      <c r="C91" s="18"/>
      <c r="D91" s="26"/>
      <c r="F91" s="18"/>
    </row>
    <row r="92" spans="1:7" x14ac:dyDescent="0.2">
      <c r="A92" s="34"/>
      <c r="B92" s="23"/>
      <c r="C92" s="18"/>
      <c r="D92" s="26"/>
      <c r="F92" s="18"/>
    </row>
    <row r="93" spans="1:7" x14ac:dyDescent="0.2">
      <c r="A93" s="34"/>
      <c r="B93" s="23"/>
      <c r="C93" s="18"/>
      <c r="D93" s="26"/>
      <c r="F93" s="19"/>
    </row>
    <row r="94" spans="1:7" x14ac:dyDescent="0.2">
      <c r="A94" s="34"/>
      <c r="B94" s="23"/>
      <c r="C94" s="18"/>
      <c r="D94" s="26"/>
      <c r="F94" s="18"/>
    </row>
    <row r="95" spans="1:7" x14ac:dyDescent="0.2">
      <c r="B95" s="8"/>
      <c r="C95" s="18"/>
      <c r="D95" s="26"/>
      <c r="E95" s="13"/>
      <c r="F95" s="18"/>
      <c r="G95" s="19"/>
    </row>
    <row r="96" spans="1:7" x14ac:dyDescent="0.2">
      <c r="A96" s="17"/>
      <c r="B96" s="8"/>
      <c r="C96" s="18"/>
      <c r="D96" s="26"/>
      <c r="E96" s="25"/>
      <c r="F96" s="18"/>
      <c r="G96" s="19"/>
    </row>
    <row r="97" spans="1:7" x14ac:dyDescent="0.2">
      <c r="A97" s="34"/>
      <c r="B97" s="23"/>
      <c r="C97" s="18"/>
      <c r="D97" s="26"/>
      <c r="F97" s="18"/>
    </row>
    <row r="98" spans="1:7" x14ac:dyDescent="0.2">
      <c r="A98" s="34"/>
      <c r="B98" s="23"/>
      <c r="C98" s="18"/>
      <c r="D98" s="26"/>
      <c r="F98" s="18"/>
    </row>
    <row r="99" spans="1:7" x14ac:dyDescent="0.2">
      <c r="A99" s="34"/>
      <c r="B99" s="23"/>
      <c r="C99" s="18"/>
      <c r="D99" s="26"/>
      <c r="F99" s="19"/>
    </row>
    <row r="100" spans="1:7" x14ac:dyDescent="0.2">
      <c r="A100" s="34"/>
      <c r="B100" s="23"/>
      <c r="C100" s="18"/>
      <c r="D100" s="26"/>
      <c r="F100" s="18"/>
    </row>
    <row r="101" spans="1:7" x14ac:dyDescent="0.2">
      <c r="A101" s="34"/>
      <c r="B101" s="23"/>
      <c r="C101" s="18"/>
      <c r="D101" s="26"/>
      <c r="F101" s="18"/>
    </row>
    <row r="102" spans="1:7" x14ac:dyDescent="0.2">
      <c r="A102" s="34"/>
      <c r="B102" s="23"/>
      <c r="C102" s="18"/>
      <c r="D102" s="26"/>
      <c r="F102" s="18"/>
    </row>
    <row r="103" spans="1:7" ht="15" x14ac:dyDescent="0.25">
      <c r="A103" s="19"/>
      <c r="B103" s="23"/>
      <c r="C103" s="9"/>
      <c r="D103" s="10"/>
      <c r="E103" s="11"/>
      <c r="F103" s="18"/>
      <c r="G103" s="19"/>
    </row>
    <row r="104" spans="1:7" ht="15" x14ac:dyDescent="0.25">
      <c r="A104" s="19"/>
      <c r="B104" s="23"/>
      <c r="C104" s="9"/>
      <c r="D104" s="10"/>
      <c r="E104" s="11"/>
      <c r="F104" s="18"/>
      <c r="G104" s="19"/>
    </row>
    <row r="105" spans="1:7" ht="15" x14ac:dyDescent="0.25">
      <c r="A105" s="7"/>
      <c r="B105" s="8"/>
      <c r="C105" s="9"/>
      <c r="D105" s="10"/>
      <c r="E105" s="11"/>
      <c r="F105" s="12"/>
      <c r="G105" s="9"/>
    </row>
    <row r="106" spans="1:7" ht="15" x14ac:dyDescent="0.25">
      <c r="A106" s="14"/>
      <c r="B106" s="8"/>
      <c r="C106" s="9"/>
      <c r="D106" s="10"/>
      <c r="E106" s="11"/>
      <c r="F106" s="12"/>
      <c r="G106" s="9"/>
    </row>
    <row r="107" spans="1:7" ht="15" x14ac:dyDescent="0.25">
      <c r="A107" s="14"/>
      <c r="B107" s="8"/>
      <c r="C107" s="9"/>
      <c r="D107" s="10"/>
      <c r="E107" s="11"/>
      <c r="F107" s="12"/>
      <c r="G107" s="9"/>
    </row>
    <row r="108" spans="1:7" x14ac:dyDescent="0.2">
      <c r="A108" s="17"/>
      <c r="B108" s="8"/>
      <c r="C108" s="18"/>
      <c r="D108" s="26"/>
      <c r="E108" s="13"/>
      <c r="F108" s="18"/>
      <c r="G108" s="19"/>
    </row>
    <row r="109" spans="1:7" ht="15" x14ac:dyDescent="0.25">
      <c r="A109" s="17"/>
      <c r="B109" s="8"/>
      <c r="C109" s="18"/>
      <c r="D109" s="10"/>
      <c r="E109" s="13"/>
      <c r="F109" s="18"/>
      <c r="G109" s="19"/>
    </row>
    <row r="110" spans="1:7" ht="15" x14ac:dyDescent="0.25">
      <c r="A110" s="17"/>
      <c r="B110" s="8"/>
      <c r="C110" s="18"/>
      <c r="D110" s="10"/>
      <c r="E110" s="13"/>
      <c r="F110" s="18"/>
      <c r="G110" s="19"/>
    </row>
    <row r="111" spans="1:7" ht="15" x14ac:dyDescent="0.25">
      <c r="A111" s="17"/>
      <c r="B111" s="8"/>
      <c r="C111" s="18"/>
      <c r="D111" s="10"/>
      <c r="E111" s="13"/>
      <c r="F111" s="18"/>
      <c r="G111" s="18"/>
    </row>
    <row r="112" spans="1:7" ht="15" x14ac:dyDescent="0.25">
      <c r="A112" s="17"/>
      <c r="B112" s="8"/>
      <c r="C112" s="18"/>
      <c r="D112" s="26"/>
      <c r="E112" s="13"/>
      <c r="F112" s="12"/>
    </row>
    <row r="113" spans="1:7" ht="15" x14ac:dyDescent="0.25">
      <c r="A113" s="17"/>
      <c r="B113" s="8"/>
      <c r="C113" s="18"/>
      <c r="D113" s="10"/>
      <c r="E113" s="13"/>
      <c r="F113" s="18"/>
      <c r="G113" s="19"/>
    </row>
    <row r="114" spans="1:7" ht="15" x14ac:dyDescent="0.25">
      <c r="A114" s="17"/>
      <c r="B114" s="8"/>
      <c r="C114" s="18"/>
      <c r="D114" s="10"/>
      <c r="E114" s="13"/>
      <c r="F114" s="18"/>
      <c r="G114" s="19"/>
    </row>
    <row r="115" spans="1:7" x14ac:dyDescent="0.2">
      <c r="A115" s="17"/>
      <c r="B115" s="8"/>
      <c r="C115" s="18"/>
      <c r="D115" s="26"/>
      <c r="E115" s="13"/>
      <c r="F115" s="18"/>
      <c r="G115" s="19"/>
    </row>
    <row r="116" spans="1:7" ht="15" x14ac:dyDescent="0.25">
      <c r="A116" s="17"/>
      <c r="B116" s="8"/>
      <c r="C116" s="18"/>
      <c r="D116" s="10"/>
      <c r="E116" s="13"/>
      <c r="F116" s="18"/>
      <c r="G116" s="18"/>
    </row>
    <row r="117" spans="1:7" ht="15" x14ac:dyDescent="0.25">
      <c r="A117" s="20"/>
      <c r="B117" s="8"/>
      <c r="C117" s="18"/>
      <c r="D117" s="10"/>
      <c r="E117" s="13"/>
      <c r="F117" s="18"/>
      <c r="G117" s="18"/>
    </row>
    <row r="118" spans="1:7" ht="15" x14ac:dyDescent="0.25">
      <c r="A118" s="20"/>
      <c r="C118" s="18"/>
      <c r="D118" s="10"/>
      <c r="E118" s="13"/>
      <c r="F118" s="18"/>
      <c r="G118" s="18"/>
    </row>
    <row r="119" spans="1:7" ht="15" x14ac:dyDescent="0.25">
      <c r="A119" s="20"/>
      <c r="B119" s="8"/>
      <c r="C119" s="18"/>
      <c r="D119" s="10"/>
      <c r="E119" s="13"/>
      <c r="F119" s="18"/>
      <c r="G119" s="18"/>
    </row>
    <row r="120" spans="1:7" x14ac:dyDescent="0.2">
      <c r="A120" s="17"/>
      <c r="B120" s="8"/>
      <c r="C120" s="18"/>
      <c r="D120" s="26"/>
      <c r="E120" s="25"/>
      <c r="F120" s="18"/>
      <c r="G120" s="18"/>
    </row>
    <row r="121" spans="1:7" x14ac:dyDescent="0.2">
      <c r="A121" s="17"/>
      <c r="B121" s="8"/>
      <c r="C121" s="18"/>
      <c r="D121" s="26"/>
      <c r="E121" s="13"/>
      <c r="F121" s="13"/>
      <c r="G121" s="13"/>
    </row>
    <row r="122" spans="1:7" x14ac:dyDescent="0.2">
      <c r="A122" s="17"/>
      <c r="B122" s="8"/>
      <c r="C122" s="18"/>
      <c r="D122" s="26"/>
      <c r="E122" s="13"/>
      <c r="F122" s="13"/>
      <c r="G122" s="13"/>
    </row>
    <row r="123" spans="1:7" x14ac:dyDescent="0.2">
      <c r="A123" s="17"/>
      <c r="B123" s="8"/>
      <c r="C123" s="18"/>
      <c r="D123" s="26"/>
      <c r="E123" s="13"/>
      <c r="F123" s="13"/>
      <c r="G123" s="13"/>
    </row>
    <row r="124" spans="1:7" x14ac:dyDescent="0.2">
      <c r="A124" s="17"/>
      <c r="B124" s="8"/>
      <c r="C124" s="18"/>
      <c r="D124" s="26"/>
      <c r="E124" s="13"/>
      <c r="F124" s="13"/>
      <c r="G124" s="13"/>
    </row>
    <row r="125" spans="1:7" x14ac:dyDescent="0.2">
      <c r="B125" s="8"/>
      <c r="C125" s="18"/>
      <c r="D125" s="26"/>
      <c r="F125" s="19"/>
    </row>
    <row r="126" spans="1:7" ht="15" x14ac:dyDescent="0.25">
      <c r="A126" s="17"/>
      <c r="C126" s="18"/>
      <c r="D126" s="26"/>
      <c r="E126" s="13"/>
      <c r="F126" s="12"/>
    </row>
    <row r="127" spans="1:7" ht="15" x14ac:dyDescent="0.25">
      <c r="A127" s="17"/>
      <c r="B127" s="8"/>
      <c r="C127" s="18"/>
      <c r="D127" s="26"/>
      <c r="E127" s="13"/>
      <c r="F127" s="12"/>
    </row>
    <row r="128" spans="1:7" ht="15" x14ac:dyDescent="0.25">
      <c r="A128" s="17"/>
      <c r="B128" s="8"/>
      <c r="C128" s="18"/>
      <c r="D128" s="26"/>
      <c r="E128" s="13"/>
      <c r="F128" s="12"/>
    </row>
    <row r="129" spans="1:7" x14ac:dyDescent="0.2">
      <c r="A129" s="17"/>
      <c r="B129" s="23"/>
      <c r="C129" s="13"/>
      <c r="D129" s="26"/>
    </row>
    <row r="130" spans="1:7" x14ac:dyDescent="0.2">
      <c r="A130" s="17"/>
      <c r="B130" s="29"/>
      <c r="C130" s="18"/>
      <c r="D130" s="26"/>
    </row>
    <row r="131" spans="1:7" ht="15" x14ac:dyDescent="0.25">
      <c r="A131" s="17"/>
      <c r="B131" s="8"/>
      <c r="C131" s="18"/>
      <c r="D131" s="10"/>
    </row>
    <row r="132" spans="1:7" x14ac:dyDescent="0.2">
      <c r="A132" s="34"/>
      <c r="B132" s="23"/>
      <c r="C132" s="18"/>
      <c r="D132" s="26"/>
      <c r="F132" s="18"/>
    </row>
    <row r="133" spans="1:7" x14ac:dyDescent="0.2">
      <c r="A133" s="17"/>
      <c r="B133" s="23"/>
      <c r="C133" s="13"/>
      <c r="D133" s="26"/>
    </row>
    <row r="134" spans="1:7" x14ac:dyDescent="0.2">
      <c r="A134" s="17"/>
      <c r="B134" s="8"/>
      <c r="C134" s="18"/>
      <c r="D134" s="26"/>
      <c r="E134" s="13"/>
      <c r="F134" s="13"/>
      <c r="G134" s="13"/>
    </row>
    <row r="135" spans="1:7" ht="15" x14ac:dyDescent="0.25">
      <c r="A135" s="14"/>
      <c r="B135" s="8"/>
      <c r="C135" s="9"/>
      <c r="D135" s="10"/>
      <c r="E135" s="11"/>
      <c r="F135" s="12"/>
      <c r="G135" s="9"/>
    </row>
    <row r="136" spans="1:7" x14ac:dyDescent="0.2">
      <c r="A136" s="17"/>
      <c r="B136" s="8"/>
      <c r="C136" s="18"/>
      <c r="D136" s="26"/>
      <c r="E136" s="13"/>
      <c r="F136" s="13"/>
      <c r="G136" s="13"/>
    </row>
    <row r="137" spans="1:7" x14ac:dyDescent="0.2">
      <c r="A137" s="17"/>
      <c r="B137" s="8"/>
      <c r="C137" s="18"/>
      <c r="D137" s="26"/>
      <c r="E137" s="25"/>
      <c r="F137" s="13"/>
      <c r="G137" s="13"/>
    </row>
    <row r="138" spans="1:7" x14ac:dyDescent="0.2">
      <c r="A138" s="17"/>
      <c r="B138" s="23"/>
      <c r="C138" s="30" t="s">
        <v>3</v>
      </c>
      <c r="D138" s="31">
        <f>SUM(D3:D135)</f>
        <v>8799.2799999999988</v>
      </c>
      <c r="E138" s="13"/>
      <c r="F138" s="13"/>
      <c r="G138" s="13"/>
    </row>
    <row r="139" spans="1:7" x14ac:dyDescent="0.2">
      <c r="A139" s="32"/>
      <c r="B139" s="23"/>
    </row>
    <row r="140" spans="1:7" x14ac:dyDescent="0.2">
      <c r="A140" s="32"/>
      <c r="B140" s="23"/>
    </row>
    <row r="141" spans="1:7" x14ac:dyDescent="0.2">
      <c r="A141" s="32"/>
      <c r="B141" s="23"/>
    </row>
    <row r="142" spans="1:7" x14ac:dyDescent="0.2">
      <c r="A142" s="32"/>
      <c r="B142" s="23"/>
    </row>
    <row r="143" spans="1:7" x14ac:dyDescent="0.2">
      <c r="A143" s="32"/>
      <c r="B143" s="23"/>
    </row>
    <row r="144" spans="1:7" x14ac:dyDescent="0.2">
      <c r="A144" s="32"/>
      <c r="B144" s="23"/>
    </row>
    <row r="145" spans="1:2" x14ac:dyDescent="0.2">
      <c r="A145" s="32"/>
      <c r="B145" s="23"/>
    </row>
    <row r="146" spans="1:2" x14ac:dyDescent="0.2">
      <c r="A146" s="32"/>
    </row>
    <row r="147" spans="1:2" x14ac:dyDescent="0.2">
      <c r="A147" s="32"/>
    </row>
    <row r="148" spans="1:2" x14ac:dyDescent="0.2">
      <c r="A148" s="32"/>
    </row>
    <row r="149" spans="1:2" x14ac:dyDescent="0.2">
      <c r="A149" s="32"/>
    </row>
    <row r="150" spans="1:2" x14ac:dyDescent="0.2">
      <c r="A150" s="32"/>
    </row>
    <row r="151" spans="1:2" x14ac:dyDescent="0.2">
      <c r="A151" s="32"/>
    </row>
    <row r="152" spans="1:2" x14ac:dyDescent="0.2">
      <c r="A152" s="32"/>
    </row>
    <row r="153" spans="1:2" x14ac:dyDescent="0.2">
      <c r="A153" s="32"/>
    </row>
    <row r="154" spans="1:2" x14ac:dyDescent="0.2">
      <c r="A154" s="32"/>
    </row>
    <row r="155" spans="1:2" x14ac:dyDescent="0.2">
      <c r="A155" s="32"/>
    </row>
    <row r="156" spans="1:2" x14ac:dyDescent="0.2">
      <c r="A156" s="32"/>
    </row>
    <row r="157" spans="1:2" x14ac:dyDescent="0.2">
      <c r="A157" s="32"/>
    </row>
    <row r="158" spans="1:2" x14ac:dyDescent="0.2">
      <c r="A158" s="32"/>
    </row>
    <row r="159" spans="1:2" x14ac:dyDescent="0.2">
      <c r="A159" s="32"/>
    </row>
    <row r="160" spans="1:2" x14ac:dyDescent="0.2">
      <c r="A160" s="32"/>
    </row>
    <row r="161" spans="1:1" x14ac:dyDescent="0.2">
      <c r="A161" s="32"/>
    </row>
    <row r="162" spans="1:1" x14ac:dyDescent="0.2">
      <c r="A162" s="32"/>
    </row>
    <row r="163" spans="1:1" x14ac:dyDescent="0.2">
      <c r="A163" s="32"/>
    </row>
    <row r="164" spans="1:1" x14ac:dyDescent="0.2">
      <c r="A164" s="32"/>
    </row>
    <row r="165" spans="1:1" x14ac:dyDescent="0.2">
      <c r="A165" s="32"/>
    </row>
    <row r="166" spans="1:1" x14ac:dyDescent="0.2">
      <c r="A166" s="32"/>
    </row>
    <row r="167" spans="1:1" x14ac:dyDescent="0.2">
      <c r="A167" s="32"/>
    </row>
    <row r="168" spans="1:1" x14ac:dyDescent="0.2">
      <c r="A168" s="32"/>
    </row>
    <row r="169" spans="1:1" x14ac:dyDescent="0.2">
      <c r="A169" s="32"/>
    </row>
    <row r="170" spans="1:1" x14ac:dyDescent="0.2">
      <c r="A170" s="32"/>
    </row>
    <row r="171" spans="1:1" x14ac:dyDescent="0.2">
      <c r="A171" s="32"/>
    </row>
    <row r="172" spans="1:1" x14ac:dyDescent="0.2">
      <c r="A172" s="32"/>
    </row>
    <row r="173" spans="1:1" x14ac:dyDescent="0.2">
      <c r="A173" s="32"/>
    </row>
    <row r="174" spans="1:1" x14ac:dyDescent="0.2">
      <c r="A174" s="32"/>
    </row>
    <row r="175" spans="1:1" x14ac:dyDescent="0.2">
      <c r="A175" s="32"/>
    </row>
    <row r="176" spans="1:1" x14ac:dyDescent="0.2">
      <c r="A176" s="32"/>
    </row>
    <row r="177" spans="1:1" x14ac:dyDescent="0.2">
      <c r="A177" s="32"/>
    </row>
    <row r="178" spans="1:1" x14ac:dyDescent="0.2">
      <c r="A178" s="32"/>
    </row>
    <row r="179" spans="1:1" x14ac:dyDescent="0.2">
      <c r="A179" s="32"/>
    </row>
    <row r="180" spans="1:1" x14ac:dyDescent="0.2">
      <c r="A180" s="32"/>
    </row>
    <row r="181" spans="1:1" x14ac:dyDescent="0.2">
      <c r="A181" s="32"/>
    </row>
    <row r="182" spans="1:1" x14ac:dyDescent="0.2">
      <c r="A182" s="32"/>
    </row>
    <row r="183" spans="1:1" x14ac:dyDescent="0.2">
      <c r="A183" s="32"/>
    </row>
    <row r="184" spans="1:1" x14ac:dyDescent="0.2">
      <c r="A184" s="32"/>
    </row>
    <row r="185" spans="1:1" x14ac:dyDescent="0.2">
      <c r="A185" s="32"/>
    </row>
    <row r="186" spans="1:1" x14ac:dyDescent="0.2">
      <c r="A186" s="32"/>
    </row>
    <row r="187" spans="1:1" x14ac:dyDescent="0.2">
      <c r="A187" s="32"/>
    </row>
    <row r="188" spans="1:1" x14ac:dyDescent="0.2">
      <c r="A188" s="32"/>
    </row>
    <row r="189" spans="1:1" x14ac:dyDescent="0.2">
      <c r="A189" s="32"/>
    </row>
    <row r="190" spans="1:1" x14ac:dyDescent="0.2">
      <c r="A190" s="32"/>
    </row>
    <row r="191" spans="1:1" x14ac:dyDescent="0.2">
      <c r="A191" s="32"/>
    </row>
    <row r="192" spans="1:1" x14ac:dyDescent="0.2">
      <c r="A192" s="32"/>
    </row>
    <row r="193" spans="1:1" x14ac:dyDescent="0.2">
      <c r="A193" s="32"/>
    </row>
    <row r="194" spans="1:1" x14ac:dyDescent="0.2">
      <c r="A194" s="32"/>
    </row>
    <row r="195" spans="1:1" x14ac:dyDescent="0.2">
      <c r="A195" s="32"/>
    </row>
    <row r="196" spans="1:1" x14ac:dyDescent="0.2">
      <c r="A196" s="32"/>
    </row>
    <row r="197" spans="1:1" x14ac:dyDescent="0.2">
      <c r="A197" s="32"/>
    </row>
    <row r="198" spans="1:1" x14ac:dyDescent="0.2">
      <c r="A198" s="32"/>
    </row>
    <row r="199" spans="1:1" x14ac:dyDescent="0.2">
      <c r="A199" s="32"/>
    </row>
    <row r="200" spans="1:1" x14ac:dyDescent="0.2">
      <c r="A200" s="32"/>
    </row>
    <row r="201" spans="1:1" x14ac:dyDescent="0.2">
      <c r="A201" s="32"/>
    </row>
    <row r="202" spans="1:1" x14ac:dyDescent="0.2">
      <c r="A202" s="32"/>
    </row>
    <row r="203" spans="1:1" x14ac:dyDescent="0.2">
      <c r="A203" s="32"/>
    </row>
    <row r="204" spans="1:1" x14ac:dyDescent="0.2">
      <c r="A204" s="32"/>
    </row>
    <row r="205" spans="1:1" x14ac:dyDescent="0.2">
      <c r="A205" s="32"/>
    </row>
    <row r="206" spans="1:1" x14ac:dyDescent="0.2">
      <c r="A206" s="32"/>
    </row>
    <row r="207" spans="1:1" x14ac:dyDescent="0.2">
      <c r="A207" s="32"/>
    </row>
    <row r="208" spans="1:1" x14ac:dyDescent="0.2">
      <c r="A208" s="32"/>
    </row>
    <row r="209" spans="1:1" x14ac:dyDescent="0.2">
      <c r="A209" s="32"/>
    </row>
    <row r="210" spans="1:1" x14ac:dyDescent="0.2">
      <c r="A210" s="32"/>
    </row>
    <row r="211" spans="1:1" x14ac:dyDescent="0.2">
      <c r="A211" s="32"/>
    </row>
    <row r="212" spans="1:1" x14ac:dyDescent="0.2">
      <c r="A212" s="32"/>
    </row>
    <row r="213" spans="1:1" x14ac:dyDescent="0.2">
      <c r="A213" s="32"/>
    </row>
    <row r="214" spans="1:1" x14ac:dyDescent="0.2">
      <c r="A214" s="32"/>
    </row>
    <row r="215" spans="1:1" x14ac:dyDescent="0.2">
      <c r="A215" s="32"/>
    </row>
    <row r="216" spans="1:1" x14ac:dyDescent="0.2">
      <c r="A216" s="32"/>
    </row>
    <row r="217" spans="1:1" x14ac:dyDescent="0.2">
      <c r="A217" s="32"/>
    </row>
    <row r="218" spans="1:1" x14ac:dyDescent="0.2">
      <c r="A218" s="32"/>
    </row>
    <row r="219" spans="1:1" x14ac:dyDescent="0.2">
      <c r="A219" s="32"/>
    </row>
    <row r="220" spans="1:1" x14ac:dyDescent="0.2">
      <c r="A220" s="32"/>
    </row>
    <row r="221" spans="1:1" x14ac:dyDescent="0.2">
      <c r="A221" s="32"/>
    </row>
    <row r="222" spans="1:1" x14ac:dyDescent="0.2">
      <c r="A222" s="32"/>
    </row>
    <row r="223" spans="1:1" x14ac:dyDescent="0.2">
      <c r="A223" s="32"/>
    </row>
    <row r="224" spans="1:1" x14ac:dyDescent="0.2">
      <c r="A224" s="32"/>
    </row>
    <row r="225" spans="1:1" x14ac:dyDescent="0.2">
      <c r="A225" s="32"/>
    </row>
    <row r="226" spans="1:1" x14ac:dyDescent="0.2">
      <c r="A226" s="32"/>
    </row>
    <row r="227" spans="1:1" x14ac:dyDescent="0.2">
      <c r="A227" s="32"/>
    </row>
    <row r="228" spans="1:1" x14ac:dyDescent="0.2">
      <c r="A228" s="32"/>
    </row>
    <row r="229" spans="1:1" x14ac:dyDescent="0.2">
      <c r="A229" s="32"/>
    </row>
    <row r="230" spans="1:1" x14ac:dyDescent="0.2">
      <c r="A230" s="32"/>
    </row>
    <row r="231" spans="1:1" x14ac:dyDescent="0.2">
      <c r="A231" s="32"/>
    </row>
    <row r="232" spans="1:1" x14ac:dyDescent="0.2">
      <c r="A232" s="32"/>
    </row>
    <row r="233" spans="1:1" x14ac:dyDescent="0.2">
      <c r="A233" s="32"/>
    </row>
    <row r="234" spans="1:1" x14ac:dyDescent="0.2">
      <c r="A234" s="32"/>
    </row>
    <row r="235" spans="1:1" x14ac:dyDescent="0.2">
      <c r="A235" s="32"/>
    </row>
    <row r="236" spans="1:1" x14ac:dyDescent="0.2">
      <c r="A236" s="32"/>
    </row>
    <row r="237" spans="1:1" x14ac:dyDescent="0.2">
      <c r="A237" s="32"/>
    </row>
    <row r="238" spans="1:1" x14ac:dyDescent="0.2">
      <c r="A238" s="32"/>
    </row>
    <row r="239" spans="1:1" x14ac:dyDescent="0.2">
      <c r="A239" s="32"/>
    </row>
    <row r="240" spans="1:1" x14ac:dyDescent="0.2">
      <c r="A240" s="32"/>
    </row>
    <row r="241" spans="1:1" x14ac:dyDescent="0.2">
      <c r="A241" s="32"/>
    </row>
    <row r="242" spans="1:1" x14ac:dyDescent="0.2">
      <c r="A242" s="32"/>
    </row>
    <row r="243" spans="1:1" x14ac:dyDescent="0.2">
      <c r="A243" s="32"/>
    </row>
    <row r="244" spans="1:1" x14ac:dyDescent="0.2">
      <c r="A244" s="32"/>
    </row>
    <row r="245" spans="1:1" x14ac:dyDescent="0.2">
      <c r="A245" s="32"/>
    </row>
    <row r="246" spans="1:1" x14ac:dyDescent="0.2">
      <c r="A246" s="32"/>
    </row>
    <row r="247" spans="1:1" x14ac:dyDescent="0.2">
      <c r="A247" s="32"/>
    </row>
    <row r="248" spans="1:1" x14ac:dyDescent="0.2">
      <c r="A248" s="32"/>
    </row>
    <row r="249" spans="1:1" x14ac:dyDescent="0.2">
      <c r="A249" s="32"/>
    </row>
    <row r="250" spans="1:1" x14ac:dyDescent="0.2">
      <c r="A250" s="32"/>
    </row>
    <row r="251" spans="1:1" x14ac:dyDescent="0.2">
      <c r="A251" s="32"/>
    </row>
    <row r="252" spans="1:1" x14ac:dyDescent="0.2">
      <c r="A252" s="32"/>
    </row>
    <row r="253" spans="1:1" x14ac:dyDescent="0.2">
      <c r="A253" s="32"/>
    </row>
    <row r="254" spans="1:1" x14ac:dyDescent="0.2">
      <c r="A254" s="32"/>
    </row>
    <row r="255" spans="1:1" x14ac:dyDescent="0.2">
      <c r="A255" s="32"/>
    </row>
    <row r="256" spans="1:1" x14ac:dyDescent="0.2">
      <c r="A256" s="32"/>
    </row>
    <row r="257" spans="1:1" x14ac:dyDescent="0.2">
      <c r="A257" s="32"/>
    </row>
    <row r="258" spans="1:1" x14ac:dyDescent="0.2">
      <c r="A258" s="32"/>
    </row>
    <row r="259" spans="1:1" x14ac:dyDescent="0.2">
      <c r="A259" s="32"/>
    </row>
    <row r="260" spans="1:1" x14ac:dyDescent="0.2">
      <c r="A260" s="32"/>
    </row>
    <row r="261" spans="1:1" x14ac:dyDescent="0.2">
      <c r="A261" s="32"/>
    </row>
    <row r="262" spans="1:1" x14ac:dyDescent="0.2">
      <c r="A262" s="32"/>
    </row>
    <row r="263" spans="1:1" x14ac:dyDescent="0.2">
      <c r="A263" s="32"/>
    </row>
    <row r="264" spans="1:1" x14ac:dyDescent="0.2">
      <c r="A264" s="32"/>
    </row>
    <row r="265" spans="1:1" x14ac:dyDescent="0.2">
      <c r="A265" s="32"/>
    </row>
    <row r="266" spans="1:1" x14ac:dyDescent="0.2">
      <c r="A266" s="32"/>
    </row>
    <row r="267" spans="1:1" x14ac:dyDescent="0.2">
      <c r="A267" s="32"/>
    </row>
    <row r="268" spans="1:1" x14ac:dyDescent="0.2">
      <c r="A268" s="32"/>
    </row>
    <row r="269" spans="1:1" x14ac:dyDescent="0.2">
      <c r="A269" s="32"/>
    </row>
    <row r="270" spans="1:1" x14ac:dyDescent="0.2">
      <c r="A270" s="32"/>
    </row>
    <row r="271" spans="1:1" x14ac:dyDescent="0.2">
      <c r="A271" s="32"/>
    </row>
    <row r="272" spans="1:1" x14ac:dyDescent="0.2">
      <c r="A272" s="32"/>
    </row>
    <row r="273" spans="1:1" x14ac:dyDescent="0.2">
      <c r="A273" s="32"/>
    </row>
    <row r="274" spans="1:1" x14ac:dyDescent="0.2">
      <c r="A274" s="32"/>
    </row>
    <row r="275" spans="1:1" x14ac:dyDescent="0.2">
      <c r="A275" s="32"/>
    </row>
    <row r="276" spans="1:1" x14ac:dyDescent="0.2">
      <c r="A276" s="32"/>
    </row>
    <row r="277" spans="1:1" x14ac:dyDescent="0.2">
      <c r="A277" s="32"/>
    </row>
    <row r="278" spans="1:1" x14ac:dyDescent="0.2">
      <c r="A278" s="32"/>
    </row>
    <row r="279" spans="1:1" x14ac:dyDescent="0.2">
      <c r="A279" s="32"/>
    </row>
    <row r="280" spans="1:1" x14ac:dyDescent="0.2">
      <c r="A280" s="32"/>
    </row>
    <row r="281" spans="1:1" x14ac:dyDescent="0.2">
      <c r="A281" s="32"/>
    </row>
    <row r="282" spans="1:1" x14ac:dyDescent="0.2">
      <c r="A282" s="32"/>
    </row>
    <row r="283" spans="1:1" x14ac:dyDescent="0.2">
      <c r="A283" s="32"/>
    </row>
    <row r="284" spans="1:1" x14ac:dyDescent="0.2">
      <c r="A284" s="32"/>
    </row>
    <row r="285" spans="1:1" x14ac:dyDescent="0.2">
      <c r="A285" s="32"/>
    </row>
    <row r="286" spans="1:1" x14ac:dyDescent="0.2">
      <c r="A286" s="32"/>
    </row>
    <row r="287" spans="1:1" x14ac:dyDescent="0.2">
      <c r="A287" s="32"/>
    </row>
    <row r="288" spans="1:1" x14ac:dyDescent="0.2">
      <c r="A288" s="32"/>
    </row>
    <row r="289" spans="1:1" x14ac:dyDescent="0.2">
      <c r="A289" s="32"/>
    </row>
    <row r="290" spans="1:1" x14ac:dyDescent="0.2">
      <c r="A290" s="32"/>
    </row>
    <row r="291" spans="1:1" x14ac:dyDescent="0.2">
      <c r="A291" s="32"/>
    </row>
    <row r="292" spans="1:1" x14ac:dyDescent="0.2">
      <c r="A292" s="32"/>
    </row>
    <row r="293" spans="1:1" x14ac:dyDescent="0.2">
      <c r="A293" s="32"/>
    </row>
    <row r="294" spans="1:1" x14ac:dyDescent="0.2">
      <c r="A294" s="32"/>
    </row>
    <row r="295" spans="1:1" x14ac:dyDescent="0.2">
      <c r="A295" s="32"/>
    </row>
    <row r="296" spans="1:1" x14ac:dyDescent="0.2">
      <c r="A296" s="32"/>
    </row>
    <row r="297" spans="1:1" x14ac:dyDescent="0.2">
      <c r="A297" s="32"/>
    </row>
    <row r="298" spans="1:1" x14ac:dyDescent="0.2">
      <c r="A298" s="32"/>
    </row>
    <row r="299" spans="1:1" x14ac:dyDescent="0.2">
      <c r="A299" s="32"/>
    </row>
    <row r="300" spans="1:1" x14ac:dyDescent="0.2">
      <c r="A300" s="32"/>
    </row>
    <row r="301" spans="1:1" x14ac:dyDescent="0.2">
      <c r="A301" s="32"/>
    </row>
    <row r="302" spans="1:1" x14ac:dyDescent="0.2">
      <c r="A302" s="32"/>
    </row>
    <row r="303" spans="1:1" x14ac:dyDescent="0.2">
      <c r="A303" s="32"/>
    </row>
    <row r="304" spans="1:1" x14ac:dyDescent="0.2">
      <c r="A304" s="32"/>
    </row>
    <row r="305" spans="1:1" x14ac:dyDescent="0.2">
      <c r="A305" s="32"/>
    </row>
    <row r="306" spans="1:1" x14ac:dyDescent="0.2">
      <c r="A306" s="32"/>
    </row>
    <row r="307" spans="1:1" x14ac:dyDescent="0.2">
      <c r="A307" s="32"/>
    </row>
    <row r="308" spans="1:1" x14ac:dyDescent="0.2">
      <c r="A308" s="32"/>
    </row>
    <row r="309" spans="1:1" x14ac:dyDescent="0.2">
      <c r="A309" s="32"/>
    </row>
    <row r="310" spans="1:1" x14ac:dyDescent="0.2">
      <c r="A310" s="32"/>
    </row>
    <row r="311" spans="1:1" x14ac:dyDescent="0.2">
      <c r="A311" s="32"/>
    </row>
    <row r="312" spans="1:1" x14ac:dyDescent="0.2">
      <c r="A312" s="32"/>
    </row>
    <row r="313" spans="1:1" x14ac:dyDescent="0.2">
      <c r="A313" s="32"/>
    </row>
    <row r="314" spans="1:1" x14ac:dyDescent="0.2">
      <c r="A314" s="32"/>
    </row>
    <row r="315" spans="1:1" x14ac:dyDescent="0.2">
      <c r="A315" s="32"/>
    </row>
    <row r="316" spans="1:1" x14ac:dyDescent="0.2">
      <c r="A316" s="32"/>
    </row>
    <row r="317" spans="1:1" x14ac:dyDescent="0.2">
      <c r="A317" s="32"/>
    </row>
    <row r="318" spans="1:1" x14ac:dyDescent="0.2">
      <c r="A318" s="32"/>
    </row>
    <row r="319" spans="1:1" x14ac:dyDescent="0.2">
      <c r="A319" s="32"/>
    </row>
    <row r="320" spans="1:1" x14ac:dyDescent="0.2">
      <c r="A320" s="32"/>
    </row>
    <row r="321" spans="1:1" x14ac:dyDescent="0.2">
      <c r="A321" s="32"/>
    </row>
    <row r="322" spans="1:1" x14ac:dyDescent="0.2">
      <c r="A322" s="32"/>
    </row>
    <row r="323" spans="1:1" x14ac:dyDescent="0.2">
      <c r="A323" s="32"/>
    </row>
    <row r="324" spans="1:1" x14ac:dyDescent="0.2">
      <c r="A324" s="32"/>
    </row>
    <row r="325" spans="1:1" x14ac:dyDescent="0.2">
      <c r="A325" s="32"/>
    </row>
    <row r="326" spans="1:1" x14ac:dyDescent="0.2">
      <c r="A326" s="32"/>
    </row>
    <row r="327" spans="1:1" x14ac:dyDescent="0.2">
      <c r="A327" s="32"/>
    </row>
    <row r="328" spans="1:1" x14ac:dyDescent="0.2">
      <c r="A328" s="32"/>
    </row>
    <row r="329" spans="1:1" x14ac:dyDescent="0.2">
      <c r="A329" s="32"/>
    </row>
    <row r="330" spans="1:1" x14ac:dyDescent="0.2">
      <c r="A330" s="32"/>
    </row>
    <row r="331" spans="1:1" x14ac:dyDescent="0.2">
      <c r="A331" s="32"/>
    </row>
    <row r="332" spans="1:1" x14ac:dyDescent="0.2">
      <c r="A332" s="32"/>
    </row>
    <row r="333" spans="1:1" x14ac:dyDescent="0.2">
      <c r="A333" s="32"/>
    </row>
    <row r="334" spans="1:1" x14ac:dyDescent="0.2">
      <c r="A334" s="32"/>
    </row>
    <row r="335" spans="1:1" x14ac:dyDescent="0.2">
      <c r="A335" s="32"/>
    </row>
    <row r="336" spans="1:1" x14ac:dyDescent="0.2">
      <c r="A336" s="32"/>
    </row>
    <row r="337" spans="1:1" x14ac:dyDescent="0.2">
      <c r="A337" s="32"/>
    </row>
    <row r="338" spans="1:1" x14ac:dyDescent="0.2">
      <c r="A338" s="32"/>
    </row>
    <row r="339" spans="1:1" x14ac:dyDescent="0.2">
      <c r="A339" s="32"/>
    </row>
    <row r="340" spans="1:1" x14ac:dyDescent="0.2">
      <c r="A340" s="32"/>
    </row>
    <row r="341" spans="1:1" x14ac:dyDescent="0.2">
      <c r="A341" s="32"/>
    </row>
    <row r="342" spans="1:1" x14ac:dyDescent="0.2">
      <c r="A342" s="32"/>
    </row>
    <row r="343" spans="1:1" x14ac:dyDescent="0.2">
      <c r="A343" s="32"/>
    </row>
    <row r="344" spans="1:1" x14ac:dyDescent="0.2">
      <c r="A344" s="32"/>
    </row>
    <row r="345" spans="1:1" x14ac:dyDescent="0.2">
      <c r="A345" s="32"/>
    </row>
    <row r="346" spans="1:1" x14ac:dyDescent="0.2">
      <c r="A346" s="32"/>
    </row>
    <row r="347" spans="1:1" x14ac:dyDescent="0.2">
      <c r="A347" s="32"/>
    </row>
    <row r="348" spans="1:1" x14ac:dyDescent="0.2">
      <c r="A348" s="32"/>
    </row>
    <row r="349" spans="1:1" x14ac:dyDescent="0.2">
      <c r="A349" s="32"/>
    </row>
    <row r="350" spans="1:1" x14ac:dyDescent="0.2">
      <c r="A350" s="32"/>
    </row>
    <row r="351" spans="1:1" x14ac:dyDescent="0.2">
      <c r="A351" s="32"/>
    </row>
    <row r="352" spans="1:1" x14ac:dyDescent="0.2">
      <c r="A352" s="32"/>
    </row>
    <row r="353" spans="1:1" x14ac:dyDescent="0.2">
      <c r="A353" s="32"/>
    </row>
    <row r="354" spans="1:1" x14ac:dyDescent="0.2">
      <c r="A354" s="32"/>
    </row>
    <row r="355" spans="1:1" x14ac:dyDescent="0.2">
      <c r="A355" s="32"/>
    </row>
    <row r="356" spans="1:1" x14ac:dyDescent="0.2">
      <c r="A356" s="32"/>
    </row>
    <row r="357" spans="1:1" x14ac:dyDescent="0.2">
      <c r="A357" s="32"/>
    </row>
    <row r="358" spans="1:1" x14ac:dyDescent="0.2">
      <c r="A358" s="32"/>
    </row>
    <row r="359" spans="1:1" x14ac:dyDescent="0.2">
      <c r="A359" s="32"/>
    </row>
    <row r="360" spans="1:1" x14ac:dyDescent="0.2">
      <c r="A360" s="32"/>
    </row>
    <row r="361" spans="1:1" x14ac:dyDescent="0.2">
      <c r="A361" s="32"/>
    </row>
    <row r="362" spans="1:1" x14ac:dyDescent="0.2">
      <c r="A362" s="32"/>
    </row>
    <row r="363" spans="1:1" x14ac:dyDescent="0.2">
      <c r="A363" s="32"/>
    </row>
    <row r="364" spans="1:1" x14ac:dyDescent="0.2">
      <c r="A364" s="32"/>
    </row>
    <row r="365" spans="1:1" x14ac:dyDescent="0.2">
      <c r="A365" s="32"/>
    </row>
    <row r="366" spans="1:1" x14ac:dyDescent="0.2">
      <c r="A366" s="32"/>
    </row>
    <row r="367" spans="1:1" x14ac:dyDescent="0.2">
      <c r="A367" s="32"/>
    </row>
    <row r="368" spans="1:1" x14ac:dyDescent="0.2">
      <c r="A368" s="32"/>
    </row>
    <row r="369" spans="1:1" x14ac:dyDescent="0.2">
      <c r="A369" s="32"/>
    </row>
    <row r="370" spans="1:1" x14ac:dyDescent="0.2">
      <c r="A370" s="32"/>
    </row>
    <row r="371" spans="1:1" x14ac:dyDescent="0.2">
      <c r="A371" s="32"/>
    </row>
    <row r="372" spans="1:1" x14ac:dyDescent="0.2">
      <c r="A372" s="32"/>
    </row>
    <row r="373" spans="1:1" x14ac:dyDescent="0.2">
      <c r="A373" s="32"/>
    </row>
    <row r="374" spans="1:1" x14ac:dyDescent="0.2">
      <c r="A374" s="32"/>
    </row>
    <row r="375" spans="1:1" x14ac:dyDescent="0.2">
      <c r="A375" s="32"/>
    </row>
    <row r="376" spans="1:1" x14ac:dyDescent="0.2">
      <c r="A376" s="32"/>
    </row>
    <row r="377" spans="1:1" x14ac:dyDescent="0.2">
      <c r="A377" s="32"/>
    </row>
    <row r="378" spans="1:1" x14ac:dyDescent="0.2">
      <c r="A378" s="32"/>
    </row>
    <row r="379" spans="1:1" x14ac:dyDescent="0.2">
      <c r="A379" s="32"/>
    </row>
    <row r="380" spans="1:1" x14ac:dyDescent="0.2">
      <c r="A380" s="32"/>
    </row>
    <row r="381" spans="1:1" x14ac:dyDescent="0.2">
      <c r="A381" s="32"/>
    </row>
    <row r="382" spans="1:1" x14ac:dyDescent="0.2">
      <c r="A382" s="32"/>
    </row>
    <row r="383" spans="1:1" x14ac:dyDescent="0.2">
      <c r="A383" s="32"/>
    </row>
    <row r="384" spans="1:1" x14ac:dyDescent="0.2">
      <c r="A384" s="32"/>
    </row>
    <row r="385" spans="1:1" x14ac:dyDescent="0.2">
      <c r="A385" s="32"/>
    </row>
    <row r="386" spans="1:1" x14ac:dyDescent="0.2">
      <c r="A386" s="32"/>
    </row>
    <row r="387" spans="1:1" x14ac:dyDescent="0.2">
      <c r="A387" s="32"/>
    </row>
    <row r="388" spans="1:1" x14ac:dyDescent="0.2">
      <c r="A388" s="32"/>
    </row>
    <row r="389" spans="1:1" x14ac:dyDescent="0.2">
      <c r="A389" s="32"/>
    </row>
    <row r="390" spans="1:1" x14ac:dyDescent="0.2">
      <c r="A390" s="32"/>
    </row>
    <row r="391" spans="1:1" x14ac:dyDescent="0.2">
      <c r="A391" s="32"/>
    </row>
    <row r="392" spans="1:1" x14ac:dyDescent="0.2">
      <c r="A392" s="32"/>
    </row>
    <row r="393" spans="1:1" x14ac:dyDescent="0.2">
      <c r="A393" s="32"/>
    </row>
    <row r="394" spans="1:1" x14ac:dyDescent="0.2">
      <c r="A394" s="32"/>
    </row>
    <row r="395" spans="1:1" x14ac:dyDescent="0.2">
      <c r="A395" s="32"/>
    </row>
    <row r="396" spans="1:1" x14ac:dyDescent="0.2">
      <c r="A396" s="32"/>
    </row>
    <row r="397" spans="1:1" x14ac:dyDescent="0.2">
      <c r="A397" s="32"/>
    </row>
    <row r="398" spans="1:1" x14ac:dyDescent="0.2">
      <c r="A398" s="32"/>
    </row>
    <row r="399" spans="1:1" x14ac:dyDescent="0.2">
      <c r="A399" s="32"/>
    </row>
    <row r="400" spans="1:1" x14ac:dyDescent="0.2">
      <c r="A400" s="32"/>
    </row>
    <row r="401" spans="1:1" x14ac:dyDescent="0.2">
      <c r="A401" s="32"/>
    </row>
    <row r="402" spans="1:1" x14ac:dyDescent="0.2">
      <c r="A402" s="32"/>
    </row>
    <row r="403" spans="1:1" x14ac:dyDescent="0.2">
      <c r="A403" s="32"/>
    </row>
    <row r="404" spans="1:1" x14ac:dyDescent="0.2">
      <c r="A404" s="32"/>
    </row>
    <row r="405" spans="1:1" x14ac:dyDescent="0.2">
      <c r="A405" s="32"/>
    </row>
    <row r="406" spans="1:1" x14ac:dyDescent="0.2">
      <c r="A406" s="32"/>
    </row>
    <row r="407" spans="1:1" x14ac:dyDescent="0.2">
      <c r="A407" s="32"/>
    </row>
    <row r="408" spans="1:1" x14ac:dyDescent="0.2">
      <c r="A408" s="32"/>
    </row>
    <row r="409" spans="1:1" x14ac:dyDescent="0.2">
      <c r="A409" s="32"/>
    </row>
    <row r="410" spans="1:1" x14ac:dyDescent="0.2">
      <c r="A410" s="32"/>
    </row>
    <row r="411" spans="1:1" x14ac:dyDescent="0.2">
      <c r="A411" s="32"/>
    </row>
    <row r="412" spans="1:1" x14ac:dyDescent="0.2">
      <c r="A412" s="32"/>
    </row>
    <row r="413" spans="1:1" x14ac:dyDescent="0.2">
      <c r="A413" s="32"/>
    </row>
    <row r="414" spans="1:1" x14ac:dyDescent="0.2">
      <c r="A414" s="32"/>
    </row>
    <row r="415" spans="1:1" x14ac:dyDescent="0.2">
      <c r="A415" s="32"/>
    </row>
    <row r="416" spans="1:1" x14ac:dyDescent="0.2">
      <c r="A416" s="32"/>
    </row>
    <row r="417" spans="1:1" x14ac:dyDescent="0.2">
      <c r="A417" s="32"/>
    </row>
    <row r="418" spans="1:1" x14ac:dyDescent="0.2">
      <c r="A418" s="32"/>
    </row>
    <row r="419" spans="1:1" x14ac:dyDescent="0.2">
      <c r="A419" s="32"/>
    </row>
    <row r="420" spans="1:1" x14ac:dyDescent="0.2">
      <c r="A420" s="32"/>
    </row>
    <row r="421" spans="1:1" x14ac:dyDescent="0.2">
      <c r="A421" s="32"/>
    </row>
    <row r="422" spans="1:1" x14ac:dyDescent="0.2">
      <c r="A422" s="32"/>
    </row>
    <row r="423" spans="1:1" x14ac:dyDescent="0.2">
      <c r="A423" s="32"/>
    </row>
    <row r="424" spans="1:1" x14ac:dyDescent="0.2">
      <c r="A424" s="32"/>
    </row>
    <row r="425" spans="1:1" x14ac:dyDescent="0.2">
      <c r="A425" s="32"/>
    </row>
    <row r="426" spans="1:1" x14ac:dyDescent="0.2">
      <c r="A426" s="32"/>
    </row>
    <row r="427" spans="1:1" x14ac:dyDescent="0.2">
      <c r="A427" s="32"/>
    </row>
    <row r="428" spans="1:1" x14ac:dyDescent="0.2">
      <c r="A428" s="32"/>
    </row>
    <row r="429" spans="1:1" x14ac:dyDescent="0.2">
      <c r="A429" s="32"/>
    </row>
    <row r="430" spans="1:1" x14ac:dyDescent="0.2">
      <c r="A430" s="32"/>
    </row>
    <row r="431" spans="1:1" x14ac:dyDescent="0.2">
      <c r="A431" s="32"/>
    </row>
    <row r="432" spans="1:1" x14ac:dyDescent="0.2">
      <c r="A432" s="32"/>
    </row>
    <row r="433" spans="1:1" x14ac:dyDescent="0.2">
      <c r="A433" s="32"/>
    </row>
    <row r="434" spans="1:1" x14ac:dyDescent="0.2">
      <c r="A434" s="32"/>
    </row>
    <row r="435" spans="1:1" x14ac:dyDescent="0.2">
      <c r="A435" s="32"/>
    </row>
    <row r="436" spans="1:1" x14ac:dyDescent="0.2">
      <c r="A436" s="32"/>
    </row>
    <row r="437" spans="1:1" x14ac:dyDescent="0.2">
      <c r="A437" s="32"/>
    </row>
    <row r="438" spans="1:1" x14ac:dyDescent="0.2">
      <c r="A438" s="32"/>
    </row>
    <row r="439" spans="1:1" x14ac:dyDescent="0.2">
      <c r="A439" s="32"/>
    </row>
    <row r="440" spans="1:1" x14ac:dyDescent="0.2">
      <c r="A440" s="32"/>
    </row>
    <row r="441" spans="1:1" x14ac:dyDescent="0.2">
      <c r="A441" s="32"/>
    </row>
    <row r="442" spans="1:1" x14ac:dyDescent="0.2">
      <c r="A442" s="32"/>
    </row>
    <row r="443" spans="1:1" x14ac:dyDescent="0.2">
      <c r="A443" s="32"/>
    </row>
    <row r="444" spans="1:1" x14ac:dyDescent="0.2">
      <c r="A444" s="32"/>
    </row>
    <row r="445" spans="1:1" x14ac:dyDescent="0.2">
      <c r="A445" s="32"/>
    </row>
    <row r="446" spans="1:1" x14ac:dyDescent="0.2">
      <c r="A446" s="32"/>
    </row>
    <row r="447" spans="1:1" x14ac:dyDescent="0.2">
      <c r="A447" s="32"/>
    </row>
    <row r="448" spans="1:1" x14ac:dyDescent="0.2">
      <c r="A448" s="32"/>
    </row>
    <row r="449" spans="1:1" x14ac:dyDescent="0.2">
      <c r="A449" s="32"/>
    </row>
    <row r="450" spans="1:1" x14ac:dyDescent="0.2">
      <c r="A450" s="32"/>
    </row>
    <row r="451" spans="1:1" x14ac:dyDescent="0.2">
      <c r="A451" s="32"/>
    </row>
    <row r="452" spans="1:1" x14ac:dyDescent="0.2">
      <c r="A452" s="32"/>
    </row>
    <row r="453" spans="1:1" x14ac:dyDescent="0.2">
      <c r="A453" s="32"/>
    </row>
    <row r="454" spans="1:1" x14ac:dyDescent="0.2">
      <c r="A454" s="32"/>
    </row>
    <row r="455" spans="1:1" x14ac:dyDescent="0.2">
      <c r="A455" s="32"/>
    </row>
    <row r="456" spans="1:1" x14ac:dyDescent="0.2">
      <c r="A456" s="32"/>
    </row>
    <row r="457" spans="1:1" x14ac:dyDescent="0.2">
      <c r="A457" s="32"/>
    </row>
    <row r="458" spans="1:1" x14ac:dyDescent="0.2">
      <c r="A458" s="32"/>
    </row>
    <row r="459" spans="1:1" x14ac:dyDescent="0.2">
      <c r="A459" s="32"/>
    </row>
    <row r="460" spans="1:1" x14ac:dyDescent="0.2">
      <c r="A460" s="32"/>
    </row>
    <row r="461" spans="1:1" x14ac:dyDescent="0.2">
      <c r="A461" s="32"/>
    </row>
    <row r="462" spans="1:1" x14ac:dyDescent="0.2">
      <c r="A462" s="32"/>
    </row>
    <row r="463" spans="1:1" x14ac:dyDescent="0.2">
      <c r="A463" s="32"/>
    </row>
    <row r="464" spans="1:1" x14ac:dyDescent="0.2">
      <c r="A464" s="32"/>
    </row>
    <row r="465" spans="1:1" x14ac:dyDescent="0.2">
      <c r="A465" s="32"/>
    </row>
    <row r="466" spans="1:1" x14ac:dyDescent="0.2">
      <c r="A466" s="32"/>
    </row>
    <row r="467" spans="1:1" x14ac:dyDescent="0.2">
      <c r="A467" s="32"/>
    </row>
    <row r="468" spans="1:1" x14ac:dyDescent="0.2">
      <c r="A468" s="32"/>
    </row>
    <row r="469" spans="1:1" x14ac:dyDescent="0.2">
      <c r="A469" s="32"/>
    </row>
    <row r="470" spans="1:1" x14ac:dyDescent="0.2">
      <c r="A470" s="32"/>
    </row>
    <row r="471" spans="1:1" x14ac:dyDescent="0.2">
      <c r="A471" s="32"/>
    </row>
    <row r="472" spans="1:1" x14ac:dyDescent="0.2">
      <c r="A472" s="32"/>
    </row>
    <row r="473" spans="1:1" x14ac:dyDescent="0.2">
      <c r="A473" s="32"/>
    </row>
    <row r="474" spans="1:1" x14ac:dyDescent="0.2">
      <c r="A474" s="32"/>
    </row>
    <row r="475" spans="1:1" x14ac:dyDescent="0.2">
      <c r="A475" s="32"/>
    </row>
    <row r="476" spans="1:1" x14ac:dyDescent="0.2">
      <c r="A476" s="32"/>
    </row>
    <row r="477" spans="1:1" x14ac:dyDescent="0.2">
      <c r="A477" s="32"/>
    </row>
    <row r="478" spans="1:1" x14ac:dyDescent="0.2">
      <c r="A478" s="32"/>
    </row>
    <row r="479" spans="1:1" x14ac:dyDescent="0.2">
      <c r="A479" s="32"/>
    </row>
    <row r="480" spans="1:1" x14ac:dyDescent="0.2">
      <c r="A480" s="32"/>
    </row>
    <row r="481" spans="1:1" x14ac:dyDescent="0.2">
      <c r="A481" s="32"/>
    </row>
    <row r="482" spans="1:1" x14ac:dyDescent="0.2">
      <c r="A482" s="32"/>
    </row>
    <row r="483" spans="1:1" x14ac:dyDescent="0.2">
      <c r="A483" s="32"/>
    </row>
    <row r="484" spans="1:1" x14ac:dyDescent="0.2">
      <c r="A484" s="32"/>
    </row>
    <row r="485" spans="1:1" x14ac:dyDescent="0.2">
      <c r="A485" s="32"/>
    </row>
    <row r="486" spans="1:1" x14ac:dyDescent="0.2">
      <c r="A486" s="32"/>
    </row>
    <row r="487" spans="1:1" x14ac:dyDescent="0.2">
      <c r="A487" s="32"/>
    </row>
    <row r="488" spans="1:1" x14ac:dyDescent="0.2">
      <c r="A488" s="32"/>
    </row>
    <row r="489" spans="1:1" x14ac:dyDescent="0.2">
      <c r="A489" s="32"/>
    </row>
    <row r="490" spans="1:1" x14ac:dyDescent="0.2">
      <c r="A490" s="32"/>
    </row>
    <row r="491" spans="1:1" x14ac:dyDescent="0.2">
      <c r="A491" s="32"/>
    </row>
    <row r="492" spans="1:1" x14ac:dyDescent="0.2">
      <c r="A492" s="32"/>
    </row>
    <row r="493" spans="1:1" x14ac:dyDescent="0.2">
      <c r="A493" s="32"/>
    </row>
    <row r="494" spans="1:1" x14ac:dyDescent="0.2">
      <c r="A494" s="32"/>
    </row>
    <row r="495" spans="1:1" x14ac:dyDescent="0.2">
      <c r="A495" s="32"/>
    </row>
    <row r="496" spans="1:1" x14ac:dyDescent="0.2">
      <c r="A496" s="32"/>
    </row>
    <row r="497" spans="1:1" x14ac:dyDescent="0.2">
      <c r="A497" s="32"/>
    </row>
    <row r="498" spans="1:1" x14ac:dyDescent="0.2">
      <c r="A498" s="32"/>
    </row>
    <row r="499" spans="1:1" x14ac:dyDescent="0.2">
      <c r="A499" s="32"/>
    </row>
    <row r="500" spans="1:1" x14ac:dyDescent="0.2">
      <c r="A500" s="32"/>
    </row>
    <row r="501" spans="1:1" x14ac:dyDescent="0.2">
      <c r="A501" s="32"/>
    </row>
    <row r="502" spans="1:1" x14ac:dyDescent="0.2">
      <c r="A502" s="32"/>
    </row>
    <row r="503" spans="1:1" x14ac:dyDescent="0.2">
      <c r="A503" s="32"/>
    </row>
    <row r="504" spans="1:1" x14ac:dyDescent="0.2">
      <c r="A504" s="32"/>
    </row>
    <row r="505" spans="1:1" x14ac:dyDescent="0.2">
      <c r="A505" s="32"/>
    </row>
    <row r="506" spans="1:1" x14ac:dyDescent="0.2">
      <c r="A506" s="32"/>
    </row>
    <row r="507" spans="1:1" x14ac:dyDescent="0.2">
      <c r="A507" s="32"/>
    </row>
    <row r="508" spans="1:1" x14ac:dyDescent="0.2">
      <c r="A508" s="32"/>
    </row>
    <row r="509" spans="1:1" x14ac:dyDescent="0.2">
      <c r="A509" s="32"/>
    </row>
    <row r="510" spans="1:1" x14ac:dyDescent="0.2">
      <c r="A510" s="32"/>
    </row>
    <row r="511" spans="1:1" x14ac:dyDescent="0.2">
      <c r="A511" s="32"/>
    </row>
    <row r="512" spans="1:1" x14ac:dyDescent="0.2">
      <c r="A512" s="32"/>
    </row>
    <row r="513" spans="1:1" x14ac:dyDescent="0.2">
      <c r="A513" s="32"/>
    </row>
    <row r="514" spans="1:1" x14ac:dyDescent="0.2">
      <c r="A514" s="32"/>
    </row>
    <row r="515" spans="1:1" x14ac:dyDescent="0.2">
      <c r="A515" s="32"/>
    </row>
    <row r="516" spans="1:1" x14ac:dyDescent="0.2">
      <c r="A516" s="32"/>
    </row>
    <row r="517" spans="1:1" x14ac:dyDescent="0.2">
      <c r="A517" s="32"/>
    </row>
    <row r="518" spans="1:1" x14ac:dyDescent="0.2">
      <c r="A518" s="32"/>
    </row>
    <row r="519" spans="1:1" x14ac:dyDescent="0.2">
      <c r="A519" s="32"/>
    </row>
    <row r="520" spans="1:1" x14ac:dyDescent="0.2">
      <c r="A520" s="32"/>
    </row>
    <row r="521" spans="1:1" x14ac:dyDescent="0.2">
      <c r="A521" s="32"/>
    </row>
    <row r="522" spans="1:1" x14ac:dyDescent="0.2">
      <c r="A522" s="32"/>
    </row>
    <row r="523" spans="1:1" x14ac:dyDescent="0.2">
      <c r="A523" s="32"/>
    </row>
    <row r="524" spans="1:1" x14ac:dyDescent="0.2">
      <c r="A524" s="32"/>
    </row>
    <row r="525" spans="1:1" x14ac:dyDescent="0.2">
      <c r="A525" s="32"/>
    </row>
    <row r="526" spans="1:1" x14ac:dyDescent="0.2">
      <c r="A526" s="32"/>
    </row>
    <row r="527" spans="1:1" x14ac:dyDescent="0.2">
      <c r="A527" s="32"/>
    </row>
    <row r="528" spans="1:1" x14ac:dyDescent="0.2">
      <c r="A528" s="32"/>
    </row>
    <row r="529" spans="1:1" x14ac:dyDescent="0.2">
      <c r="A529" s="32"/>
    </row>
    <row r="530" spans="1:1" x14ac:dyDescent="0.2">
      <c r="A530" s="32"/>
    </row>
    <row r="531" spans="1:1" x14ac:dyDescent="0.2">
      <c r="A531" s="32"/>
    </row>
    <row r="532" spans="1:1" x14ac:dyDescent="0.2">
      <c r="A532" s="32"/>
    </row>
    <row r="533" spans="1:1" x14ac:dyDescent="0.2">
      <c r="A533" s="32"/>
    </row>
    <row r="534" spans="1:1" x14ac:dyDescent="0.2">
      <c r="A534" s="32"/>
    </row>
    <row r="535" spans="1:1" x14ac:dyDescent="0.2">
      <c r="A535" s="32"/>
    </row>
    <row r="536" spans="1:1" x14ac:dyDescent="0.2">
      <c r="A536" s="32"/>
    </row>
    <row r="537" spans="1:1" x14ac:dyDescent="0.2">
      <c r="A537" s="32"/>
    </row>
    <row r="538" spans="1:1" x14ac:dyDescent="0.2">
      <c r="A538" s="32"/>
    </row>
    <row r="539" spans="1:1" x14ac:dyDescent="0.2">
      <c r="A539" s="32"/>
    </row>
    <row r="540" spans="1:1" x14ac:dyDescent="0.2">
      <c r="A540" s="32"/>
    </row>
    <row r="541" spans="1:1" x14ac:dyDescent="0.2">
      <c r="A541" s="32"/>
    </row>
    <row r="542" spans="1:1" x14ac:dyDescent="0.2">
      <c r="A542" s="32"/>
    </row>
    <row r="543" spans="1:1" x14ac:dyDescent="0.2">
      <c r="A543" s="32"/>
    </row>
    <row r="544" spans="1:1" x14ac:dyDescent="0.2">
      <c r="A544" s="32"/>
    </row>
    <row r="545" spans="1:1" x14ac:dyDescent="0.2">
      <c r="A545" s="32"/>
    </row>
    <row r="546" spans="1:1" x14ac:dyDescent="0.2">
      <c r="A546" s="32"/>
    </row>
    <row r="547" spans="1:1" x14ac:dyDescent="0.2">
      <c r="A547" s="32"/>
    </row>
    <row r="548" spans="1:1" x14ac:dyDescent="0.2">
      <c r="A548" s="32"/>
    </row>
    <row r="549" spans="1:1" x14ac:dyDescent="0.2">
      <c r="A549" s="32"/>
    </row>
    <row r="550" spans="1:1" x14ac:dyDescent="0.2">
      <c r="A550" s="32"/>
    </row>
    <row r="551" spans="1:1" x14ac:dyDescent="0.2">
      <c r="A551" s="32"/>
    </row>
    <row r="552" spans="1:1" x14ac:dyDescent="0.2">
      <c r="A552" s="32"/>
    </row>
    <row r="553" spans="1:1" x14ac:dyDescent="0.2">
      <c r="A553" s="32"/>
    </row>
    <row r="554" spans="1:1" x14ac:dyDescent="0.2">
      <c r="A554" s="32"/>
    </row>
    <row r="555" spans="1:1" x14ac:dyDescent="0.2">
      <c r="A555" s="32"/>
    </row>
    <row r="556" spans="1:1" x14ac:dyDescent="0.2">
      <c r="A556" s="32"/>
    </row>
    <row r="557" spans="1:1" x14ac:dyDescent="0.2">
      <c r="A557" s="32"/>
    </row>
    <row r="558" spans="1:1" x14ac:dyDescent="0.2">
      <c r="A558" s="32"/>
    </row>
    <row r="559" spans="1:1" x14ac:dyDescent="0.2">
      <c r="A559" s="32"/>
    </row>
    <row r="560" spans="1:1" x14ac:dyDescent="0.2">
      <c r="A560" s="32"/>
    </row>
    <row r="561" spans="1:1" x14ac:dyDescent="0.2">
      <c r="A561" s="32"/>
    </row>
    <row r="562" spans="1:1" x14ac:dyDescent="0.2">
      <c r="A562" s="32"/>
    </row>
    <row r="563" spans="1:1" x14ac:dyDescent="0.2">
      <c r="A563" s="32"/>
    </row>
    <row r="564" spans="1:1" x14ac:dyDescent="0.2">
      <c r="A564" s="32"/>
    </row>
    <row r="565" spans="1:1" x14ac:dyDescent="0.2">
      <c r="A565" s="32"/>
    </row>
    <row r="566" spans="1:1" x14ac:dyDescent="0.2">
      <c r="A566" s="32"/>
    </row>
    <row r="567" spans="1:1" x14ac:dyDescent="0.2">
      <c r="A567" s="32"/>
    </row>
    <row r="568" spans="1:1" x14ac:dyDescent="0.2">
      <c r="A568" s="32"/>
    </row>
    <row r="569" spans="1:1" x14ac:dyDescent="0.2">
      <c r="A569" s="32"/>
    </row>
    <row r="570" spans="1:1" x14ac:dyDescent="0.2">
      <c r="A570" s="32"/>
    </row>
    <row r="571" spans="1:1" x14ac:dyDescent="0.2">
      <c r="A571" s="32"/>
    </row>
    <row r="572" spans="1:1" x14ac:dyDescent="0.2">
      <c r="A572" s="32"/>
    </row>
    <row r="573" spans="1:1" x14ac:dyDescent="0.2">
      <c r="A573" s="32"/>
    </row>
    <row r="574" spans="1:1" x14ac:dyDescent="0.2">
      <c r="A574" s="32"/>
    </row>
    <row r="575" spans="1:1" x14ac:dyDescent="0.2">
      <c r="A575" s="32"/>
    </row>
    <row r="576" spans="1:1" x14ac:dyDescent="0.2">
      <c r="A576" s="32"/>
    </row>
    <row r="577" spans="1:1" x14ac:dyDescent="0.2">
      <c r="A577" s="32"/>
    </row>
    <row r="578" spans="1:1" x14ac:dyDescent="0.2">
      <c r="A578" s="32"/>
    </row>
    <row r="579" spans="1:1" x14ac:dyDescent="0.2">
      <c r="A579" s="32"/>
    </row>
    <row r="580" spans="1:1" x14ac:dyDescent="0.2">
      <c r="A580" s="32"/>
    </row>
    <row r="581" spans="1:1" x14ac:dyDescent="0.2">
      <c r="A581" s="32"/>
    </row>
    <row r="582" spans="1:1" x14ac:dyDescent="0.2">
      <c r="A582" s="32"/>
    </row>
    <row r="583" spans="1:1" x14ac:dyDescent="0.2">
      <c r="A583" s="32"/>
    </row>
    <row r="584" spans="1:1" x14ac:dyDescent="0.2">
      <c r="A584" s="32"/>
    </row>
    <row r="585" spans="1:1" x14ac:dyDescent="0.2">
      <c r="A585" s="32"/>
    </row>
    <row r="586" spans="1:1" x14ac:dyDescent="0.2">
      <c r="A586" s="32"/>
    </row>
    <row r="587" spans="1:1" x14ac:dyDescent="0.2">
      <c r="A587" s="32"/>
    </row>
    <row r="588" spans="1:1" x14ac:dyDescent="0.2">
      <c r="A588" s="32"/>
    </row>
    <row r="589" spans="1:1" x14ac:dyDescent="0.2">
      <c r="A589" s="32"/>
    </row>
    <row r="590" spans="1:1" x14ac:dyDescent="0.2">
      <c r="A590" s="32"/>
    </row>
    <row r="591" spans="1:1" x14ac:dyDescent="0.2">
      <c r="A591" s="32"/>
    </row>
    <row r="592" spans="1:1" x14ac:dyDescent="0.2">
      <c r="A592" s="32"/>
    </row>
    <row r="593" spans="1:1" x14ac:dyDescent="0.2">
      <c r="A593" s="32"/>
    </row>
    <row r="594" spans="1:1" x14ac:dyDescent="0.2">
      <c r="A594" s="32"/>
    </row>
    <row r="595" spans="1:1" x14ac:dyDescent="0.2">
      <c r="A595" s="32"/>
    </row>
    <row r="596" spans="1:1" x14ac:dyDescent="0.2">
      <c r="A596" s="32"/>
    </row>
    <row r="597" spans="1:1" x14ac:dyDescent="0.2">
      <c r="A597" s="32"/>
    </row>
    <row r="598" spans="1:1" x14ac:dyDescent="0.2">
      <c r="A598" s="32"/>
    </row>
    <row r="599" spans="1:1" x14ac:dyDescent="0.2">
      <c r="A599" s="32"/>
    </row>
    <row r="600" spans="1:1" x14ac:dyDescent="0.2">
      <c r="A600" s="32"/>
    </row>
    <row r="601" spans="1:1" x14ac:dyDescent="0.2">
      <c r="A601" s="32"/>
    </row>
    <row r="602" spans="1:1" x14ac:dyDescent="0.2">
      <c r="A602" s="32"/>
    </row>
    <row r="603" spans="1:1" x14ac:dyDescent="0.2">
      <c r="A603" s="32"/>
    </row>
    <row r="604" spans="1:1" x14ac:dyDescent="0.2">
      <c r="A604" s="32"/>
    </row>
    <row r="605" spans="1:1" x14ac:dyDescent="0.2">
      <c r="A605" s="32"/>
    </row>
    <row r="606" spans="1:1" x14ac:dyDescent="0.2">
      <c r="A606" s="32"/>
    </row>
    <row r="607" spans="1:1" x14ac:dyDescent="0.2">
      <c r="A607" s="32"/>
    </row>
    <row r="608" spans="1:1" x14ac:dyDescent="0.2">
      <c r="A608" s="32"/>
    </row>
    <row r="609" spans="1:1" x14ac:dyDescent="0.2">
      <c r="A609" s="32"/>
    </row>
    <row r="610" spans="1:1" x14ac:dyDescent="0.2">
      <c r="A610" s="32"/>
    </row>
    <row r="611" spans="1:1" x14ac:dyDescent="0.2">
      <c r="A611" s="32"/>
    </row>
    <row r="612" spans="1:1" x14ac:dyDescent="0.2">
      <c r="A612" s="32"/>
    </row>
    <row r="613" spans="1:1" x14ac:dyDescent="0.2">
      <c r="A613" s="32"/>
    </row>
    <row r="614" spans="1:1" x14ac:dyDescent="0.2">
      <c r="A614" s="32"/>
    </row>
    <row r="615" spans="1:1" x14ac:dyDescent="0.2">
      <c r="A615" s="32"/>
    </row>
    <row r="616" spans="1:1" x14ac:dyDescent="0.2">
      <c r="A616" s="32"/>
    </row>
    <row r="617" spans="1:1" x14ac:dyDescent="0.2">
      <c r="A617" s="32"/>
    </row>
    <row r="618" spans="1:1" x14ac:dyDescent="0.2">
      <c r="A618" s="32"/>
    </row>
    <row r="619" spans="1:1" x14ac:dyDescent="0.2">
      <c r="A619" s="32"/>
    </row>
    <row r="620" spans="1:1" x14ac:dyDescent="0.2">
      <c r="A620" s="32"/>
    </row>
    <row r="621" spans="1:1" x14ac:dyDescent="0.2">
      <c r="A621" s="32"/>
    </row>
    <row r="622" spans="1:1" x14ac:dyDescent="0.2">
      <c r="A622" s="32"/>
    </row>
    <row r="623" spans="1:1" x14ac:dyDescent="0.2">
      <c r="A623" s="32"/>
    </row>
    <row r="624" spans="1:1" x14ac:dyDescent="0.2">
      <c r="A624" s="32"/>
    </row>
    <row r="625" spans="1:1" x14ac:dyDescent="0.2">
      <c r="A625" s="32"/>
    </row>
    <row r="626" spans="1:1" x14ac:dyDescent="0.2">
      <c r="A626" s="32"/>
    </row>
    <row r="627" spans="1:1" x14ac:dyDescent="0.2">
      <c r="A627" s="32"/>
    </row>
    <row r="628" spans="1:1" x14ac:dyDescent="0.2">
      <c r="A628" s="32"/>
    </row>
    <row r="629" spans="1:1" x14ac:dyDescent="0.2">
      <c r="A629" s="32"/>
    </row>
    <row r="630" spans="1:1" x14ac:dyDescent="0.2">
      <c r="A630" s="32"/>
    </row>
    <row r="631" spans="1:1" x14ac:dyDescent="0.2">
      <c r="A631" s="32"/>
    </row>
    <row r="632" spans="1:1" x14ac:dyDescent="0.2">
      <c r="A632" s="32"/>
    </row>
    <row r="633" spans="1:1" x14ac:dyDescent="0.2">
      <c r="A633" s="32"/>
    </row>
    <row r="634" spans="1:1" x14ac:dyDescent="0.2">
      <c r="A634" s="32"/>
    </row>
    <row r="635" spans="1:1" x14ac:dyDescent="0.2">
      <c r="A635" s="32"/>
    </row>
    <row r="636" spans="1:1" x14ac:dyDescent="0.2">
      <c r="A636" s="32"/>
    </row>
    <row r="637" spans="1:1" x14ac:dyDescent="0.2">
      <c r="A637" s="32"/>
    </row>
    <row r="638" spans="1:1" x14ac:dyDescent="0.2">
      <c r="A638" s="32"/>
    </row>
    <row r="639" spans="1:1" x14ac:dyDescent="0.2">
      <c r="A639" s="32"/>
    </row>
    <row r="640" spans="1:1" x14ac:dyDescent="0.2">
      <c r="A640" s="32"/>
    </row>
    <row r="641" spans="1:1" x14ac:dyDescent="0.2">
      <c r="A641" s="32"/>
    </row>
    <row r="642" spans="1:1" x14ac:dyDescent="0.2">
      <c r="A642" s="32"/>
    </row>
    <row r="643" spans="1:1" x14ac:dyDescent="0.2">
      <c r="A643" s="32"/>
    </row>
    <row r="644" spans="1:1" x14ac:dyDescent="0.2">
      <c r="A644" s="32"/>
    </row>
    <row r="645" spans="1:1" x14ac:dyDescent="0.2">
      <c r="A645" s="32"/>
    </row>
    <row r="646" spans="1:1" x14ac:dyDescent="0.2">
      <c r="A646" s="32"/>
    </row>
    <row r="647" spans="1:1" x14ac:dyDescent="0.2">
      <c r="A647" s="32"/>
    </row>
    <row r="648" spans="1:1" x14ac:dyDescent="0.2">
      <c r="A648" s="32"/>
    </row>
    <row r="649" spans="1:1" x14ac:dyDescent="0.2">
      <c r="A649" s="32"/>
    </row>
    <row r="650" spans="1:1" x14ac:dyDescent="0.2">
      <c r="A650" s="32"/>
    </row>
    <row r="651" spans="1:1" x14ac:dyDescent="0.2">
      <c r="A651" s="32"/>
    </row>
    <row r="652" spans="1:1" x14ac:dyDescent="0.2">
      <c r="A652" s="32"/>
    </row>
    <row r="653" spans="1:1" x14ac:dyDescent="0.2">
      <c r="A653" s="32"/>
    </row>
    <row r="654" spans="1:1" x14ac:dyDescent="0.2">
      <c r="A654" s="32"/>
    </row>
    <row r="655" spans="1:1" x14ac:dyDescent="0.2">
      <c r="A655" s="32"/>
    </row>
    <row r="656" spans="1:1" x14ac:dyDescent="0.2">
      <c r="A656" s="32"/>
    </row>
    <row r="657" spans="1:1" x14ac:dyDescent="0.2">
      <c r="A657" s="32"/>
    </row>
    <row r="658" spans="1:1" x14ac:dyDescent="0.2">
      <c r="A658" s="32"/>
    </row>
    <row r="659" spans="1:1" x14ac:dyDescent="0.2">
      <c r="A659" s="32"/>
    </row>
    <row r="660" spans="1:1" x14ac:dyDescent="0.2">
      <c r="A660" s="32"/>
    </row>
    <row r="661" spans="1:1" x14ac:dyDescent="0.2">
      <c r="A661" s="32"/>
    </row>
    <row r="662" spans="1:1" x14ac:dyDescent="0.2">
      <c r="A662" s="32"/>
    </row>
    <row r="663" spans="1:1" x14ac:dyDescent="0.2">
      <c r="A663" s="32"/>
    </row>
    <row r="664" spans="1:1" x14ac:dyDescent="0.2">
      <c r="A664" s="32"/>
    </row>
    <row r="665" spans="1:1" x14ac:dyDescent="0.2">
      <c r="A665" s="32"/>
    </row>
    <row r="666" spans="1:1" x14ac:dyDescent="0.2">
      <c r="A666" s="32"/>
    </row>
    <row r="667" spans="1:1" x14ac:dyDescent="0.2">
      <c r="A667" s="32"/>
    </row>
    <row r="668" spans="1:1" x14ac:dyDescent="0.2">
      <c r="A668" s="32"/>
    </row>
    <row r="669" spans="1:1" x14ac:dyDescent="0.2">
      <c r="A669" s="32"/>
    </row>
    <row r="670" spans="1:1" x14ac:dyDescent="0.2">
      <c r="A670" s="32"/>
    </row>
    <row r="671" spans="1:1" x14ac:dyDescent="0.2">
      <c r="A671" s="32"/>
    </row>
    <row r="672" spans="1:1" x14ac:dyDescent="0.2">
      <c r="A672" s="32"/>
    </row>
    <row r="673" spans="1:1" x14ac:dyDescent="0.2">
      <c r="A673" s="32"/>
    </row>
    <row r="674" spans="1:1" x14ac:dyDescent="0.2">
      <c r="A674" s="32"/>
    </row>
    <row r="675" spans="1:1" x14ac:dyDescent="0.2">
      <c r="A675" s="32"/>
    </row>
    <row r="676" spans="1:1" x14ac:dyDescent="0.2">
      <c r="A676" s="32"/>
    </row>
    <row r="677" spans="1:1" x14ac:dyDescent="0.2">
      <c r="A677" s="32"/>
    </row>
    <row r="678" spans="1:1" x14ac:dyDescent="0.2">
      <c r="A678" s="32"/>
    </row>
    <row r="679" spans="1:1" x14ac:dyDescent="0.2">
      <c r="A679" s="32"/>
    </row>
    <row r="680" spans="1:1" x14ac:dyDescent="0.2">
      <c r="A680" s="32"/>
    </row>
    <row r="681" spans="1:1" x14ac:dyDescent="0.2">
      <c r="A681" s="32"/>
    </row>
    <row r="682" spans="1:1" x14ac:dyDescent="0.2">
      <c r="A682" s="32"/>
    </row>
    <row r="683" spans="1:1" x14ac:dyDescent="0.2">
      <c r="A683" s="32"/>
    </row>
    <row r="684" spans="1:1" x14ac:dyDescent="0.2">
      <c r="A684" s="32"/>
    </row>
    <row r="685" spans="1:1" x14ac:dyDescent="0.2">
      <c r="A685" s="32"/>
    </row>
    <row r="686" spans="1:1" x14ac:dyDescent="0.2">
      <c r="A686" s="32"/>
    </row>
    <row r="687" spans="1:1" x14ac:dyDescent="0.2">
      <c r="A687" s="32"/>
    </row>
    <row r="688" spans="1:1" x14ac:dyDescent="0.2">
      <c r="A688" s="32"/>
    </row>
    <row r="689" spans="1:1" x14ac:dyDescent="0.2">
      <c r="A689" s="32"/>
    </row>
    <row r="690" spans="1:1" x14ac:dyDescent="0.2">
      <c r="A690" s="32"/>
    </row>
    <row r="691" spans="1:1" x14ac:dyDescent="0.2">
      <c r="A691" s="32"/>
    </row>
    <row r="692" spans="1:1" x14ac:dyDescent="0.2">
      <c r="A692" s="32"/>
    </row>
    <row r="693" spans="1:1" x14ac:dyDescent="0.2">
      <c r="A693" s="32"/>
    </row>
    <row r="694" spans="1:1" x14ac:dyDescent="0.2">
      <c r="A694" s="32"/>
    </row>
    <row r="695" spans="1:1" x14ac:dyDescent="0.2">
      <c r="A695" s="32"/>
    </row>
    <row r="696" spans="1:1" x14ac:dyDescent="0.2">
      <c r="A696" s="32"/>
    </row>
    <row r="697" spans="1:1" x14ac:dyDescent="0.2">
      <c r="A697" s="32"/>
    </row>
    <row r="698" spans="1:1" x14ac:dyDescent="0.2">
      <c r="A698" s="32"/>
    </row>
    <row r="699" spans="1:1" x14ac:dyDescent="0.2">
      <c r="A699" s="32"/>
    </row>
    <row r="700" spans="1:1" x14ac:dyDescent="0.2">
      <c r="A700" s="32"/>
    </row>
    <row r="701" spans="1:1" x14ac:dyDescent="0.2">
      <c r="A701" s="32"/>
    </row>
    <row r="702" spans="1:1" x14ac:dyDescent="0.2">
      <c r="A702" s="32"/>
    </row>
    <row r="703" spans="1:1" x14ac:dyDescent="0.2">
      <c r="A703" s="32"/>
    </row>
    <row r="704" spans="1:1" x14ac:dyDescent="0.2">
      <c r="A704" s="32"/>
    </row>
    <row r="705" spans="1:1" x14ac:dyDescent="0.2">
      <c r="A705" s="32"/>
    </row>
    <row r="706" spans="1:1" x14ac:dyDescent="0.2">
      <c r="A706" s="32"/>
    </row>
    <row r="707" spans="1:1" x14ac:dyDescent="0.2">
      <c r="A707" s="32"/>
    </row>
    <row r="708" spans="1:1" x14ac:dyDescent="0.2">
      <c r="A708" s="32"/>
    </row>
    <row r="709" spans="1:1" x14ac:dyDescent="0.2">
      <c r="A709" s="32"/>
    </row>
    <row r="710" spans="1:1" x14ac:dyDescent="0.2">
      <c r="A710" s="32"/>
    </row>
    <row r="711" spans="1:1" x14ac:dyDescent="0.2">
      <c r="A711" s="32"/>
    </row>
    <row r="712" spans="1:1" x14ac:dyDescent="0.2">
      <c r="A712" s="32"/>
    </row>
    <row r="713" spans="1:1" x14ac:dyDescent="0.2">
      <c r="A713" s="32"/>
    </row>
    <row r="714" spans="1:1" x14ac:dyDescent="0.2">
      <c r="A714" s="32"/>
    </row>
    <row r="715" spans="1:1" x14ac:dyDescent="0.2">
      <c r="A715" s="32"/>
    </row>
    <row r="716" spans="1:1" x14ac:dyDescent="0.2">
      <c r="A716" s="32"/>
    </row>
    <row r="717" spans="1:1" x14ac:dyDescent="0.2">
      <c r="A717" s="32"/>
    </row>
    <row r="718" spans="1:1" x14ac:dyDescent="0.2">
      <c r="A718" s="32"/>
    </row>
    <row r="719" spans="1:1" x14ac:dyDescent="0.2">
      <c r="A719" s="32"/>
    </row>
    <row r="720" spans="1:1" x14ac:dyDescent="0.2">
      <c r="A720" s="32"/>
    </row>
    <row r="721" spans="1:1" x14ac:dyDescent="0.2">
      <c r="A721" s="32"/>
    </row>
    <row r="722" spans="1:1" x14ac:dyDescent="0.2">
      <c r="A722" s="32"/>
    </row>
    <row r="723" spans="1:1" x14ac:dyDescent="0.2">
      <c r="A723" s="32"/>
    </row>
    <row r="724" spans="1:1" x14ac:dyDescent="0.2">
      <c r="A724" s="32"/>
    </row>
    <row r="725" spans="1:1" x14ac:dyDescent="0.2">
      <c r="A725" s="32"/>
    </row>
    <row r="726" spans="1:1" x14ac:dyDescent="0.2">
      <c r="A726" s="32"/>
    </row>
    <row r="727" spans="1:1" x14ac:dyDescent="0.2">
      <c r="A727" s="32"/>
    </row>
    <row r="728" spans="1:1" x14ac:dyDescent="0.2">
      <c r="A728" s="32"/>
    </row>
    <row r="729" spans="1:1" x14ac:dyDescent="0.2">
      <c r="A729" s="32"/>
    </row>
    <row r="730" spans="1:1" x14ac:dyDescent="0.2">
      <c r="A730" s="32"/>
    </row>
    <row r="731" spans="1:1" x14ac:dyDescent="0.2">
      <c r="A731" s="32"/>
    </row>
    <row r="732" spans="1:1" x14ac:dyDescent="0.2">
      <c r="A732" s="32"/>
    </row>
    <row r="733" spans="1:1" x14ac:dyDescent="0.2">
      <c r="A733" s="32"/>
    </row>
    <row r="734" spans="1:1" x14ac:dyDescent="0.2">
      <c r="A734" s="32"/>
    </row>
    <row r="735" spans="1:1" x14ac:dyDescent="0.2">
      <c r="A735" s="32"/>
    </row>
    <row r="736" spans="1:1" x14ac:dyDescent="0.2">
      <c r="A736" s="32"/>
    </row>
    <row r="737" spans="1:1" x14ac:dyDescent="0.2">
      <c r="A737" s="32"/>
    </row>
    <row r="738" spans="1:1" x14ac:dyDescent="0.2">
      <c r="A738" s="32"/>
    </row>
    <row r="739" spans="1:1" x14ac:dyDescent="0.2">
      <c r="A739" s="32"/>
    </row>
    <row r="740" spans="1:1" x14ac:dyDescent="0.2">
      <c r="A740" s="32"/>
    </row>
    <row r="741" spans="1:1" x14ac:dyDescent="0.2">
      <c r="A741" s="32"/>
    </row>
    <row r="742" spans="1:1" x14ac:dyDescent="0.2">
      <c r="A742" s="32"/>
    </row>
    <row r="743" spans="1:1" x14ac:dyDescent="0.2">
      <c r="A743" s="32"/>
    </row>
    <row r="744" spans="1:1" x14ac:dyDescent="0.2">
      <c r="A744" s="32"/>
    </row>
    <row r="745" spans="1:1" x14ac:dyDescent="0.2">
      <c r="A745" s="32"/>
    </row>
    <row r="746" spans="1:1" x14ac:dyDescent="0.2">
      <c r="A746" s="32"/>
    </row>
    <row r="747" spans="1:1" x14ac:dyDescent="0.2">
      <c r="A747" s="32"/>
    </row>
    <row r="748" spans="1:1" x14ac:dyDescent="0.2">
      <c r="A748" s="32"/>
    </row>
    <row r="749" spans="1:1" x14ac:dyDescent="0.2">
      <c r="A749" s="32"/>
    </row>
    <row r="750" spans="1:1" x14ac:dyDescent="0.2">
      <c r="A750" s="32"/>
    </row>
    <row r="751" spans="1:1" x14ac:dyDescent="0.2">
      <c r="A751" s="32"/>
    </row>
    <row r="752" spans="1:1" x14ac:dyDescent="0.2">
      <c r="A752" s="32"/>
    </row>
    <row r="753" spans="1:1" x14ac:dyDescent="0.2">
      <c r="A753" s="32"/>
    </row>
    <row r="754" spans="1:1" x14ac:dyDescent="0.2">
      <c r="A754" s="32"/>
    </row>
    <row r="755" spans="1:1" x14ac:dyDescent="0.2">
      <c r="A755" s="32"/>
    </row>
    <row r="756" spans="1:1" x14ac:dyDescent="0.2">
      <c r="A756" s="32"/>
    </row>
    <row r="757" spans="1:1" x14ac:dyDescent="0.2">
      <c r="A757" s="32"/>
    </row>
    <row r="758" spans="1:1" x14ac:dyDescent="0.2">
      <c r="A758" s="32"/>
    </row>
    <row r="759" spans="1:1" x14ac:dyDescent="0.2">
      <c r="A759" s="32"/>
    </row>
    <row r="760" spans="1:1" x14ac:dyDescent="0.2">
      <c r="A760" s="32"/>
    </row>
    <row r="761" spans="1:1" x14ac:dyDescent="0.2">
      <c r="A761" s="32"/>
    </row>
    <row r="762" spans="1:1" x14ac:dyDescent="0.2">
      <c r="A762" s="32"/>
    </row>
    <row r="763" spans="1:1" x14ac:dyDescent="0.2">
      <c r="A763" s="32"/>
    </row>
    <row r="764" spans="1:1" x14ac:dyDescent="0.2">
      <c r="A764" s="32"/>
    </row>
    <row r="765" spans="1:1" x14ac:dyDescent="0.2">
      <c r="A765" s="32"/>
    </row>
    <row r="766" spans="1:1" x14ac:dyDescent="0.2">
      <c r="A766" s="32"/>
    </row>
    <row r="767" spans="1:1" x14ac:dyDescent="0.2">
      <c r="A767" s="32"/>
    </row>
    <row r="768" spans="1:1" x14ac:dyDescent="0.2">
      <c r="A768" s="32"/>
    </row>
    <row r="769" spans="1:1" x14ac:dyDescent="0.2">
      <c r="A769" s="32"/>
    </row>
    <row r="770" spans="1:1" x14ac:dyDescent="0.2">
      <c r="A770" s="32"/>
    </row>
    <row r="771" spans="1:1" x14ac:dyDescent="0.2">
      <c r="A771" s="32"/>
    </row>
    <row r="772" spans="1:1" x14ac:dyDescent="0.2">
      <c r="A772" s="32"/>
    </row>
    <row r="773" spans="1:1" x14ac:dyDescent="0.2">
      <c r="A773" s="32"/>
    </row>
    <row r="774" spans="1:1" x14ac:dyDescent="0.2">
      <c r="A774" s="32"/>
    </row>
    <row r="775" spans="1:1" x14ac:dyDescent="0.2">
      <c r="A775" s="32"/>
    </row>
    <row r="776" spans="1:1" x14ac:dyDescent="0.2">
      <c r="A776" s="32"/>
    </row>
    <row r="777" spans="1:1" x14ac:dyDescent="0.2">
      <c r="A777" s="32"/>
    </row>
    <row r="778" spans="1:1" x14ac:dyDescent="0.2">
      <c r="A778" s="32"/>
    </row>
    <row r="779" spans="1:1" x14ac:dyDescent="0.2">
      <c r="A779" s="32"/>
    </row>
    <row r="780" spans="1:1" x14ac:dyDescent="0.2">
      <c r="A780" s="32"/>
    </row>
    <row r="781" spans="1:1" x14ac:dyDescent="0.2">
      <c r="A781" s="32"/>
    </row>
    <row r="782" spans="1:1" x14ac:dyDescent="0.2">
      <c r="A782" s="32"/>
    </row>
    <row r="783" spans="1:1" x14ac:dyDescent="0.2">
      <c r="A783" s="32"/>
    </row>
    <row r="784" spans="1:1" x14ac:dyDescent="0.2">
      <c r="A784" s="32"/>
    </row>
    <row r="785" spans="1:1" x14ac:dyDescent="0.2">
      <c r="A785" s="32"/>
    </row>
    <row r="786" spans="1:1" x14ac:dyDescent="0.2">
      <c r="A786" s="32"/>
    </row>
    <row r="787" spans="1:1" x14ac:dyDescent="0.2">
      <c r="A787" s="32"/>
    </row>
    <row r="788" spans="1:1" x14ac:dyDescent="0.2">
      <c r="A788" s="32"/>
    </row>
    <row r="789" spans="1:1" x14ac:dyDescent="0.2">
      <c r="A789" s="32"/>
    </row>
    <row r="790" spans="1:1" x14ac:dyDescent="0.2">
      <c r="A790" s="32"/>
    </row>
    <row r="791" spans="1:1" x14ac:dyDescent="0.2">
      <c r="A791" s="32"/>
    </row>
    <row r="792" spans="1:1" x14ac:dyDescent="0.2">
      <c r="A792" s="32"/>
    </row>
    <row r="793" spans="1:1" x14ac:dyDescent="0.2">
      <c r="A793" s="32"/>
    </row>
    <row r="794" spans="1:1" x14ac:dyDescent="0.2">
      <c r="A794" s="32"/>
    </row>
    <row r="795" spans="1:1" x14ac:dyDescent="0.2">
      <c r="A795" s="32"/>
    </row>
    <row r="796" spans="1:1" x14ac:dyDescent="0.2">
      <c r="A796" s="32"/>
    </row>
    <row r="797" spans="1:1" x14ac:dyDescent="0.2">
      <c r="A797" s="32"/>
    </row>
    <row r="798" spans="1:1" x14ac:dyDescent="0.2">
      <c r="A798" s="32"/>
    </row>
    <row r="799" spans="1:1" x14ac:dyDescent="0.2">
      <c r="A799" s="32"/>
    </row>
    <row r="800" spans="1:1" x14ac:dyDescent="0.2">
      <c r="A800" s="32"/>
    </row>
    <row r="801" spans="1:1" x14ac:dyDescent="0.2">
      <c r="A801" s="32"/>
    </row>
    <row r="802" spans="1:1" x14ac:dyDescent="0.2">
      <c r="A802" s="32"/>
    </row>
    <row r="803" spans="1:1" x14ac:dyDescent="0.2">
      <c r="A803" s="32"/>
    </row>
    <row r="804" spans="1:1" x14ac:dyDescent="0.2">
      <c r="A804" s="32"/>
    </row>
    <row r="805" spans="1:1" x14ac:dyDescent="0.2">
      <c r="A805" s="32"/>
    </row>
    <row r="806" spans="1:1" x14ac:dyDescent="0.2">
      <c r="A806" s="32"/>
    </row>
    <row r="807" spans="1:1" x14ac:dyDescent="0.2">
      <c r="A807" s="32"/>
    </row>
    <row r="808" spans="1:1" x14ac:dyDescent="0.2">
      <c r="A808" s="32"/>
    </row>
    <row r="809" spans="1:1" x14ac:dyDescent="0.2">
      <c r="A809" s="32"/>
    </row>
    <row r="810" spans="1:1" x14ac:dyDescent="0.2">
      <c r="A810" s="32"/>
    </row>
    <row r="811" spans="1:1" x14ac:dyDescent="0.2">
      <c r="A811" s="32"/>
    </row>
    <row r="812" spans="1:1" x14ac:dyDescent="0.2">
      <c r="A812" s="32"/>
    </row>
    <row r="813" spans="1:1" x14ac:dyDescent="0.2">
      <c r="A813" s="32"/>
    </row>
    <row r="814" spans="1:1" x14ac:dyDescent="0.2">
      <c r="A814" s="32"/>
    </row>
    <row r="815" spans="1:1" x14ac:dyDescent="0.2">
      <c r="A815" s="32"/>
    </row>
    <row r="816" spans="1:1" x14ac:dyDescent="0.2">
      <c r="A816" s="32"/>
    </row>
    <row r="817" spans="1:1" x14ac:dyDescent="0.2">
      <c r="A817" s="32"/>
    </row>
    <row r="818" spans="1:1" x14ac:dyDescent="0.2">
      <c r="A818" s="32"/>
    </row>
    <row r="819" spans="1:1" x14ac:dyDescent="0.2">
      <c r="A819" s="32"/>
    </row>
    <row r="820" spans="1:1" x14ac:dyDescent="0.2">
      <c r="A820" s="32"/>
    </row>
    <row r="821" spans="1:1" x14ac:dyDescent="0.2">
      <c r="A821" s="32"/>
    </row>
    <row r="822" spans="1:1" x14ac:dyDescent="0.2">
      <c r="A822" s="32"/>
    </row>
    <row r="823" spans="1:1" x14ac:dyDescent="0.2">
      <c r="A823" s="32"/>
    </row>
    <row r="824" spans="1:1" x14ac:dyDescent="0.2">
      <c r="A824" s="32"/>
    </row>
    <row r="825" spans="1:1" x14ac:dyDescent="0.2">
      <c r="A825" s="32"/>
    </row>
    <row r="826" spans="1:1" x14ac:dyDescent="0.2">
      <c r="A826" s="32"/>
    </row>
    <row r="827" spans="1:1" x14ac:dyDescent="0.2">
      <c r="A827" s="32"/>
    </row>
    <row r="828" spans="1:1" x14ac:dyDescent="0.2">
      <c r="A828" s="32"/>
    </row>
    <row r="829" spans="1:1" x14ac:dyDescent="0.2">
      <c r="A829" s="32"/>
    </row>
    <row r="830" spans="1:1" x14ac:dyDescent="0.2">
      <c r="A830" s="32"/>
    </row>
    <row r="831" spans="1:1" x14ac:dyDescent="0.2">
      <c r="A831" s="32"/>
    </row>
    <row r="832" spans="1:1" x14ac:dyDescent="0.2">
      <c r="A832" s="32"/>
    </row>
    <row r="833" spans="1:1" x14ac:dyDescent="0.2">
      <c r="A833" s="32"/>
    </row>
    <row r="834" spans="1:1" x14ac:dyDescent="0.2">
      <c r="A834" s="32"/>
    </row>
    <row r="835" spans="1:1" x14ac:dyDescent="0.2">
      <c r="A835" s="32"/>
    </row>
    <row r="836" spans="1:1" x14ac:dyDescent="0.2">
      <c r="A836" s="32"/>
    </row>
    <row r="837" spans="1:1" x14ac:dyDescent="0.2">
      <c r="A837" s="32"/>
    </row>
    <row r="838" spans="1:1" x14ac:dyDescent="0.2">
      <c r="A838" s="32"/>
    </row>
    <row r="839" spans="1:1" x14ac:dyDescent="0.2">
      <c r="A839" s="32"/>
    </row>
    <row r="840" spans="1:1" x14ac:dyDescent="0.2">
      <c r="A840" s="32"/>
    </row>
    <row r="841" spans="1:1" x14ac:dyDescent="0.2">
      <c r="A841" s="32"/>
    </row>
    <row r="842" spans="1:1" x14ac:dyDescent="0.2">
      <c r="A842" s="32"/>
    </row>
    <row r="843" spans="1:1" x14ac:dyDescent="0.2">
      <c r="A843" s="32"/>
    </row>
    <row r="844" spans="1:1" x14ac:dyDescent="0.2">
      <c r="A844" s="32"/>
    </row>
    <row r="845" spans="1:1" x14ac:dyDescent="0.2">
      <c r="A845" s="32"/>
    </row>
    <row r="846" spans="1:1" x14ac:dyDescent="0.2">
      <c r="A846" s="32"/>
    </row>
    <row r="847" spans="1:1" x14ac:dyDescent="0.2">
      <c r="A847" s="32"/>
    </row>
    <row r="848" spans="1:1" x14ac:dyDescent="0.2">
      <c r="A848" s="32"/>
    </row>
    <row r="849" spans="1:1" x14ac:dyDescent="0.2">
      <c r="A849" s="32"/>
    </row>
    <row r="850" spans="1:1" x14ac:dyDescent="0.2">
      <c r="A850" s="32"/>
    </row>
    <row r="851" spans="1:1" x14ac:dyDescent="0.2">
      <c r="A851" s="32"/>
    </row>
    <row r="852" spans="1:1" x14ac:dyDescent="0.2">
      <c r="A852" s="32"/>
    </row>
    <row r="853" spans="1:1" x14ac:dyDescent="0.2">
      <c r="A853" s="32"/>
    </row>
    <row r="854" spans="1:1" x14ac:dyDescent="0.2">
      <c r="A854" s="32"/>
    </row>
    <row r="855" spans="1:1" x14ac:dyDescent="0.2">
      <c r="A855" s="32"/>
    </row>
    <row r="856" spans="1:1" x14ac:dyDescent="0.2">
      <c r="A856" s="32"/>
    </row>
    <row r="857" spans="1:1" x14ac:dyDescent="0.2">
      <c r="A857" s="32"/>
    </row>
    <row r="858" spans="1:1" x14ac:dyDescent="0.2">
      <c r="A858" s="32"/>
    </row>
    <row r="859" spans="1:1" x14ac:dyDescent="0.2">
      <c r="A859" s="32"/>
    </row>
    <row r="860" spans="1:1" x14ac:dyDescent="0.2">
      <c r="A860" s="32"/>
    </row>
    <row r="861" spans="1:1" x14ac:dyDescent="0.2">
      <c r="A861" s="32"/>
    </row>
    <row r="862" spans="1:1" x14ac:dyDescent="0.2">
      <c r="A862" s="32"/>
    </row>
    <row r="863" spans="1:1" x14ac:dyDescent="0.2">
      <c r="A863" s="32"/>
    </row>
    <row r="864" spans="1:1" x14ac:dyDescent="0.2">
      <c r="A864" s="32"/>
    </row>
    <row r="865" spans="1:1" x14ac:dyDescent="0.2">
      <c r="A865" s="32"/>
    </row>
    <row r="866" spans="1:1" x14ac:dyDescent="0.2">
      <c r="A866" s="32"/>
    </row>
    <row r="867" spans="1:1" x14ac:dyDescent="0.2">
      <c r="A867" s="32"/>
    </row>
    <row r="868" spans="1:1" x14ac:dyDescent="0.2">
      <c r="A868" s="32"/>
    </row>
    <row r="869" spans="1:1" x14ac:dyDescent="0.2">
      <c r="A869" s="32"/>
    </row>
    <row r="870" spans="1:1" x14ac:dyDescent="0.2">
      <c r="A870" s="32"/>
    </row>
    <row r="871" spans="1:1" x14ac:dyDescent="0.2">
      <c r="A871" s="32"/>
    </row>
    <row r="872" spans="1:1" x14ac:dyDescent="0.2">
      <c r="A872" s="32"/>
    </row>
    <row r="873" spans="1:1" x14ac:dyDescent="0.2">
      <c r="A873" s="32"/>
    </row>
    <row r="874" spans="1:1" x14ac:dyDescent="0.2">
      <c r="A874" s="32"/>
    </row>
    <row r="875" spans="1:1" x14ac:dyDescent="0.2">
      <c r="A875" s="32"/>
    </row>
    <row r="876" spans="1:1" x14ac:dyDescent="0.2">
      <c r="A876" s="32"/>
    </row>
    <row r="877" spans="1:1" x14ac:dyDescent="0.2">
      <c r="A877" s="32"/>
    </row>
    <row r="878" spans="1:1" x14ac:dyDescent="0.2">
      <c r="A878" s="32"/>
    </row>
    <row r="879" spans="1:1" x14ac:dyDescent="0.2">
      <c r="A879" s="32"/>
    </row>
    <row r="880" spans="1:1" x14ac:dyDescent="0.2">
      <c r="A880" s="32"/>
    </row>
    <row r="881" spans="1:1" x14ac:dyDescent="0.2">
      <c r="A881" s="32"/>
    </row>
    <row r="882" spans="1:1" x14ac:dyDescent="0.2">
      <c r="A882" s="32"/>
    </row>
    <row r="883" spans="1:1" x14ac:dyDescent="0.2">
      <c r="A883" s="32"/>
    </row>
    <row r="884" spans="1:1" x14ac:dyDescent="0.2">
      <c r="A884" s="32"/>
    </row>
    <row r="885" spans="1:1" x14ac:dyDescent="0.2">
      <c r="A885" s="32"/>
    </row>
    <row r="886" spans="1:1" x14ac:dyDescent="0.2">
      <c r="A886" s="32"/>
    </row>
    <row r="887" spans="1:1" x14ac:dyDescent="0.2">
      <c r="A887" s="32"/>
    </row>
    <row r="888" spans="1:1" x14ac:dyDescent="0.2">
      <c r="A888" s="32"/>
    </row>
    <row r="889" spans="1:1" x14ac:dyDescent="0.2">
      <c r="A889" s="32"/>
    </row>
    <row r="890" spans="1:1" x14ac:dyDescent="0.2">
      <c r="A890" s="32"/>
    </row>
    <row r="891" spans="1:1" x14ac:dyDescent="0.2">
      <c r="A891" s="32"/>
    </row>
    <row r="892" spans="1:1" x14ac:dyDescent="0.2">
      <c r="A892" s="32"/>
    </row>
    <row r="893" spans="1:1" x14ac:dyDescent="0.2">
      <c r="A893" s="32"/>
    </row>
    <row r="894" spans="1:1" x14ac:dyDescent="0.2">
      <c r="A894" s="32"/>
    </row>
    <row r="895" spans="1:1" x14ac:dyDescent="0.2">
      <c r="A895" s="32"/>
    </row>
    <row r="896" spans="1:1" x14ac:dyDescent="0.2">
      <c r="A896" s="32"/>
    </row>
    <row r="897" spans="1:1" x14ac:dyDescent="0.2">
      <c r="A897" s="32"/>
    </row>
    <row r="898" spans="1:1" x14ac:dyDescent="0.2">
      <c r="A898" s="32"/>
    </row>
    <row r="899" spans="1:1" x14ac:dyDescent="0.2">
      <c r="A899" s="32"/>
    </row>
    <row r="900" spans="1:1" x14ac:dyDescent="0.2">
      <c r="A900" s="32"/>
    </row>
    <row r="901" spans="1:1" x14ac:dyDescent="0.2">
      <c r="A901" s="32"/>
    </row>
    <row r="902" spans="1:1" x14ac:dyDescent="0.2">
      <c r="A902" s="32"/>
    </row>
    <row r="903" spans="1:1" x14ac:dyDescent="0.2">
      <c r="A903" s="32"/>
    </row>
    <row r="904" spans="1:1" x14ac:dyDescent="0.2">
      <c r="A904" s="32"/>
    </row>
    <row r="905" spans="1:1" x14ac:dyDescent="0.2">
      <c r="A905" s="32"/>
    </row>
    <row r="906" spans="1:1" x14ac:dyDescent="0.2">
      <c r="A906" s="32"/>
    </row>
    <row r="907" spans="1:1" x14ac:dyDescent="0.2">
      <c r="A907" s="32"/>
    </row>
    <row r="908" spans="1:1" x14ac:dyDescent="0.2">
      <c r="A908" s="32"/>
    </row>
    <row r="909" spans="1:1" x14ac:dyDescent="0.2">
      <c r="A909" s="32"/>
    </row>
    <row r="910" spans="1:1" x14ac:dyDescent="0.2">
      <c r="A910" s="32"/>
    </row>
    <row r="911" spans="1:1" x14ac:dyDescent="0.2">
      <c r="A911" s="32"/>
    </row>
    <row r="912" spans="1:1" x14ac:dyDescent="0.2">
      <c r="A912" s="32"/>
    </row>
    <row r="913" spans="1:1" x14ac:dyDescent="0.2">
      <c r="A913" s="32"/>
    </row>
    <row r="914" spans="1:1" x14ac:dyDescent="0.2">
      <c r="A914" s="32"/>
    </row>
    <row r="915" spans="1:1" x14ac:dyDescent="0.2">
      <c r="A915" s="32"/>
    </row>
    <row r="916" spans="1:1" x14ac:dyDescent="0.2">
      <c r="A916" s="32"/>
    </row>
    <row r="917" spans="1:1" x14ac:dyDescent="0.2">
      <c r="A917" s="32"/>
    </row>
    <row r="918" spans="1:1" x14ac:dyDescent="0.2">
      <c r="A918" s="32"/>
    </row>
    <row r="919" spans="1:1" x14ac:dyDescent="0.2">
      <c r="A919" s="32"/>
    </row>
    <row r="920" spans="1:1" x14ac:dyDescent="0.2">
      <c r="A920" s="32"/>
    </row>
    <row r="921" spans="1:1" x14ac:dyDescent="0.2">
      <c r="A921" s="32"/>
    </row>
    <row r="922" spans="1:1" x14ac:dyDescent="0.2">
      <c r="A922" s="32"/>
    </row>
    <row r="923" spans="1:1" x14ac:dyDescent="0.2">
      <c r="A923" s="32"/>
    </row>
    <row r="924" spans="1:1" x14ac:dyDescent="0.2">
      <c r="A924" s="32"/>
    </row>
    <row r="925" spans="1:1" x14ac:dyDescent="0.2">
      <c r="A925" s="32"/>
    </row>
    <row r="926" spans="1:1" x14ac:dyDescent="0.2">
      <c r="A926" s="32"/>
    </row>
    <row r="927" spans="1:1" x14ac:dyDescent="0.2">
      <c r="A927" s="32"/>
    </row>
    <row r="928" spans="1:1" x14ac:dyDescent="0.2">
      <c r="A928" s="32"/>
    </row>
    <row r="929" spans="1:1" x14ac:dyDescent="0.2">
      <c r="A929" s="32"/>
    </row>
    <row r="930" spans="1:1" x14ac:dyDescent="0.2">
      <c r="A930" s="32"/>
    </row>
    <row r="931" spans="1:1" x14ac:dyDescent="0.2">
      <c r="A931" s="32"/>
    </row>
    <row r="932" spans="1:1" x14ac:dyDescent="0.2">
      <c r="A932" s="32"/>
    </row>
    <row r="933" spans="1:1" x14ac:dyDescent="0.2">
      <c r="A933" s="32"/>
    </row>
    <row r="934" spans="1:1" x14ac:dyDescent="0.2">
      <c r="A934" s="32"/>
    </row>
    <row r="935" spans="1:1" x14ac:dyDescent="0.2">
      <c r="A935" s="32"/>
    </row>
    <row r="936" spans="1:1" x14ac:dyDescent="0.2">
      <c r="A936" s="32"/>
    </row>
    <row r="937" spans="1:1" x14ac:dyDescent="0.2">
      <c r="A937" s="32"/>
    </row>
    <row r="938" spans="1:1" x14ac:dyDescent="0.2">
      <c r="A938" s="32"/>
    </row>
    <row r="939" spans="1:1" x14ac:dyDescent="0.2">
      <c r="A939" s="32"/>
    </row>
    <row r="940" spans="1:1" x14ac:dyDescent="0.2">
      <c r="A940" s="32"/>
    </row>
    <row r="941" spans="1:1" x14ac:dyDescent="0.2">
      <c r="A941" s="32"/>
    </row>
    <row r="942" spans="1:1" x14ac:dyDescent="0.2">
      <c r="A942" s="32"/>
    </row>
    <row r="943" spans="1:1" x14ac:dyDescent="0.2">
      <c r="A943" s="32"/>
    </row>
    <row r="944" spans="1:1" x14ac:dyDescent="0.2">
      <c r="A944" s="32"/>
    </row>
    <row r="945" spans="1:1" x14ac:dyDescent="0.2">
      <c r="A945" s="32"/>
    </row>
    <row r="946" spans="1:1" x14ac:dyDescent="0.2">
      <c r="A946" s="32"/>
    </row>
    <row r="947" spans="1:1" x14ac:dyDescent="0.2">
      <c r="A947" s="32"/>
    </row>
    <row r="948" spans="1:1" x14ac:dyDescent="0.2">
      <c r="A948" s="32"/>
    </row>
    <row r="949" spans="1:1" x14ac:dyDescent="0.2">
      <c r="A949" s="32"/>
    </row>
    <row r="950" spans="1:1" x14ac:dyDescent="0.2">
      <c r="A950" s="32"/>
    </row>
    <row r="951" spans="1:1" x14ac:dyDescent="0.2">
      <c r="A951" s="32"/>
    </row>
    <row r="952" spans="1:1" x14ac:dyDescent="0.2">
      <c r="A952" s="32"/>
    </row>
    <row r="953" spans="1:1" x14ac:dyDescent="0.2">
      <c r="A953" s="32"/>
    </row>
    <row r="954" spans="1:1" x14ac:dyDescent="0.2">
      <c r="A954" s="32"/>
    </row>
    <row r="955" spans="1:1" x14ac:dyDescent="0.2">
      <c r="A955" s="32"/>
    </row>
    <row r="956" spans="1:1" x14ac:dyDescent="0.2">
      <c r="A956" s="32"/>
    </row>
    <row r="957" spans="1:1" x14ac:dyDescent="0.2">
      <c r="A957" s="32"/>
    </row>
    <row r="958" spans="1:1" x14ac:dyDescent="0.2">
      <c r="A958" s="32"/>
    </row>
    <row r="959" spans="1:1" x14ac:dyDescent="0.2">
      <c r="A959" s="32"/>
    </row>
    <row r="960" spans="1:1" x14ac:dyDescent="0.2">
      <c r="A960" s="32"/>
    </row>
    <row r="961" spans="1:1" x14ac:dyDescent="0.2">
      <c r="A961" s="32"/>
    </row>
    <row r="962" spans="1:1" x14ac:dyDescent="0.2">
      <c r="A962" s="32"/>
    </row>
    <row r="963" spans="1:1" x14ac:dyDescent="0.2">
      <c r="A963" s="32"/>
    </row>
    <row r="964" spans="1:1" x14ac:dyDescent="0.2">
      <c r="A964" s="32"/>
    </row>
    <row r="965" spans="1:1" x14ac:dyDescent="0.2">
      <c r="A965" s="32"/>
    </row>
    <row r="966" spans="1:1" x14ac:dyDescent="0.2">
      <c r="A966" s="32"/>
    </row>
    <row r="967" spans="1:1" x14ac:dyDescent="0.2">
      <c r="A967" s="32"/>
    </row>
    <row r="968" spans="1:1" x14ac:dyDescent="0.2">
      <c r="A968" s="32"/>
    </row>
    <row r="969" spans="1:1" x14ac:dyDescent="0.2">
      <c r="A969" s="32"/>
    </row>
    <row r="970" spans="1:1" x14ac:dyDescent="0.2">
      <c r="A970" s="32"/>
    </row>
    <row r="971" spans="1:1" x14ac:dyDescent="0.2">
      <c r="A971" s="32"/>
    </row>
    <row r="972" spans="1:1" x14ac:dyDescent="0.2">
      <c r="A972" s="32"/>
    </row>
    <row r="973" spans="1:1" x14ac:dyDescent="0.2">
      <c r="A973" s="32"/>
    </row>
    <row r="974" spans="1:1" x14ac:dyDescent="0.2">
      <c r="A974" s="32"/>
    </row>
    <row r="975" spans="1:1" x14ac:dyDescent="0.2">
      <c r="A975" s="32"/>
    </row>
    <row r="976" spans="1:1" x14ac:dyDescent="0.2">
      <c r="A976" s="32"/>
    </row>
    <row r="977" spans="1:1" x14ac:dyDescent="0.2">
      <c r="A977" s="32"/>
    </row>
    <row r="978" spans="1:1" x14ac:dyDescent="0.2">
      <c r="A978" s="32"/>
    </row>
    <row r="979" spans="1:1" x14ac:dyDescent="0.2">
      <c r="A979" s="32"/>
    </row>
    <row r="980" spans="1:1" x14ac:dyDescent="0.2">
      <c r="A980" s="32"/>
    </row>
    <row r="981" spans="1:1" x14ac:dyDescent="0.2">
      <c r="A981" s="32"/>
    </row>
    <row r="982" spans="1:1" x14ac:dyDescent="0.2">
      <c r="A982" s="32"/>
    </row>
    <row r="983" spans="1:1" x14ac:dyDescent="0.2">
      <c r="A983" s="32"/>
    </row>
    <row r="984" spans="1:1" x14ac:dyDescent="0.2">
      <c r="A984" s="32"/>
    </row>
    <row r="985" spans="1:1" x14ac:dyDescent="0.2">
      <c r="A985" s="32"/>
    </row>
    <row r="986" spans="1:1" x14ac:dyDescent="0.2">
      <c r="A986" s="32"/>
    </row>
    <row r="987" spans="1:1" x14ac:dyDescent="0.2">
      <c r="A987" s="32"/>
    </row>
    <row r="988" spans="1:1" x14ac:dyDescent="0.2">
      <c r="A988" s="32"/>
    </row>
    <row r="989" spans="1:1" x14ac:dyDescent="0.2">
      <c r="A989" s="32"/>
    </row>
    <row r="990" spans="1:1" x14ac:dyDescent="0.2">
      <c r="A990" s="32"/>
    </row>
    <row r="991" spans="1:1" x14ac:dyDescent="0.2">
      <c r="A991" s="32"/>
    </row>
    <row r="992" spans="1:1" x14ac:dyDescent="0.2">
      <c r="A992" s="32"/>
    </row>
    <row r="993" spans="1:1" x14ac:dyDescent="0.2">
      <c r="A993" s="32"/>
    </row>
    <row r="994" spans="1:1" x14ac:dyDescent="0.2">
      <c r="A994" s="32"/>
    </row>
    <row r="995" spans="1:1" x14ac:dyDescent="0.2">
      <c r="A995" s="32"/>
    </row>
    <row r="996" spans="1:1" x14ac:dyDescent="0.2">
      <c r="A996" s="32"/>
    </row>
    <row r="997" spans="1:1" x14ac:dyDescent="0.2">
      <c r="A997" s="32"/>
    </row>
    <row r="998" spans="1:1" x14ac:dyDescent="0.2">
      <c r="A998" s="32"/>
    </row>
    <row r="999" spans="1:1" x14ac:dyDescent="0.2">
      <c r="A999" s="32"/>
    </row>
    <row r="1000" spans="1:1" x14ac:dyDescent="0.2">
      <c r="A1000" s="32"/>
    </row>
    <row r="1001" spans="1:1" x14ac:dyDescent="0.2">
      <c r="A1001" s="32"/>
    </row>
    <row r="1002" spans="1:1" x14ac:dyDescent="0.2">
      <c r="A1002" s="32"/>
    </row>
    <row r="1003" spans="1:1" x14ac:dyDescent="0.2">
      <c r="A1003" s="32"/>
    </row>
    <row r="1004" spans="1:1" x14ac:dyDescent="0.2">
      <c r="A1004" s="32"/>
    </row>
    <row r="1005" spans="1:1" x14ac:dyDescent="0.2">
      <c r="A1005" s="32"/>
    </row>
    <row r="1006" spans="1:1" x14ac:dyDescent="0.2">
      <c r="A1006" s="32"/>
    </row>
    <row r="1007" spans="1:1" x14ac:dyDescent="0.2">
      <c r="A1007" s="32"/>
    </row>
    <row r="1008" spans="1:1" x14ac:dyDescent="0.2">
      <c r="A1008" s="32"/>
    </row>
    <row r="1009" spans="1:1" x14ac:dyDescent="0.2">
      <c r="A1009" s="32"/>
    </row>
    <row r="1010" spans="1:1" x14ac:dyDescent="0.2">
      <c r="A1010" s="32"/>
    </row>
    <row r="1011" spans="1:1" x14ac:dyDescent="0.2">
      <c r="A1011" s="32"/>
    </row>
    <row r="1012" spans="1:1" x14ac:dyDescent="0.2">
      <c r="A1012" s="32"/>
    </row>
    <row r="1013" spans="1:1" x14ac:dyDescent="0.2">
      <c r="A1013" s="32"/>
    </row>
    <row r="1014" spans="1:1" x14ac:dyDescent="0.2">
      <c r="A1014" s="32"/>
    </row>
    <row r="1015" spans="1:1" x14ac:dyDescent="0.2">
      <c r="A1015" s="32"/>
    </row>
    <row r="1016" spans="1:1" x14ac:dyDescent="0.2">
      <c r="A1016" s="32"/>
    </row>
    <row r="1017" spans="1:1" x14ac:dyDescent="0.2">
      <c r="A1017" s="32"/>
    </row>
    <row r="1018" spans="1:1" x14ac:dyDescent="0.2">
      <c r="A1018" s="32"/>
    </row>
    <row r="1019" spans="1:1" x14ac:dyDescent="0.2">
      <c r="A1019" s="32"/>
    </row>
    <row r="1020" spans="1:1" x14ac:dyDescent="0.2">
      <c r="A1020" s="32"/>
    </row>
    <row r="1021" spans="1:1" x14ac:dyDescent="0.2">
      <c r="A1021" s="32"/>
    </row>
    <row r="1022" spans="1:1" x14ac:dyDescent="0.2">
      <c r="A1022" s="32"/>
    </row>
    <row r="1023" spans="1:1" x14ac:dyDescent="0.2">
      <c r="A1023" s="32"/>
    </row>
    <row r="1024" spans="1:1" x14ac:dyDescent="0.2">
      <c r="A1024" s="32"/>
    </row>
    <row r="1025" spans="1:1" x14ac:dyDescent="0.2">
      <c r="A1025" s="32"/>
    </row>
    <row r="1026" spans="1:1" x14ac:dyDescent="0.2">
      <c r="A1026" s="32"/>
    </row>
    <row r="1027" spans="1:1" x14ac:dyDescent="0.2">
      <c r="A1027" s="32"/>
    </row>
    <row r="1028" spans="1:1" x14ac:dyDescent="0.2">
      <c r="A1028" s="32"/>
    </row>
    <row r="1029" spans="1:1" x14ac:dyDescent="0.2">
      <c r="A1029" s="32"/>
    </row>
    <row r="1030" spans="1:1" x14ac:dyDescent="0.2">
      <c r="A1030" s="32"/>
    </row>
    <row r="1031" spans="1:1" x14ac:dyDescent="0.2">
      <c r="A1031" s="32"/>
    </row>
    <row r="1032" spans="1:1" x14ac:dyDescent="0.2">
      <c r="A1032" s="32"/>
    </row>
    <row r="1033" spans="1:1" x14ac:dyDescent="0.2">
      <c r="A1033" s="32"/>
    </row>
    <row r="1034" spans="1:1" x14ac:dyDescent="0.2">
      <c r="A1034" s="32"/>
    </row>
    <row r="1035" spans="1:1" x14ac:dyDescent="0.2">
      <c r="A1035" s="32"/>
    </row>
    <row r="1036" spans="1:1" x14ac:dyDescent="0.2">
      <c r="A1036" s="32"/>
    </row>
    <row r="1037" spans="1:1" x14ac:dyDescent="0.2">
      <c r="A1037" s="32"/>
    </row>
    <row r="1038" spans="1:1" x14ac:dyDescent="0.2">
      <c r="A1038" s="32"/>
    </row>
    <row r="1039" spans="1:1" x14ac:dyDescent="0.2">
      <c r="A1039" s="32"/>
    </row>
    <row r="1040" spans="1:1" x14ac:dyDescent="0.2">
      <c r="A1040" s="32"/>
    </row>
    <row r="1041" spans="1:1" x14ac:dyDescent="0.2">
      <c r="A1041" s="32"/>
    </row>
    <row r="1042" spans="1:1" x14ac:dyDescent="0.2">
      <c r="A1042" s="32"/>
    </row>
    <row r="1043" spans="1:1" x14ac:dyDescent="0.2">
      <c r="A1043" s="32"/>
    </row>
    <row r="1044" spans="1:1" x14ac:dyDescent="0.2">
      <c r="A1044" s="32"/>
    </row>
    <row r="1045" spans="1:1" x14ac:dyDescent="0.2">
      <c r="A1045" s="32"/>
    </row>
    <row r="1046" spans="1:1" x14ac:dyDescent="0.2">
      <c r="A1046" s="32"/>
    </row>
    <row r="1047" spans="1:1" x14ac:dyDescent="0.2">
      <c r="A1047" s="32"/>
    </row>
    <row r="1048" spans="1:1" x14ac:dyDescent="0.2">
      <c r="A1048" s="32"/>
    </row>
    <row r="1049" spans="1:1" x14ac:dyDescent="0.2">
      <c r="A1049" s="32"/>
    </row>
    <row r="1050" spans="1:1" x14ac:dyDescent="0.2">
      <c r="A1050" s="32"/>
    </row>
    <row r="1051" spans="1:1" x14ac:dyDescent="0.2">
      <c r="A1051" s="32"/>
    </row>
    <row r="1052" spans="1:1" x14ac:dyDescent="0.2">
      <c r="A1052" s="32"/>
    </row>
    <row r="1053" spans="1:1" x14ac:dyDescent="0.2">
      <c r="A1053" s="32"/>
    </row>
    <row r="1054" spans="1:1" x14ac:dyDescent="0.2">
      <c r="A1054" s="32"/>
    </row>
    <row r="1055" spans="1:1" x14ac:dyDescent="0.2">
      <c r="A1055" s="32"/>
    </row>
    <row r="1056" spans="1:1" x14ac:dyDescent="0.2">
      <c r="A1056" s="32"/>
    </row>
    <row r="1057" spans="1:1" x14ac:dyDescent="0.2">
      <c r="A1057" s="32"/>
    </row>
    <row r="1058" spans="1:1" x14ac:dyDescent="0.2">
      <c r="A1058" s="32"/>
    </row>
    <row r="1059" spans="1:1" x14ac:dyDescent="0.2">
      <c r="A1059" s="32"/>
    </row>
    <row r="1060" spans="1:1" x14ac:dyDescent="0.2">
      <c r="A1060" s="32"/>
    </row>
    <row r="1061" spans="1:1" x14ac:dyDescent="0.2">
      <c r="A1061" s="32"/>
    </row>
    <row r="1062" spans="1:1" x14ac:dyDescent="0.2">
      <c r="A1062" s="32"/>
    </row>
    <row r="1063" spans="1:1" x14ac:dyDescent="0.2">
      <c r="A1063" s="32"/>
    </row>
    <row r="1064" spans="1:1" x14ac:dyDescent="0.2">
      <c r="A1064" s="32"/>
    </row>
    <row r="1065" spans="1:1" x14ac:dyDescent="0.2">
      <c r="A1065" s="32"/>
    </row>
    <row r="1066" spans="1:1" x14ac:dyDescent="0.2">
      <c r="A1066" s="32"/>
    </row>
    <row r="1067" spans="1:1" x14ac:dyDescent="0.2">
      <c r="A1067" s="32"/>
    </row>
    <row r="1068" spans="1:1" x14ac:dyDescent="0.2">
      <c r="A1068" s="32"/>
    </row>
    <row r="1069" spans="1:1" x14ac:dyDescent="0.2">
      <c r="A1069" s="32"/>
    </row>
    <row r="1070" spans="1:1" x14ac:dyDescent="0.2">
      <c r="A1070" s="32"/>
    </row>
    <row r="1071" spans="1:1" x14ac:dyDescent="0.2">
      <c r="A1071" s="32"/>
    </row>
    <row r="1072" spans="1:1" x14ac:dyDescent="0.2">
      <c r="A1072" s="32"/>
    </row>
    <row r="1073" spans="1:1" x14ac:dyDescent="0.2">
      <c r="A1073" s="32"/>
    </row>
    <row r="1074" spans="1:1" x14ac:dyDescent="0.2">
      <c r="A1074" s="32"/>
    </row>
    <row r="1075" spans="1:1" x14ac:dyDescent="0.2">
      <c r="A1075" s="32"/>
    </row>
    <row r="1076" spans="1:1" x14ac:dyDescent="0.2">
      <c r="A1076" s="32"/>
    </row>
    <row r="1077" spans="1:1" x14ac:dyDescent="0.2">
      <c r="A1077" s="32"/>
    </row>
    <row r="1078" spans="1:1" x14ac:dyDescent="0.2">
      <c r="A1078" s="32"/>
    </row>
    <row r="1079" spans="1:1" x14ac:dyDescent="0.2">
      <c r="A1079" s="32"/>
    </row>
    <row r="1080" spans="1:1" x14ac:dyDescent="0.2">
      <c r="A1080" s="32"/>
    </row>
    <row r="1081" spans="1:1" x14ac:dyDescent="0.2">
      <c r="A1081" s="32"/>
    </row>
    <row r="1082" spans="1:1" x14ac:dyDescent="0.2">
      <c r="A1082" s="32"/>
    </row>
    <row r="1083" spans="1:1" x14ac:dyDescent="0.2">
      <c r="A1083" s="32"/>
    </row>
    <row r="1084" spans="1:1" x14ac:dyDescent="0.2">
      <c r="A1084" s="32"/>
    </row>
    <row r="1085" spans="1:1" x14ac:dyDescent="0.2">
      <c r="A1085" s="32"/>
    </row>
    <row r="1086" spans="1:1" x14ac:dyDescent="0.2">
      <c r="A1086" s="32"/>
    </row>
    <row r="1087" spans="1:1" x14ac:dyDescent="0.2">
      <c r="A1087" s="32"/>
    </row>
    <row r="1088" spans="1:1" x14ac:dyDescent="0.2">
      <c r="A1088" s="32"/>
    </row>
    <row r="1089" spans="1:1" x14ac:dyDescent="0.2">
      <c r="A1089" s="32"/>
    </row>
    <row r="1090" spans="1:1" x14ac:dyDescent="0.2">
      <c r="A1090" s="32"/>
    </row>
    <row r="1091" spans="1:1" x14ac:dyDescent="0.2">
      <c r="A1091" s="32"/>
    </row>
    <row r="1092" spans="1:1" x14ac:dyDescent="0.2">
      <c r="A1092" s="32"/>
    </row>
    <row r="1093" spans="1:1" x14ac:dyDescent="0.2">
      <c r="A1093" s="32"/>
    </row>
    <row r="1094" spans="1:1" x14ac:dyDescent="0.2">
      <c r="A1094" s="32"/>
    </row>
    <row r="1095" spans="1:1" x14ac:dyDescent="0.2">
      <c r="A1095" s="32"/>
    </row>
    <row r="1096" spans="1:1" x14ac:dyDescent="0.2">
      <c r="A1096" s="32"/>
    </row>
  </sheetData>
  <sortState xmlns:xlrd2="http://schemas.microsoft.com/office/spreadsheetml/2017/richdata2" ref="A2:G1096">
    <sortCondition ref="A2:A109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F6930-CF4E-4A11-913D-3A7D60F4DCC4}">
  <dimension ref="A1:J1027"/>
  <sheetViews>
    <sheetView zoomScale="115" zoomScaleNormal="115" workbookViewId="0">
      <selection activeCell="A24" sqref="A24"/>
    </sheetView>
  </sheetViews>
  <sheetFormatPr defaultRowHeight="12.75" x14ac:dyDescent="0.2"/>
  <cols>
    <col min="1" max="1" width="20.33203125" customWidth="1"/>
    <col min="2" max="2" width="10.1640625" customWidth="1"/>
    <col min="3" max="3" width="9.83203125" customWidth="1"/>
    <col min="6" max="6" width="18.33203125" bestFit="1" customWidth="1"/>
  </cols>
  <sheetData>
    <row r="1" spans="1:10" ht="14.25" x14ac:dyDescent="0.2">
      <c r="A1" s="1" t="s">
        <v>0</v>
      </c>
      <c r="B1" s="3" t="s">
        <v>2</v>
      </c>
      <c r="C1" s="4"/>
    </row>
    <row r="2" spans="1:10" ht="15" x14ac:dyDescent="0.25">
      <c r="A2" s="17" t="s">
        <v>471</v>
      </c>
      <c r="B2" s="18">
        <v>1</v>
      </c>
      <c r="C2" s="10"/>
      <c r="E2" s="34" t="s">
        <v>441</v>
      </c>
      <c r="F2" s="17">
        <v>5.65</v>
      </c>
      <c r="G2" s="36"/>
      <c r="H2" s="18"/>
      <c r="I2" s="35"/>
      <c r="J2" s="13"/>
    </row>
    <row r="3" spans="1:10" x14ac:dyDescent="0.2">
      <c r="A3" s="17" t="s">
        <v>363</v>
      </c>
      <c r="B3" s="18">
        <v>4</v>
      </c>
      <c r="C3" s="26"/>
      <c r="D3" s="13" t="s">
        <v>441</v>
      </c>
      <c r="E3" s="34" t="s">
        <v>441</v>
      </c>
      <c r="F3">
        <v>24.18</v>
      </c>
      <c r="G3" s="8"/>
      <c r="H3" s="18"/>
      <c r="I3" s="35"/>
      <c r="J3" s="13"/>
    </row>
    <row r="4" spans="1:10" x14ac:dyDescent="0.2">
      <c r="A4" t="s">
        <v>368</v>
      </c>
      <c r="B4" s="18">
        <v>1</v>
      </c>
      <c r="C4" s="26"/>
      <c r="D4" s="13" t="s">
        <v>441</v>
      </c>
      <c r="E4" s="34" t="s">
        <v>441</v>
      </c>
      <c r="F4" s="17">
        <v>1.45</v>
      </c>
      <c r="G4" s="8"/>
      <c r="H4" s="18"/>
      <c r="I4" s="35"/>
      <c r="J4" s="13"/>
    </row>
    <row r="5" spans="1:10" x14ac:dyDescent="0.2">
      <c r="A5" s="17" t="s">
        <v>115</v>
      </c>
      <c r="B5" s="18">
        <v>1</v>
      </c>
      <c r="C5" s="26"/>
      <c r="D5" s="13" t="s">
        <v>441</v>
      </c>
      <c r="E5" s="34" t="s">
        <v>441</v>
      </c>
      <c r="F5" s="17">
        <v>1.61</v>
      </c>
      <c r="G5" s="8"/>
      <c r="H5" s="18"/>
      <c r="I5" s="35"/>
      <c r="J5" s="13"/>
    </row>
    <row r="6" spans="1:10" x14ac:dyDescent="0.2">
      <c r="A6" s="17" t="s">
        <v>384</v>
      </c>
      <c r="B6" s="18">
        <v>6</v>
      </c>
      <c r="C6" s="26"/>
      <c r="D6" s="13" t="s">
        <v>441</v>
      </c>
      <c r="E6" s="34" t="s">
        <v>441</v>
      </c>
      <c r="F6" s="17">
        <v>1.58</v>
      </c>
      <c r="G6" s="23"/>
      <c r="H6" s="18"/>
      <c r="I6" s="35"/>
      <c r="J6" s="13"/>
    </row>
    <row r="7" spans="1:10" ht="15" x14ac:dyDescent="0.25">
      <c r="A7" s="34" t="s">
        <v>369</v>
      </c>
      <c r="B7" s="18">
        <v>1</v>
      </c>
      <c r="C7" s="26"/>
      <c r="D7" s="13" t="s">
        <v>441</v>
      </c>
      <c r="E7" s="34" t="s">
        <v>441</v>
      </c>
      <c r="F7" s="8">
        <v>1.94</v>
      </c>
      <c r="H7" s="9"/>
      <c r="I7" s="35"/>
      <c r="J7" s="11"/>
    </row>
    <row r="8" spans="1:10" ht="15" x14ac:dyDescent="0.25">
      <c r="A8" s="37" t="s">
        <v>344</v>
      </c>
      <c r="B8" s="9">
        <v>3</v>
      </c>
      <c r="C8" s="10"/>
      <c r="D8" s="11" t="s">
        <v>441</v>
      </c>
      <c r="E8" s="34" t="s">
        <v>441</v>
      </c>
      <c r="F8" s="17">
        <v>1.86</v>
      </c>
      <c r="G8" s="23"/>
      <c r="H8" s="18"/>
      <c r="I8" s="35"/>
    </row>
    <row r="9" spans="1:10" x14ac:dyDescent="0.2">
      <c r="A9" s="34" t="s">
        <v>372</v>
      </c>
      <c r="B9" s="18">
        <v>2</v>
      </c>
      <c r="C9" s="26"/>
      <c r="D9" t="s">
        <v>441</v>
      </c>
      <c r="E9" s="34" t="s">
        <v>441</v>
      </c>
      <c r="F9" s="17">
        <v>1.61</v>
      </c>
      <c r="G9" s="23"/>
      <c r="H9" s="18"/>
      <c r="I9" s="35"/>
    </row>
    <row r="10" spans="1:10" x14ac:dyDescent="0.2">
      <c r="A10" s="17" t="s">
        <v>60</v>
      </c>
      <c r="B10" s="18">
        <v>1</v>
      </c>
      <c r="C10" s="26"/>
      <c r="D10" t="s">
        <v>441</v>
      </c>
      <c r="E10" s="34" t="s">
        <v>441</v>
      </c>
      <c r="F10" s="17">
        <v>1.92</v>
      </c>
      <c r="G10" s="8"/>
      <c r="H10" s="18"/>
      <c r="I10" s="35"/>
      <c r="J10" s="13"/>
    </row>
    <row r="11" spans="1:10" x14ac:dyDescent="0.2">
      <c r="A11" s="17" t="s">
        <v>352</v>
      </c>
      <c r="B11" s="18">
        <v>6</v>
      </c>
      <c r="C11" s="26"/>
      <c r="D11" s="13" t="s">
        <v>441</v>
      </c>
      <c r="E11" s="34" t="s">
        <v>441</v>
      </c>
      <c r="F11" s="17">
        <v>1.89</v>
      </c>
      <c r="G11" s="8"/>
      <c r="H11" s="18"/>
      <c r="I11" s="35"/>
      <c r="J11" s="13"/>
    </row>
    <row r="12" spans="1:10" x14ac:dyDescent="0.2">
      <c r="A12" s="17" t="s">
        <v>322</v>
      </c>
      <c r="B12" s="18">
        <v>5</v>
      </c>
      <c r="C12" s="26"/>
      <c r="D12" s="13" t="s">
        <v>441</v>
      </c>
      <c r="E12" s="34" t="s">
        <v>441</v>
      </c>
      <c r="F12" s="17">
        <v>1.64</v>
      </c>
      <c r="G12" s="8"/>
      <c r="H12" s="18"/>
      <c r="I12" s="35"/>
      <c r="J12" s="13"/>
    </row>
    <row r="13" spans="1:10" x14ac:dyDescent="0.2">
      <c r="A13" s="17" t="s">
        <v>364</v>
      </c>
      <c r="B13" s="18">
        <v>5</v>
      </c>
      <c r="C13" s="26"/>
      <c r="D13" s="13" t="s">
        <v>441</v>
      </c>
      <c r="E13" s="34" t="s">
        <v>441</v>
      </c>
      <c r="F13" s="17">
        <v>2.2400000000000002</v>
      </c>
      <c r="G13" s="8"/>
      <c r="H13" s="18"/>
      <c r="I13" s="35"/>
      <c r="J13" s="13"/>
    </row>
    <row r="14" spans="1:10" x14ac:dyDescent="0.2">
      <c r="A14" s="17" t="s">
        <v>383</v>
      </c>
      <c r="B14" s="18">
        <v>4</v>
      </c>
      <c r="C14" s="26"/>
      <c r="D14" s="13" t="s">
        <v>441</v>
      </c>
      <c r="E14" s="34" t="s">
        <v>441</v>
      </c>
      <c r="F14" s="17">
        <v>1.94</v>
      </c>
      <c r="G14" s="8"/>
      <c r="H14" s="18"/>
      <c r="I14" s="35"/>
      <c r="J14" s="13"/>
    </row>
    <row r="15" spans="1:10" x14ac:dyDescent="0.2">
      <c r="A15" s="17" t="s">
        <v>382</v>
      </c>
      <c r="B15" s="18">
        <v>6</v>
      </c>
      <c r="C15" s="26"/>
      <c r="D15" s="13" t="s">
        <v>441</v>
      </c>
      <c r="E15" s="34" t="s">
        <v>441</v>
      </c>
      <c r="F15" s="17">
        <v>2.2799999999999998</v>
      </c>
      <c r="G15" s="8"/>
      <c r="H15" s="18"/>
      <c r="I15" s="35"/>
    </row>
    <row r="16" spans="1:10" ht="15" x14ac:dyDescent="0.25">
      <c r="A16" s="17" t="s">
        <v>466</v>
      </c>
      <c r="B16" s="9">
        <v>1</v>
      </c>
      <c r="C16" s="10"/>
      <c r="D16" t="s">
        <v>441</v>
      </c>
      <c r="E16" s="34" t="s">
        <v>441</v>
      </c>
      <c r="F16" s="17">
        <v>2.2999999999999998</v>
      </c>
      <c r="G16" s="8"/>
      <c r="H16" s="18"/>
      <c r="I16" s="35"/>
      <c r="J16" s="13"/>
    </row>
    <row r="17" spans="1:10" ht="15" x14ac:dyDescent="0.25">
      <c r="A17" t="s">
        <v>350</v>
      </c>
      <c r="B17" s="18">
        <v>1</v>
      </c>
      <c r="C17" s="26"/>
      <c r="D17" s="34" t="s">
        <v>441</v>
      </c>
      <c r="E17" s="34" t="s">
        <v>441</v>
      </c>
      <c r="F17" s="17">
        <v>2.38</v>
      </c>
      <c r="G17" s="36"/>
      <c r="H17" s="18"/>
      <c r="I17" s="35"/>
      <c r="J17" s="13"/>
    </row>
    <row r="18" spans="1:10" ht="15" x14ac:dyDescent="0.25">
      <c r="A18" s="17" t="s">
        <v>460</v>
      </c>
      <c r="B18" s="18">
        <v>2</v>
      </c>
      <c r="C18" s="26"/>
      <c r="D18" s="34" t="s">
        <v>441</v>
      </c>
      <c r="E18" s="34" t="s">
        <v>441</v>
      </c>
      <c r="F18" s="17">
        <v>2.36</v>
      </c>
      <c r="G18" s="36"/>
      <c r="H18" s="18"/>
      <c r="I18" s="35"/>
      <c r="J18" s="13"/>
    </row>
    <row r="19" spans="1:10" x14ac:dyDescent="0.2">
      <c r="A19" s="17" t="s">
        <v>464</v>
      </c>
      <c r="B19" s="18">
        <v>2</v>
      </c>
      <c r="C19" s="26"/>
      <c r="D19" s="34" t="s">
        <v>441</v>
      </c>
      <c r="E19" s="34" t="s">
        <v>441</v>
      </c>
      <c r="F19" s="17">
        <v>3.54</v>
      </c>
      <c r="G19" s="8"/>
      <c r="H19" s="18"/>
      <c r="I19" s="35"/>
      <c r="J19" s="13"/>
    </row>
    <row r="20" spans="1:10" x14ac:dyDescent="0.2">
      <c r="A20" s="17" t="s">
        <v>365</v>
      </c>
      <c r="B20" s="18">
        <v>5</v>
      </c>
      <c r="C20" s="26"/>
      <c r="D20" s="13" t="s">
        <v>441</v>
      </c>
      <c r="E20" s="34" t="s">
        <v>441</v>
      </c>
      <c r="F20" s="17">
        <v>2.12</v>
      </c>
      <c r="G20" s="8"/>
      <c r="H20" s="18"/>
      <c r="I20" s="35"/>
      <c r="J20" s="13"/>
    </row>
    <row r="21" spans="1:10" x14ac:dyDescent="0.2">
      <c r="A21" s="17" t="s">
        <v>324</v>
      </c>
      <c r="B21" s="18">
        <v>5</v>
      </c>
      <c r="C21" s="26"/>
      <c r="D21" s="13" t="s">
        <v>441</v>
      </c>
      <c r="E21" s="34" t="s">
        <v>441</v>
      </c>
      <c r="F21" s="17">
        <v>2.37</v>
      </c>
      <c r="G21" s="8"/>
      <c r="H21" s="18"/>
      <c r="I21" s="35"/>
      <c r="J21" s="13"/>
    </row>
    <row r="22" spans="1:10" x14ac:dyDescent="0.2">
      <c r="A22" s="17" t="s">
        <v>385</v>
      </c>
      <c r="B22" s="18">
        <v>1</v>
      </c>
      <c r="C22" s="26"/>
      <c r="D22" s="13" t="s">
        <v>443</v>
      </c>
      <c r="E22" s="34" t="s">
        <v>472</v>
      </c>
      <c r="F22" s="17">
        <v>2.91</v>
      </c>
      <c r="G22" s="8"/>
      <c r="H22" s="18"/>
      <c r="I22" s="35"/>
      <c r="J22" s="13"/>
    </row>
    <row r="23" spans="1:10" x14ac:dyDescent="0.2">
      <c r="A23" s="17" t="s">
        <v>386</v>
      </c>
      <c r="B23" s="18">
        <v>1</v>
      </c>
      <c r="C23" s="26"/>
      <c r="D23" s="13" t="s">
        <v>441</v>
      </c>
      <c r="E23" s="34" t="s">
        <v>441</v>
      </c>
      <c r="F23" s="17">
        <v>3.91</v>
      </c>
      <c r="G23" s="8"/>
      <c r="H23" s="18"/>
      <c r="I23" s="35"/>
      <c r="J23" s="13"/>
    </row>
    <row r="24" spans="1:10" x14ac:dyDescent="0.2">
      <c r="A24" s="17" t="s">
        <v>476</v>
      </c>
      <c r="B24" s="18">
        <v>2</v>
      </c>
      <c r="C24" s="26"/>
      <c r="D24" s="13" t="s">
        <v>441</v>
      </c>
      <c r="E24" s="34" t="s">
        <v>441</v>
      </c>
      <c r="F24" s="17">
        <v>3.43</v>
      </c>
      <c r="G24" s="8"/>
      <c r="H24" s="18"/>
      <c r="I24" s="35"/>
      <c r="J24" s="13"/>
    </row>
    <row r="25" spans="1:10" x14ac:dyDescent="0.2">
      <c r="A25" s="17" t="s">
        <v>477</v>
      </c>
      <c r="B25" s="18">
        <v>2</v>
      </c>
      <c r="C25" s="26"/>
      <c r="D25" s="13" t="s">
        <v>441</v>
      </c>
      <c r="E25" s="34" t="s">
        <v>441</v>
      </c>
      <c r="F25" s="17">
        <v>3.95</v>
      </c>
      <c r="G25" s="8"/>
      <c r="H25" s="18"/>
      <c r="I25" s="35"/>
      <c r="J25" s="13"/>
    </row>
    <row r="26" spans="1:10" x14ac:dyDescent="0.2">
      <c r="A26" s="17" t="s">
        <v>381</v>
      </c>
      <c r="B26" s="18">
        <v>2</v>
      </c>
      <c r="C26" s="26"/>
      <c r="D26" s="13" t="s">
        <v>441</v>
      </c>
      <c r="E26" s="34" t="s">
        <v>441</v>
      </c>
      <c r="F26" s="17">
        <v>3.88</v>
      </c>
      <c r="G26" s="8"/>
      <c r="H26" s="18"/>
      <c r="I26" s="35"/>
      <c r="J26" s="13"/>
    </row>
    <row r="27" spans="1:10" x14ac:dyDescent="0.2">
      <c r="A27" s="17" t="s">
        <v>113</v>
      </c>
      <c r="B27" s="18">
        <v>5</v>
      </c>
      <c r="C27" s="26"/>
      <c r="D27" s="13" t="s">
        <v>441</v>
      </c>
      <c r="E27" s="34" t="s">
        <v>441</v>
      </c>
      <c r="F27" s="17">
        <v>3.54</v>
      </c>
      <c r="G27" s="8"/>
      <c r="H27" s="18"/>
      <c r="I27" s="35"/>
      <c r="J27" s="13"/>
    </row>
    <row r="28" spans="1:10" x14ac:dyDescent="0.2">
      <c r="A28" s="17" t="s">
        <v>458</v>
      </c>
      <c r="B28" s="18">
        <v>2</v>
      </c>
      <c r="C28" s="26"/>
      <c r="D28" s="13" t="s">
        <v>472</v>
      </c>
      <c r="E28" s="34" t="s">
        <v>472</v>
      </c>
      <c r="F28" s="17">
        <v>8.02</v>
      </c>
      <c r="G28" s="8"/>
      <c r="H28" s="18"/>
      <c r="I28" s="35"/>
      <c r="J28" s="13"/>
    </row>
    <row r="29" spans="1:10" x14ac:dyDescent="0.2">
      <c r="A29" s="34" t="s">
        <v>375</v>
      </c>
      <c r="B29" s="18">
        <v>1</v>
      </c>
      <c r="C29" s="26"/>
      <c r="D29" s="13" t="s">
        <v>441</v>
      </c>
      <c r="E29" s="34" t="s">
        <v>441</v>
      </c>
      <c r="F29" s="17">
        <v>4.83</v>
      </c>
      <c r="G29" s="8"/>
      <c r="H29" s="18"/>
      <c r="I29" s="35"/>
      <c r="J29" s="13"/>
    </row>
    <row r="30" spans="1:10" x14ac:dyDescent="0.2">
      <c r="A30" s="17" t="s">
        <v>361</v>
      </c>
      <c r="B30" s="18">
        <v>1</v>
      </c>
      <c r="C30" s="26"/>
      <c r="D30" s="13" t="s">
        <v>442</v>
      </c>
      <c r="E30" s="34" t="s">
        <v>472</v>
      </c>
      <c r="F30" s="17">
        <v>9.26</v>
      </c>
    </row>
    <row r="31" spans="1:10" x14ac:dyDescent="0.2">
      <c r="A31" s="17" t="s">
        <v>457</v>
      </c>
      <c r="B31" s="18">
        <v>1</v>
      </c>
      <c r="C31" s="26"/>
      <c r="D31" s="13" t="s">
        <v>472</v>
      </c>
      <c r="E31" s="34" t="s">
        <v>472</v>
      </c>
      <c r="F31" s="17">
        <v>8.2200000000000006</v>
      </c>
    </row>
    <row r="32" spans="1:10" x14ac:dyDescent="0.2">
      <c r="A32" s="17" t="s">
        <v>371</v>
      </c>
      <c r="B32" s="18">
        <v>4</v>
      </c>
      <c r="C32" s="26"/>
      <c r="D32" s="13" t="s">
        <v>441</v>
      </c>
      <c r="E32" s="34" t="s">
        <v>441</v>
      </c>
      <c r="F32">
        <v>5.36</v>
      </c>
    </row>
    <row r="33" spans="1:6" x14ac:dyDescent="0.2">
      <c r="A33" s="17" t="s">
        <v>321</v>
      </c>
      <c r="B33" s="18">
        <v>3</v>
      </c>
      <c r="C33" s="26"/>
      <c r="D33" s="13" t="s">
        <v>442</v>
      </c>
      <c r="E33" s="34" t="s">
        <v>472</v>
      </c>
      <c r="F33" s="17">
        <v>6.02</v>
      </c>
    </row>
    <row r="34" spans="1:6" ht="15" x14ac:dyDescent="0.25">
      <c r="A34" s="17" t="s">
        <v>474</v>
      </c>
      <c r="B34" s="18">
        <v>1</v>
      </c>
      <c r="C34" s="10"/>
      <c r="D34" s="13" t="s">
        <v>475</v>
      </c>
      <c r="E34" s="34" t="s">
        <v>441</v>
      </c>
      <c r="F34">
        <v>45.77</v>
      </c>
    </row>
    <row r="35" spans="1:6" x14ac:dyDescent="0.2">
      <c r="A35" s="17"/>
      <c r="B35" s="18"/>
      <c r="C35" s="26"/>
    </row>
    <row r="36" spans="1:6" ht="15" x14ac:dyDescent="0.25">
      <c r="A36" s="7"/>
      <c r="B36" s="9"/>
      <c r="C36" s="10"/>
    </row>
    <row r="37" spans="1:6" ht="15" x14ac:dyDescent="0.25">
      <c r="A37" s="14"/>
      <c r="B37" s="9"/>
      <c r="C37" s="10"/>
    </row>
    <row r="38" spans="1:6" ht="15" x14ac:dyDescent="0.25">
      <c r="A38" s="14"/>
      <c r="B38" s="9"/>
      <c r="C38" s="10"/>
    </row>
    <row r="39" spans="1:6" x14ac:dyDescent="0.2">
      <c r="A39" s="17"/>
      <c r="B39" s="18"/>
      <c r="C39" s="26"/>
    </row>
    <row r="40" spans="1:6" ht="15" x14ac:dyDescent="0.25">
      <c r="A40" s="17"/>
      <c r="B40" s="18"/>
      <c r="C40" s="10"/>
    </row>
    <row r="41" spans="1:6" ht="15" x14ac:dyDescent="0.25">
      <c r="A41" s="17"/>
      <c r="B41" s="18"/>
      <c r="C41" s="10"/>
    </row>
    <row r="42" spans="1:6" ht="15" x14ac:dyDescent="0.25">
      <c r="A42" s="17"/>
      <c r="B42" s="18"/>
      <c r="C42" s="10"/>
    </row>
    <row r="43" spans="1:6" x14ac:dyDescent="0.2">
      <c r="A43" s="17"/>
      <c r="B43" s="18"/>
      <c r="C43" s="26"/>
    </row>
    <row r="44" spans="1:6" ht="15" x14ac:dyDescent="0.25">
      <c r="A44" s="17"/>
      <c r="B44" s="18"/>
      <c r="C44" s="10"/>
    </row>
    <row r="45" spans="1:6" ht="15" x14ac:dyDescent="0.25">
      <c r="A45" s="17"/>
      <c r="B45" s="18"/>
      <c r="C45" s="10"/>
    </row>
    <row r="46" spans="1:6" x14ac:dyDescent="0.2">
      <c r="A46" s="17"/>
      <c r="B46" s="18"/>
      <c r="C46" s="26"/>
    </row>
    <row r="47" spans="1:6" ht="15" x14ac:dyDescent="0.25">
      <c r="A47" s="17"/>
      <c r="B47" s="18"/>
      <c r="C47" s="10"/>
    </row>
    <row r="48" spans="1:6" ht="15" x14ac:dyDescent="0.25">
      <c r="A48" s="20"/>
      <c r="B48" s="18"/>
      <c r="C48" s="10"/>
    </row>
    <row r="49" spans="1:3" ht="15" x14ac:dyDescent="0.25">
      <c r="A49" s="20"/>
      <c r="B49" s="18"/>
      <c r="C49" s="10"/>
    </row>
    <row r="50" spans="1:3" ht="15" x14ac:dyDescent="0.25">
      <c r="A50" s="20"/>
      <c r="B50" s="18"/>
      <c r="C50" s="10"/>
    </row>
    <row r="51" spans="1:3" x14ac:dyDescent="0.2">
      <c r="A51" s="17"/>
      <c r="B51" s="18"/>
      <c r="C51" s="26"/>
    </row>
    <row r="52" spans="1:3" x14ac:dyDescent="0.2">
      <c r="A52" s="17"/>
      <c r="B52" s="18"/>
      <c r="C52" s="26"/>
    </row>
    <row r="53" spans="1:3" x14ac:dyDescent="0.2">
      <c r="A53" s="17"/>
      <c r="B53" s="18"/>
      <c r="C53" s="26"/>
    </row>
    <row r="54" spans="1:3" x14ac:dyDescent="0.2">
      <c r="A54" s="17"/>
      <c r="B54" s="18"/>
      <c r="C54" s="26"/>
    </row>
    <row r="55" spans="1:3" x14ac:dyDescent="0.2">
      <c r="A55" s="17"/>
      <c r="B55" s="18"/>
      <c r="C55" s="26"/>
    </row>
    <row r="56" spans="1:3" x14ac:dyDescent="0.2">
      <c r="B56" s="18"/>
      <c r="C56" s="26"/>
    </row>
    <row r="57" spans="1:3" x14ac:dyDescent="0.2">
      <c r="A57" s="17"/>
      <c r="B57" s="18"/>
      <c r="C57" s="26"/>
    </row>
    <row r="58" spans="1:3" x14ac:dyDescent="0.2">
      <c r="A58" s="17"/>
      <c r="B58" s="18"/>
      <c r="C58" s="26"/>
    </row>
    <row r="59" spans="1:3" x14ac:dyDescent="0.2">
      <c r="A59" s="17"/>
      <c r="B59" s="18"/>
      <c r="C59" s="26"/>
    </row>
    <row r="60" spans="1:3" x14ac:dyDescent="0.2">
      <c r="A60" s="17"/>
      <c r="B60" s="13"/>
      <c r="C60" s="26"/>
    </row>
    <row r="61" spans="1:3" x14ac:dyDescent="0.2">
      <c r="A61" s="17"/>
      <c r="B61" s="18"/>
      <c r="C61" s="26"/>
    </row>
    <row r="62" spans="1:3" ht="15" x14ac:dyDescent="0.25">
      <c r="A62" s="17"/>
      <c r="B62" s="18"/>
      <c r="C62" s="10"/>
    </row>
    <row r="63" spans="1:3" x14ac:dyDescent="0.2">
      <c r="A63" s="34"/>
      <c r="B63" s="18"/>
      <c r="C63" s="26"/>
    </row>
    <row r="64" spans="1:3" x14ac:dyDescent="0.2">
      <c r="A64" s="17"/>
      <c r="B64" s="13"/>
      <c r="C64" s="26"/>
    </row>
    <row r="65" spans="1:3" x14ac:dyDescent="0.2">
      <c r="A65" s="17"/>
      <c r="B65" s="18"/>
      <c r="C65" s="26"/>
    </row>
    <row r="66" spans="1:3" ht="15" x14ac:dyDescent="0.25">
      <c r="A66" s="14"/>
      <c r="B66" s="9"/>
      <c r="C66" s="10"/>
    </row>
    <row r="67" spans="1:3" x14ac:dyDescent="0.2">
      <c r="A67" s="17"/>
      <c r="B67" s="18"/>
      <c r="C67" s="26"/>
    </row>
    <row r="68" spans="1:3" x14ac:dyDescent="0.2">
      <c r="A68" s="17"/>
      <c r="B68" s="18"/>
      <c r="C68" s="26"/>
    </row>
    <row r="69" spans="1:3" x14ac:dyDescent="0.2">
      <c r="A69" s="17"/>
      <c r="B69" s="30" t="s">
        <v>3</v>
      </c>
      <c r="C69" s="31"/>
    </row>
    <row r="70" spans="1:3" x14ac:dyDescent="0.2">
      <c r="A70" s="32"/>
    </row>
    <row r="71" spans="1:3" x14ac:dyDescent="0.2">
      <c r="A71" s="32"/>
    </row>
    <row r="72" spans="1:3" x14ac:dyDescent="0.2">
      <c r="A72" s="32"/>
    </row>
    <row r="73" spans="1:3" x14ac:dyDescent="0.2">
      <c r="A73" s="32"/>
    </row>
    <row r="74" spans="1:3" x14ac:dyDescent="0.2">
      <c r="A74" s="32"/>
    </row>
    <row r="75" spans="1:3" x14ac:dyDescent="0.2">
      <c r="A75" s="32"/>
    </row>
    <row r="76" spans="1:3" x14ac:dyDescent="0.2">
      <c r="A76" s="32"/>
    </row>
    <row r="77" spans="1:3" x14ac:dyDescent="0.2">
      <c r="A77" s="32"/>
    </row>
    <row r="78" spans="1:3" x14ac:dyDescent="0.2">
      <c r="A78" s="32"/>
    </row>
    <row r="79" spans="1:3" x14ac:dyDescent="0.2">
      <c r="A79" s="32"/>
    </row>
    <row r="80" spans="1:3" x14ac:dyDescent="0.2">
      <c r="A80" s="32"/>
    </row>
    <row r="81" spans="1:1" x14ac:dyDescent="0.2">
      <c r="A81" s="32"/>
    </row>
    <row r="82" spans="1:1" x14ac:dyDescent="0.2">
      <c r="A82" s="32"/>
    </row>
    <row r="83" spans="1:1" x14ac:dyDescent="0.2">
      <c r="A83" s="32"/>
    </row>
    <row r="84" spans="1:1" x14ac:dyDescent="0.2">
      <c r="A84" s="32"/>
    </row>
    <row r="85" spans="1:1" x14ac:dyDescent="0.2">
      <c r="A85" s="32"/>
    </row>
    <row r="86" spans="1:1" x14ac:dyDescent="0.2">
      <c r="A86" s="32"/>
    </row>
    <row r="87" spans="1:1" x14ac:dyDescent="0.2">
      <c r="A87" s="32"/>
    </row>
    <row r="88" spans="1:1" x14ac:dyDescent="0.2">
      <c r="A88" s="32"/>
    </row>
    <row r="89" spans="1:1" x14ac:dyDescent="0.2">
      <c r="A89" s="32"/>
    </row>
    <row r="90" spans="1:1" x14ac:dyDescent="0.2">
      <c r="A90" s="32"/>
    </row>
    <row r="91" spans="1:1" x14ac:dyDescent="0.2">
      <c r="A91" s="32"/>
    </row>
    <row r="92" spans="1:1" x14ac:dyDescent="0.2">
      <c r="A92" s="32"/>
    </row>
    <row r="93" spans="1:1" x14ac:dyDescent="0.2">
      <c r="A93" s="32"/>
    </row>
    <row r="94" spans="1:1" x14ac:dyDescent="0.2">
      <c r="A94" s="32"/>
    </row>
    <row r="95" spans="1:1" x14ac:dyDescent="0.2">
      <c r="A95" s="32"/>
    </row>
    <row r="96" spans="1:1" x14ac:dyDescent="0.2">
      <c r="A96" s="32"/>
    </row>
    <row r="97" spans="1:1" x14ac:dyDescent="0.2">
      <c r="A97" s="32"/>
    </row>
    <row r="98" spans="1:1" x14ac:dyDescent="0.2">
      <c r="A98" s="32"/>
    </row>
    <row r="99" spans="1:1" x14ac:dyDescent="0.2">
      <c r="A99" s="32"/>
    </row>
    <row r="100" spans="1:1" x14ac:dyDescent="0.2">
      <c r="A100" s="32"/>
    </row>
    <row r="101" spans="1:1" x14ac:dyDescent="0.2">
      <c r="A101" s="32"/>
    </row>
    <row r="102" spans="1:1" x14ac:dyDescent="0.2">
      <c r="A102" s="32"/>
    </row>
    <row r="103" spans="1:1" x14ac:dyDescent="0.2">
      <c r="A103" s="32"/>
    </row>
    <row r="104" spans="1:1" x14ac:dyDescent="0.2">
      <c r="A104" s="32"/>
    </row>
    <row r="105" spans="1:1" x14ac:dyDescent="0.2">
      <c r="A105" s="32"/>
    </row>
    <row r="106" spans="1:1" x14ac:dyDescent="0.2">
      <c r="A106" s="32"/>
    </row>
    <row r="107" spans="1:1" x14ac:dyDescent="0.2">
      <c r="A107" s="32"/>
    </row>
    <row r="108" spans="1:1" x14ac:dyDescent="0.2">
      <c r="A108" s="32"/>
    </row>
    <row r="109" spans="1:1" x14ac:dyDescent="0.2">
      <c r="A109" s="32"/>
    </row>
    <row r="110" spans="1:1" x14ac:dyDescent="0.2">
      <c r="A110" s="32"/>
    </row>
    <row r="111" spans="1:1" x14ac:dyDescent="0.2">
      <c r="A111" s="32"/>
    </row>
    <row r="112" spans="1:1" x14ac:dyDescent="0.2">
      <c r="A112" s="32"/>
    </row>
    <row r="113" spans="1:1" x14ac:dyDescent="0.2">
      <c r="A113" s="32"/>
    </row>
    <row r="114" spans="1:1" x14ac:dyDescent="0.2">
      <c r="A114" s="32"/>
    </row>
    <row r="115" spans="1:1" x14ac:dyDescent="0.2">
      <c r="A115" s="32"/>
    </row>
    <row r="116" spans="1:1" x14ac:dyDescent="0.2">
      <c r="A116" s="32"/>
    </row>
    <row r="117" spans="1:1" x14ac:dyDescent="0.2">
      <c r="A117" s="32"/>
    </row>
    <row r="118" spans="1:1" x14ac:dyDescent="0.2">
      <c r="A118" s="32"/>
    </row>
    <row r="119" spans="1:1" x14ac:dyDescent="0.2">
      <c r="A119" s="32"/>
    </row>
    <row r="120" spans="1:1" x14ac:dyDescent="0.2">
      <c r="A120" s="32"/>
    </row>
    <row r="121" spans="1:1" x14ac:dyDescent="0.2">
      <c r="A121" s="32"/>
    </row>
    <row r="122" spans="1:1" x14ac:dyDescent="0.2">
      <c r="A122" s="32"/>
    </row>
    <row r="123" spans="1:1" x14ac:dyDescent="0.2">
      <c r="A123" s="32"/>
    </row>
    <row r="124" spans="1:1" x14ac:dyDescent="0.2">
      <c r="A124" s="32"/>
    </row>
    <row r="125" spans="1:1" x14ac:dyDescent="0.2">
      <c r="A125" s="32"/>
    </row>
    <row r="126" spans="1:1" x14ac:dyDescent="0.2">
      <c r="A126" s="32"/>
    </row>
    <row r="127" spans="1:1" x14ac:dyDescent="0.2">
      <c r="A127" s="32"/>
    </row>
    <row r="128" spans="1:1" x14ac:dyDescent="0.2">
      <c r="A128" s="32"/>
    </row>
    <row r="129" spans="1:1" x14ac:dyDescent="0.2">
      <c r="A129" s="32"/>
    </row>
    <row r="130" spans="1:1" x14ac:dyDescent="0.2">
      <c r="A130" s="32"/>
    </row>
    <row r="131" spans="1:1" x14ac:dyDescent="0.2">
      <c r="A131" s="32"/>
    </row>
    <row r="132" spans="1:1" x14ac:dyDescent="0.2">
      <c r="A132" s="32"/>
    </row>
    <row r="133" spans="1:1" x14ac:dyDescent="0.2">
      <c r="A133" s="32"/>
    </row>
    <row r="134" spans="1:1" x14ac:dyDescent="0.2">
      <c r="A134" s="32"/>
    </row>
    <row r="135" spans="1:1" x14ac:dyDescent="0.2">
      <c r="A135" s="32"/>
    </row>
    <row r="136" spans="1:1" x14ac:dyDescent="0.2">
      <c r="A136" s="32"/>
    </row>
    <row r="137" spans="1:1" x14ac:dyDescent="0.2">
      <c r="A137" s="32"/>
    </row>
    <row r="138" spans="1:1" x14ac:dyDescent="0.2">
      <c r="A138" s="32"/>
    </row>
    <row r="139" spans="1:1" x14ac:dyDescent="0.2">
      <c r="A139" s="32"/>
    </row>
    <row r="140" spans="1:1" x14ac:dyDescent="0.2">
      <c r="A140" s="32"/>
    </row>
    <row r="141" spans="1:1" x14ac:dyDescent="0.2">
      <c r="A141" s="32"/>
    </row>
    <row r="142" spans="1:1" x14ac:dyDescent="0.2">
      <c r="A142" s="32"/>
    </row>
    <row r="143" spans="1:1" x14ac:dyDescent="0.2">
      <c r="A143" s="32"/>
    </row>
    <row r="144" spans="1:1" x14ac:dyDescent="0.2">
      <c r="A144" s="32"/>
    </row>
    <row r="145" spans="1:1" x14ac:dyDescent="0.2">
      <c r="A145" s="32"/>
    </row>
    <row r="146" spans="1:1" x14ac:dyDescent="0.2">
      <c r="A146" s="32"/>
    </row>
    <row r="147" spans="1:1" x14ac:dyDescent="0.2">
      <c r="A147" s="32"/>
    </row>
    <row r="148" spans="1:1" x14ac:dyDescent="0.2">
      <c r="A148" s="32"/>
    </row>
    <row r="149" spans="1:1" x14ac:dyDescent="0.2">
      <c r="A149" s="32"/>
    </row>
    <row r="150" spans="1:1" x14ac:dyDescent="0.2">
      <c r="A150" s="32"/>
    </row>
    <row r="151" spans="1:1" x14ac:dyDescent="0.2">
      <c r="A151" s="32"/>
    </row>
    <row r="152" spans="1:1" x14ac:dyDescent="0.2">
      <c r="A152" s="32"/>
    </row>
    <row r="153" spans="1:1" x14ac:dyDescent="0.2">
      <c r="A153" s="32"/>
    </row>
    <row r="154" spans="1:1" x14ac:dyDescent="0.2">
      <c r="A154" s="32"/>
    </row>
    <row r="155" spans="1:1" x14ac:dyDescent="0.2">
      <c r="A155" s="32"/>
    </row>
    <row r="156" spans="1:1" x14ac:dyDescent="0.2">
      <c r="A156" s="32"/>
    </row>
    <row r="157" spans="1:1" x14ac:dyDescent="0.2">
      <c r="A157" s="32"/>
    </row>
    <row r="158" spans="1:1" x14ac:dyDescent="0.2">
      <c r="A158" s="32"/>
    </row>
    <row r="159" spans="1:1" x14ac:dyDescent="0.2">
      <c r="A159" s="32"/>
    </row>
    <row r="160" spans="1:1" x14ac:dyDescent="0.2">
      <c r="A160" s="32"/>
    </row>
    <row r="161" spans="1:1" x14ac:dyDescent="0.2">
      <c r="A161" s="32"/>
    </row>
    <row r="162" spans="1:1" x14ac:dyDescent="0.2">
      <c r="A162" s="32"/>
    </row>
    <row r="163" spans="1:1" x14ac:dyDescent="0.2">
      <c r="A163" s="32"/>
    </row>
    <row r="164" spans="1:1" x14ac:dyDescent="0.2">
      <c r="A164" s="32"/>
    </row>
    <row r="165" spans="1:1" x14ac:dyDescent="0.2">
      <c r="A165" s="32"/>
    </row>
    <row r="166" spans="1:1" x14ac:dyDescent="0.2">
      <c r="A166" s="32"/>
    </row>
    <row r="167" spans="1:1" x14ac:dyDescent="0.2">
      <c r="A167" s="32"/>
    </row>
    <row r="168" spans="1:1" x14ac:dyDescent="0.2">
      <c r="A168" s="32"/>
    </row>
    <row r="169" spans="1:1" x14ac:dyDescent="0.2">
      <c r="A169" s="32"/>
    </row>
    <row r="170" spans="1:1" x14ac:dyDescent="0.2">
      <c r="A170" s="32"/>
    </row>
    <row r="171" spans="1:1" x14ac:dyDescent="0.2">
      <c r="A171" s="32"/>
    </row>
    <row r="172" spans="1:1" x14ac:dyDescent="0.2">
      <c r="A172" s="32"/>
    </row>
    <row r="173" spans="1:1" x14ac:dyDescent="0.2">
      <c r="A173" s="32"/>
    </row>
    <row r="174" spans="1:1" x14ac:dyDescent="0.2">
      <c r="A174" s="32"/>
    </row>
    <row r="175" spans="1:1" x14ac:dyDescent="0.2">
      <c r="A175" s="32"/>
    </row>
    <row r="176" spans="1:1" x14ac:dyDescent="0.2">
      <c r="A176" s="32"/>
    </row>
    <row r="177" spans="1:1" x14ac:dyDescent="0.2">
      <c r="A177" s="32"/>
    </row>
    <row r="178" spans="1:1" x14ac:dyDescent="0.2">
      <c r="A178" s="32"/>
    </row>
    <row r="179" spans="1:1" x14ac:dyDescent="0.2">
      <c r="A179" s="32"/>
    </row>
    <row r="180" spans="1:1" x14ac:dyDescent="0.2">
      <c r="A180" s="32"/>
    </row>
    <row r="181" spans="1:1" x14ac:dyDescent="0.2">
      <c r="A181" s="32"/>
    </row>
    <row r="182" spans="1:1" x14ac:dyDescent="0.2">
      <c r="A182" s="32"/>
    </row>
    <row r="183" spans="1:1" x14ac:dyDescent="0.2">
      <c r="A183" s="32"/>
    </row>
    <row r="184" spans="1:1" x14ac:dyDescent="0.2">
      <c r="A184" s="32"/>
    </row>
    <row r="185" spans="1:1" x14ac:dyDescent="0.2">
      <c r="A185" s="32"/>
    </row>
    <row r="186" spans="1:1" x14ac:dyDescent="0.2">
      <c r="A186" s="32"/>
    </row>
    <row r="187" spans="1:1" x14ac:dyDescent="0.2">
      <c r="A187" s="32"/>
    </row>
    <row r="188" spans="1:1" x14ac:dyDescent="0.2">
      <c r="A188" s="32"/>
    </row>
    <row r="189" spans="1:1" x14ac:dyDescent="0.2">
      <c r="A189" s="32"/>
    </row>
    <row r="190" spans="1:1" x14ac:dyDescent="0.2">
      <c r="A190" s="32"/>
    </row>
    <row r="191" spans="1:1" x14ac:dyDescent="0.2">
      <c r="A191" s="32"/>
    </row>
    <row r="192" spans="1:1" x14ac:dyDescent="0.2">
      <c r="A192" s="32"/>
    </row>
    <row r="193" spans="1:1" x14ac:dyDescent="0.2">
      <c r="A193" s="32"/>
    </row>
    <row r="194" spans="1:1" x14ac:dyDescent="0.2">
      <c r="A194" s="32"/>
    </row>
    <row r="195" spans="1:1" x14ac:dyDescent="0.2">
      <c r="A195" s="32"/>
    </row>
    <row r="196" spans="1:1" x14ac:dyDescent="0.2">
      <c r="A196" s="32"/>
    </row>
    <row r="197" spans="1:1" x14ac:dyDescent="0.2">
      <c r="A197" s="32"/>
    </row>
    <row r="198" spans="1:1" x14ac:dyDescent="0.2">
      <c r="A198" s="32"/>
    </row>
    <row r="199" spans="1:1" x14ac:dyDescent="0.2">
      <c r="A199" s="32"/>
    </row>
    <row r="200" spans="1:1" x14ac:dyDescent="0.2">
      <c r="A200" s="32"/>
    </row>
    <row r="201" spans="1:1" x14ac:dyDescent="0.2">
      <c r="A201" s="32"/>
    </row>
    <row r="202" spans="1:1" x14ac:dyDescent="0.2">
      <c r="A202" s="32"/>
    </row>
    <row r="203" spans="1:1" x14ac:dyDescent="0.2">
      <c r="A203" s="32"/>
    </row>
    <row r="204" spans="1:1" x14ac:dyDescent="0.2">
      <c r="A204" s="32"/>
    </row>
    <row r="205" spans="1:1" x14ac:dyDescent="0.2">
      <c r="A205" s="32"/>
    </row>
    <row r="206" spans="1:1" x14ac:dyDescent="0.2">
      <c r="A206" s="32"/>
    </row>
    <row r="207" spans="1:1" x14ac:dyDescent="0.2">
      <c r="A207" s="32"/>
    </row>
    <row r="208" spans="1:1" x14ac:dyDescent="0.2">
      <c r="A208" s="32"/>
    </row>
    <row r="209" spans="1:1" x14ac:dyDescent="0.2">
      <c r="A209" s="32"/>
    </row>
    <row r="210" spans="1:1" x14ac:dyDescent="0.2">
      <c r="A210" s="32"/>
    </row>
    <row r="211" spans="1:1" x14ac:dyDescent="0.2">
      <c r="A211" s="32"/>
    </row>
    <row r="212" spans="1:1" x14ac:dyDescent="0.2">
      <c r="A212" s="32"/>
    </row>
    <row r="213" spans="1:1" x14ac:dyDescent="0.2">
      <c r="A213" s="32"/>
    </row>
    <row r="214" spans="1:1" x14ac:dyDescent="0.2">
      <c r="A214" s="32"/>
    </row>
    <row r="215" spans="1:1" x14ac:dyDescent="0.2">
      <c r="A215" s="32"/>
    </row>
    <row r="216" spans="1:1" x14ac:dyDescent="0.2">
      <c r="A216" s="32"/>
    </row>
    <row r="217" spans="1:1" x14ac:dyDescent="0.2">
      <c r="A217" s="32"/>
    </row>
    <row r="218" spans="1:1" x14ac:dyDescent="0.2">
      <c r="A218" s="32"/>
    </row>
    <row r="219" spans="1:1" x14ac:dyDescent="0.2">
      <c r="A219" s="32"/>
    </row>
    <row r="220" spans="1:1" x14ac:dyDescent="0.2">
      <c r="A220" s="32"/>
    </row>
    <row r="221" spans="1:1" x14ac:dyDescent="0.2">
      <c r="A221" s="32"/>
    </row>
    <row r="222" spans="1:1" x14ac:dyDescent="0.2">
      <c r="A222" s="32"/>
    </row>
    <row r="223" spans="1:1" x14ac:dyDescent="0.2">
      <c r="A223" s="32"/>
    </row>
    <row r="224" spans="1:1" x14ac:dyDescent="0.2">
      <c r="A224" s="32"/>
    </row>
    <row r="225" spans="1:1" x14ac:dyDescent="0.2">
      <c r="A225" s="32"/>
    </row>
    <row r="226" spans="1:1" x14ac:dyDescent="0.2">
      <c r="A226" s="32"/>
    </row>
    <row r="227" spans="1:1" x14ac:dyDescent="0.2">
      <c r="A227" s="32"/>
    </row>
    <row r="228" spans="1:1" x14ac:dyDescent="0.2">
      <c r="A228" s="32"/>
    </row>
    <row r="229" spans="1:1" x14ac:dyDescent="0.2">
      <c r="A229" s="32"/>
    </row>
    <row r="230" spans="1:1" x14ac:dyDescent="0.2">
      <c r="A230" s="32"/>
    </row>
    <row r="231" spans="1:1" x14ac:dyDescent="0.2">
      <c r="A231" s="32"/>
    </row>
    <row r="232" spans="1:1" x14ac:dyDescent="0.2">
      <c r="A232" s="32"/>
    </row>
    <row r="233" spans="1:1" x14ac:dyDescent="0.2">
      <c r="A233" s="32"/>
    </row>
    <row r="234" spans="1:1" x14ac:dyDescent="0.2">
      <c r="A234" s="32"/>
    </row>
    <row r="235" spans="1:1" x14ac:dyDescent="0.2">
      <c r="A235" s="32"/>
    </row>
    <row r="236" spans="1:1" x14ac:dyDescent="0.2">
      <c r="A236" s="32"/>
    </row>
    <row r="237" spans="1:1" x14ac:dyDescent="0.2">
      <c r="A237" s="32"/>
    </row>
    <row r="238" spans="1:1" x14ac:dyDescent="0.2">
      <c r="A238" s="32"/>
    </row>
    <row r="239" spans="1:1" x14ac:dyDescent="0.2">
      <c r="A239" s="32"/>
    </row>
    <row r="240" spans="1:1" x14ac:dyDescent="0.2">
      <c r="A240" s="32"/>
    </row>
    <row r="241" spans="1:1" x14ac:dyDescent="0.2">
      <c r="A241" s="32"/>
    </row>
    <row r="242" spans="1:1" x14ac:dyDescent="0.2">
      <c r="A242" s="32"/>
    </row>
    <row r="243" spans="1:1" x14ac:dyDescent="0.2">
      <c r="A243" s="32"/>
    </row>
    <row r="244" spans="1:1" x14ac:dyDescent="0.2">
      <c r="A244" s="32"/>
    </row>
    <row r="245" spans="1:1" x14ac:dyDescent="0.2">
      <c r="A245" s="32"/>
    </row>
    <row r="246" spans="1:1" x14ac:dyDescent="0.2">
      <c r="A246" s="32"/>
    </row>
    <row r="247" spans="1:1" x14ac:dyDescent="0.2">
      <c r="A247" s="32"/>
    </row>
    <row r="248" spans="1:1" x14ac:dyDescent="0.2">
      <c r="A248" s="32"/>
    </row>
    <row r="249" spans="1:1" x14ac:dyDescent="0.2">
      <c r="A249" s="32"/>
    </row>
    <row r="250" spans="1:1" x14ac:dyDescent="0.2">
      <c r="A250" s="32"/>
    </row>
    <row r="251" spans="1:1" x14ac:dyDescent="0.2">
      <c r="A251" s="32"/>
    </row>
    <row r="252" spans="1:1" x14ac:dyDescent="0.2">
      <c r="A252" s="32"/>
    </row>
    <row r="253" spans="1:1" x14ac:dyDescent="0.2">
      <c r="A253" s="32"/>
    </row>
    <row r="254" spans="1:1" x14ac:dyDescent="0.2">
      <c r="A254" s="32"/>
    </row>
    <row r="255" spans="1:1" x14ac:dyDescent="0.2">
      <c r="A255" s="32"/>
    </row>
    <row r="256" spans="1:1" x14ac:dyDescent="0.2">
      <c r="A256" s="32"/>
    </row>
    <row r="257" spans="1:1" x14ac:dyDescent="0.2">
      <c r="A257" s="32"/>
    </row>
    <row r="258" spans="1:1" x14ac:dyDescent="0.2">
      <c r="A258" s="32"/>
    </row>
    <row r="259" spans="1:1" x14ac:dyDescent="0.2">
      <c r="A259" s="32"/>
    </row>
    <row r="260" spans="1:1" x14ac:dyDescent="0.2">
      <c r="A260" s="32"/>
    </row>
    <row r="261" spans="1:1" x14ac:dyDescent="0.2">
      <c r="A261" s="32"/>
    </row>
    <row r="262" spans="1:1" x14ac:dyDescent="0.2">
      <c r="A262" s="32"/>
    </row>
    <row r="263" spans="1:1" x14ac:dyDescent="0.2">
      <c r="A263" s="32"/>
    </row>
    <row r="264" spans="1:1" x14ac:dyDescent="0.2">
      <c r="A264" s="32"/>
    </row>
    <row r="265" spans="1:1" x14ac:dyDescent="0.2">
      <c r="A265" s="32"/>
    </row>
    <row r="266" spans="1:1" x14ac:dyDescent="0.2">
      <c r="A266" s="32"/>
    </row>
    <row r="267" spans="1:1" x14ac:dyDescent="0.2">
      <c r="A267" s="32"/>
    </row>
    <row r="268" spans="1:1" x14ac:dyDescent="0.2">
      <c r="A268" s="32"/>
    </row>
    <row r="269" spans="1:1" x14ac:dyDescent="0.2">
      <c r="A269" s="32"/>
    </row>
    <row r="270" spans="1:1" x14ac:dyDescent="0.2">
      <c r="A270" s="32"/>
    </row>
    <row r="271" spans="1:1" x14ac:dyDescent="0.2">
      <c r="A271" s="32"/>
    </row>
    <row r="272" spans="1:1" x14ac:dyDescent="0.2">
      <c r="A272" s="32"/>
    </row>
    <row r="273" spans="1:1" x14ac:dyDescent="0.2">
      <c r="A273" s="32"/>
    </row>
    <row r="274" spans="1:1" x14ac:dyDescent="0.2">
      <c r="A274" s="32"/>
    </row>
    <row r="275" spans="1:1" x14ac:dyDescent="0.2">
      <c r="A275" s="32"/>
    </row>
    <row r="276" spans="1:1" x14ac:dyDescent="0.2">
      <c r="A276" s="32"/>
    </row>
    <row r="277" spans="1:1" x14ac:dyDescent="0.2">
      <c r="A277" s="32"/>
    </row>
    <row r="278" spans="1:1" x14ac:dyDescent="0.2">
      <c r="A278" s="32"/>
    </row>
    <row r="279" spans="1:1" x14ac:dyDescent="0.2">
      <c r="A279" s="32"/>
    </row>
    <row r="280" spans="1:1" x14ac:dyDescent="0.2">
      <c r="A280" s="32"/>
    </row>
    <row r="281" spans="1:1" x14ac:dyDescent="0.2">
      <c r="A281" s="32"/>
    </row>
    <row r="282" spans="1:1" x14ac:dyDescent="0.2">
      <c r="A282" s="32"/>
    </row>
    <row r="283" spans="1:1" x14ac:dyDescent="0.2">
      <c r="A283" s="32"/>
    </row>
    <row r="284" spans="1:1" x14ac:dyDescent="0.2">
      <c r="A284" s="32"/>
    </row>
    <row r="285" spans="1:1" x14ac:dyDescent="0.2">
      <c r="A285" s="32"/>
    </row>
    <row r="286" spans="1:1" x14ac:dyDescent="0.2">
      <c r="A286" s="32"/>
    </row>
    <row r="287" spans="1:1" x14ac:dyDescent="0.2">
      <c r="A287" s="32"/>
    </row>
    <row r="288" spans="1:1" x14ac:dyDescent="0.2">
      <c r="A288" s="32"/>
    </row>
    <row r="289" spans="1:1" x14ac:dyDescent="0.2">
      <c r="A289" s="32"/>
    </row>
    <row r="290" spans="1:1" x14ac:dyDescent="0.2">
      <c r="A290" s="32"/>
    </row>
    <row r="291" spans="1:1" x14ac:dyDescent="0.2">
      <c r="A291" s="32"/>
    </row>
    <row r="292" spans="1:1" x14ac:dyDescent="0.2">
      <c r="A292" s="32"/>
    </row>
    <row r="293" spans="1:1" x14ac:dyDescent="0.2">
      <c r="A293" s="32"/>
    </row>
    <row r="294" spans="1:1" x14ac:dyDescent="0.2">
      <c r="A294" s="32"/>
    </row>
    <row r="295" spans="1:1" x14ac:dyDescent="0.2">
      <c r="A295" s="32"/>
    </row>
    <row r="296" spans="1:1" x14ac:dyDescent="0.2">
      <c r="A296" s="32"/>
    </row>
    <row r="297" spans="1:1" x14ac:dyDescent="0.2">
      <c r="A297" s="32"/>
    </row>
    <row r="298" spans="1:1" x14ac:dyDescent="0.2">
      <c r="A298" s="32"/>
    </row>
    <row r="299" spans="1:1" x14ac:dyDescent="0.2">
      <c r="A299" s="32"/>
    </row>
    <row r="300" spans="1:1" x14ac:dyDescent="0.2">
      <c r="A300" s="32"/>
    </row>
    <row r="301" spans="1:1" x14ac:dyDescent="0.2">
      <c r="A301" s="32"/>
    </row>
    <row r="302" spans="1:1" x14ac:dyDescent="0.2">
      <c r="A302" s="32"/>
    </row>
    <row r="303" spans="1:1" x14ac:dyDescent="0.2">
      <c r="A303" s="32"/>
    </row>
    <row r="304" spans="1:1" x14ac:dyDescent="0.2">
      <c r="A304" s="32"/>
    </row>
    <row r="305" spans="1:1" x14ac:dyDescent="0.2">
      <c r="A305" s="32"/>
    </row>
    <row r="306" spans="1:1" x14ac:dyDescent="0.2">
      <c r="A306" s="32"/>
    </row>
    <row r="307" spans="1:1" x14ac:dyDescent="0.2">
      <c r="A307" s="32"/>
    </row>
    <row r="308" spans="1:1" x14ac:dyDescent="0.2">
      <c r="A308" s="32"/>
    </row>
    <row r="309" spans="1:1" x14ac:dyDescent="0.2">
      <c r="A309" s="32"/>
    </row>
    <row r="310" spans="1:1" x14ac:dyDescent="0.2">
      <c r="A310" s="32"/>
    </row>
    <row r="311" spans="1:1" x14ac:dyDescent="0.2">
      <c r="A311" s="32"/>
    </row>
    <row r="312" spans="1:1" x14ac:dyDescent="0.2">
      <c r="A312" s="32"/>
    </row>
    <row r="313" spans="1:1" x14ac:dyDescent="0.2">
      <c r="A313" s="32"/>
    </row>
    <row r="314" spans="1:1" x14ac:dyDescent="0.2">
      <c r="A314" s="32"/>
    </row>
    <row r="315" spans="1:1" x14ac:dyDescent="0.2">
      <c r="A315" s="32"/>
    </row>
    <row r="316" spans="1:1" x14ac:dyDescent="0.2">
      <c r="A316" s="32"/>
    </row>
    <row r="317" spans="1:1" x14ac:dyDescent="0.2">
      <c r="A317" s="32"/>
    </row>
    <row r="318" spans="1:1" x14ac:dyDescent="0.2">
      <c r="A318" s="32"/>
    </row>
    <row r="319" spans="1:1" x14ac:dyDescent="0.2">
      <c r="A319" s="32"/>
    </row>
    <row r="320" spans="1:1" x14ac:dyDescent="0.2">
      <c r="A320" s="32"/>
    </row>
    <row r="321" spans="1:1" x14ac:dyDescent="0.2">
      <c r="A321" s="32"/>
    </row>
    <row r="322" spans="1:1" x14ac:dyDescent="0.2">
      <c r="A322" s="32"/>
    </row>
    <row r="323" spans="1:1" x14ac:dyDescent="0.2">
      <c r="A323" s="32"/>
    </row>
    <row r="324" spans="1:1" x14ac:dyDescent="0.2">
      <c r="A324" s="32"/>
    </row>
    <row r="325" spans="1:1" x14ac:dyDescent="0.2">
      <c r="A325" s="32"/>
    </row>
    <row r="326" spans="1:1" x14ac:dyDescent="0.2">
      <c r="A326" s="32"/>
    </row>
    <row r="327" spans="1:1" x14ac:dyDescent="0.2">
      <c r="A327" s="32"/>
    </row>
    <row r="328" spans="1:1" x14ac:dyDescent="0.2">
      <c r="A328" s="32"/>
    </row>
    <row r="329" spans="1:1" x14ac:dyDescent="0.2">
      <c r="A329" s="32"/>
    </row>
    <row r="330" spans="1:1" x14ac:dyDescent="0.2">
      <c r="A330" s="32"/>
    </row>
    <row r="331" spans="1:1" x14ac:dyDescent="0.2">
      <c r="A331" s="32"/>
    </row>
    <row r="332" spans="1:1" x14ac:dyDescent="0.2">
      <c r="A332" s="32"/>
    </row>
    <row r="333" spans="1:1" x14ac:dyDescent="0.2">
      <c r="A333" s="32"/>
    </row>
    <row r="334" spans="1:1" x14ac:dyDescent="0.2">
      <c r="A334" s="32"/>
    </row>
    <row r="335" spans="1:1" x14ac:dyDescent="0.2">
      <c r="A335" s="32"/>
    </row>
    <row r="336" spans="1:1" x14ac:dyDescent="0.2">
      <c r="A336" s="32"/>
    </row>
    <row r="337" spans="1:1" x14ac:dyDescent="0.2">
      <c r="A337" s="32"/>
    </row>
    <row r="338" spans="1:1" x14ac:dyDescent="0.2">
      <c r="A338" s="32"/>
    </row>
    <row r="339" spans="1:1" x14ac:dyDescent="0.2">
      <c r="A339" s="32"/>
    </row>
    <row r="340" spans="1:1" x14ac:dyDescent="0.2">
      <c r="A340" s="32"/>
    </row>
    <row r="341" spans="1:1" x14ac:dyDescent="0.2">
      <c r="A341" s="32"/>
    </row>
    <row r="342" spans="1:1" x14ac:dyDescent="0.2">
      <c r="A342" s="32"/>
    </row>
    <row r="343" spans="1:1" x14ac:dyDescent="0.2">
      <c r="A343" s="32"/>
    </row>
    <row r="344" spans="1:1" x14ac:dyDescent="0.2">
      <c r="A344" s="32"/>
    </row>
    <row r="345" spans="1:1" x14ac:dyDescent="0.2">
      <c r="A345" s="32"/>
    </row>
    <row r="346" spans="1:1" x14ac:dyDescent="0.2">
      <c r="A346" s="32"/>
    </row>
    <row r="347" spans="1:1" x14ac:dyDescent="0.2">
      <c r="A347" s="32"/>
    </row>
    <row r="348" spans="1:1" x14ac:dyDescent="0.2">
      <c r="A348" s="32"/>
    </row>
    <row r="349" spans="1:1" x14ac:dyDescent="0.2">
      <c r="A349" s="32"/>
    </row>
    <row r="350" spans="1:1" x14ac:dyDescent="0.2">
      <c r="A350" s="32"/>
    </row>
    <row r="351" spans="1:1" x14ac:dyDescent="0.2">
      <c r="A351" s="32"/>
    </row>
    <row r="352" spans="1:1" x14ac:dyDescent="0.2">
      <c r="A352" s="32"/>
    </row>
    <row r="353" spans="1:1" x14ac:dyDescent="0.2">
      <c r="A353" s="32"/>
    </row>
    <row r="354" spans="1:1" x14ac:dyDescent="0.2">
      <c r="A354" s="32"/>
    </row>
    <row r="355" spans="1:1" x14ac:dyDescent="0.2">
      <c r="A355" s="32"/>
    </row>
    <row r="356" spans="1:1" x14ac:dyDescent="0.2">
      <c r="A356" s="32"/>
    </row>
    <row r="357" spans="1:1" x14ac:dyDescent="0.2">
      <c r="A357" s="32"/>
    </row>
    <row r="358" spans="1:1" x14ac:dyDescent="0.2">
      <c r="A358" s="32"/>
    </row>
    <row r="359" spans="1:1" x14ac:dyDescent="0.2">
      <c r="A359" s="32"/>
    </row>
    <row r="360" spans="1:1" x14ac:dyDescent="0.2">
      <c r="A360" s="32"/>
    </row>
    <row r="361" spans="1:1" x14ac:dyDescent="0.2">
      <c r="A361" s="32"/>
    </row>
    <row r="362" spans="1:1" x14ac:dyDescent="0.2">
      <c r="A362" s="32"/>
    </row>
    <row r="363" spans="1:1" x14ac:dyDescent="0.2">
      <c r="A363" s="32"/>
    </row>
    <row r="364" spans="1:1" x14ac:dyDescent="0.2">
      <c r="A364" s="32"/>
    </row>
    <row r="365" spans="1:1" x14ac:dyDescent="0.2">
      <c r="A365" s="32"/>
    </row>
    <row r="366" spans="1:1" x14ac:dyDescent="0.2">
      <c r="A366" s="32"/>
    </row>
    <row r="367" spans="1:1" x14ac:dyDescent="0.2">
      <c r="A367" s="32"/>
    </row>
    <row r="368" spans="1:1" x14ac:dyDescent="0.2">
      <c r="A368" s="32"/>
    </row>
    <row r="369" spans="1:1" x14ac:dyDescent="0.2">
      <c r="A369" s="32"/>
    </row>
    <row r="370" spans="1:1" x14ac:dyDescent="0.2">
      <c r="A370" s="32"/>
    </row>
    <row r="371" spans="1:1" x14ac:dyDescent="0.2">
      <c r="A371" s="32"/>
    </row>
    <row r="372" spans="1:1" x14ac:dyDescent="0.2">
      <c r="A372" s="32"/>
    </row>
    <row r="373" spans="1:1" x14ac:dyDescent="0.2">
      <c r="A373" s="32"/>
    </row>
    <row r="374" spans="1:1" x14ac:dyDescent="0.2">
      <c r="A374" s="32"/>
    </row>
    <row r="375" spans="1:1" x14ac:dyDescent="0.2">
      <c r="A375" s="32"/>
    </row>
    <row r="376" spans="1:1" x14ac:dyDescent="0.2">
      <c r="A376" s="32"/>
    </row>
    <row r="377" spans="1:1" x14ac:dyDescent="0.2">
      <c r="A377" s="32"/>
    </row>
    <row r="378" spans="1:1" x14ac:dyDescent="0.2">
      <c r="A378" s="32"/>
    </row>
    <row r="379" spans="1:1" x14ac:dyDescent="0.2">
      <c r="A379" s="32"/>
    </row>
    <row r="380" spans="1:1" x14ac:dyDescent="0.2">
      <c r="A380" s="32"/>
    </row>
    <row r="381" spans="1:1" x14ac:dyDescent="0.2">
      <c r="A381" s="32"/>
    </row>
    <row r="382" spans="1:1" x14ac:dyDescent="0.2">
      <c r="A382" s="32"/>
    </row>
    <row r="383" spans="1:1" x14ac:dyDescent="0.2">
      <c r="A383" s="32"/>
    </row>
    <row r="384" spans="1:1" x14ac:dyDescent="0.2">
      <c r="A384" s="32"/>
    </row>
    <row r="385" spans="1:1" x14ac:dyDescent="0.2">
      <c r="A385" s="32"/>
    </row>
    <row r="386" spans="1:1" x14ac:dyDescent="0.2">
      <c r="A386" s="32"/>
    </row>
    <row r="387" spans="1:1" x14ac:dyDescent="0.2">
      <c r="A387" s="32"/>
    </row>
    <row r="388" spans="1:1" x14ac:dyDescent="0.2">
      <c r="A388" s="32"/>
    </row>
    <row r="389" spans="1:1" x14ac:dyDescent="0.2">
      <c r="A389" s="32"/>
    </row>
    <row r="390" spans="1:1" x14ac:dyDescent="0.2">
      <c r="A390" s="32"/>
    </row>
    <row r="391" spans="1:1" x14ac:dyDescent="0.2">
      <c r="A391" s="32"/>
    </row>
    <row r="392" spans="1:1" x14ac:dyDescent="0.2">
      <c r="A392" s="32"/>
    </row>
    <row r="393" spans="1:1" x14ac:dyDescent="0.2">
      <c r="A393" s="32"/>
    </row>
    <row r="394" spans="1:1" x14ac:dyDescent="0.2">
      <c r="A394" s="32"/>
    </row>
    <row r="395" spans="1:1" x14ac:dyDescent="0.2">
      <c r="A395" s="32"/>
    </row>
    <row r="396" spans="1:1" x14ac:dyDescent="0.2">
      <c r="A396" s="32"/>
    </row>
    <row r="397" spans="1:1" x14ac:dyDescent="0.2">
      <c r="A397" s="32"/>
    </row>
    <row r="398" spans="1:1" x14ac:dyDescent="0.2">
      <c r="A398" s="32"/>
    </row>
    <row r="399" spans="1:1" x14ac:dyDescent="0.2">
      <c r="A399" s="32"/>
    </row>
    <row r="400" spans="1:1" x14ac:dyDescent="0.2">
      <c r="A400" s="32"/>
    </row>
    <row r="401" spans="1:1" x14ac:dyDescent="0.2">
      <c r="A401" s="32"/>
    </row>
    <row r="402" spans="1:1" x14ac:dyDescent="0.2">
      <c r="A402" s="32"/>
    </row>
    <row r="403" spans="1:1" x14ac:dyDescent="0.2">
      <c r="A403" s="32"/>
    </row>
    <row r="404" spans="1:1" x14ac:dyDescent="0.2">
      <c r="A404" s="32"/>
    </row>
    <row r="405" spans="1:1" x14ac:dyDescent="0.2">
      <c r="A405" s="32"/>
    </row>
    <row r="406" spans="1:1" x14ac:dyDescent="0.2">
      <c r="A406" s="32"/>
    </row>
    <row r="407" spans="1:1" x14ac:dyDescent="0.2">
      <c r="A407" s="32"/>
    </row>
    <row r="408" spans="1:1" x14ac:dyDescent="0.2">
      <c r="A408" s="32"/>
    </row>
    <row r="409" spans="1:1" x14ac:dyDescent="0.2">
      <c r="A409" s="32"/>
    </row>
    <row r="410" spans="1:1" x14ac:dyDescent="0.2">
      <c r="A410" s="32"/>
    </row>
    <row r="411" spans="1:1" x14ac:dyDescent="0.2">
      <c r="A411" s="32"/>
    </row>
    <row r="412" spans="1:1" x14ac:dyDescent="0.2">
      <c r="A412" s="32"/>
    </row>
    <row r="413" spans="1:1" x14ac:dyDescent="0.2">
      <c r="A413" s="32"/>
    </row>
    <row r="414" spans="1:1" x14ac:dyDescent="0.2">
      <c r="A414" s="32"/>
    </row>
    <row r="415" spans="1:1" x14ac:dyDescent="0.2">
      <c r="A415" s="32"/>
    </row>
    <row r="416" spans="1:1" x14ac:dyDescent="0.2">
      <c r="A416" s="32"/>
    </row>
    <row r="417" spans="1:1" x14ac:dyDescent="0.2">
      <c r="A417" s="32"/>
    </row>
    <row r="418" spans="1:1" x14ac:dyDescent="0.2">
      <c r="A418" s="32"/>
    </row>
    <row r="419" spans="1:1" x14ac:dyDescent="0.2">
      <c r="A419" s="32"/>
    </row>
    <row r="420" spans="1:1" x14ac:dyDescent="0.2">
      <c r="A420" s="32"/>
    </row>
    <row r="421" spans="1:1" x14ac:dyDescent="0.2">
      <c r="A421" s="32"/>
    </row>
    <row r="422" spans="1:1" x14ac:dyDescent="0.2">
      <c r="A422" s="32"/>
    </row>
    <row r="423" spans="1:1" x14ac:dyDescent="0.2">
      <c r="A423" s="32"/>
    </row>
    <row r="424" spans="1:1" x14ac:dyDescent="0.2">
      <c r="A424" s="32"/>
    </row>
    <row r="425" spans="1:1" x14ac:dyDescent="0.2">
      <c r="A425" s="32"/>
    </row>
    <row r="426" spans="1:1" x14ac:dyDescent="0.2">
      <c r="A426" s="32"/>
    </row>
    <row r="427" spans="1:1" x14ac:dyDescent="0.2">
      <c r="A427" s="32"/>
    </row>
    <row r="428" spans="1:1" x14ac:dyDescent="0.2">
      <c r="A428" s="32"/>
    </row>
    <row r="429" spans="1:1" x14ac:dyDescent="0.2">
      <c r="A429" s="32"/>
    </row>
    <row r="430" spans="1:1" x14ac:dyDescent="0.2">
      <c r="A430" s="32"/>
    </row>
    <row r="431" spans="1:1" x14ac:dyDescent="0.2">
      <c r="A431" s="32"/>
    </row>
    <row r="432" spans="1:1" x14ac:dyDescent="0.2">
      <c r="A432" s="32"/>
    </row>
    <row r="433" spans="1:1" x14ac:dyDescent="0.2">
      <c r="A433" s="32"/>
    </row>
    <row r="434" spans="1:1" x14ac:dyDescent="0.2">
      <c r="A434" s="32"/>
    </row>
    <row r="435" spans="1:1" x14ac:dyDescent="0.2">
      <c r="A435" s="32"/>
    </row>
    <row r="436" spans="1:1" x14ac:dyDescent="0.2">
      <c r="A436" s="32"/>
    </row>
    <row r="437" spans="1:1" x14ac:dyDescent="0.2">
      <c r="A437" s="32"/>
    </row>
    <row r="438" spans="1:1" x14ac:dyDescent="0.2">
      <c r="A438" s="32"/>
    </row>
    <row r="439" spans="1:1" x14ac:dyDescent="0.2">
      <c r="A439" s="32"/>
    </row>
    <row r="440" spans="1:1" x14ac:dyDescent="0.2">
      <c r="A440" s="32"/>
    </row>
    <row r="441" spans="1:1" x14ac:dyDescent="0.2">
      <c r="A441" s="32"/>
    </row>
    <row r="442" spans="1:1" x14ac:dyDescent="0.2">
      <c r="A442" s="32"/>
    </row>
    <row r="443" spans="1:1" x14ac:dyDescent="0.2">
      <c r="A443" s="32"/>
    </row>
    <row r="444" spans="1:1" x14ac:dyDescent="0.2">
      <c r="A444" s="32"/>
    </row>
    <row r="445" spans="1:1" x14ac:dyDescent="0.2">
      <c r="A445" s="32"/>
    </row>
    <row r="446" spans="1:1" x14ac:dyDescent="0.2">
      <c r="A446" s="32"/>
    </row>
    <row r="447" spans="1:1" x14ac:dyDescent="0.2">
      <c r="A447" s="32"/>
    </row>
    <row r="448" spans="1:1" x14ac:dyDescent="0.2">
      <c r="A448" s="32"/>
    </row>
    <row r="449" spans="1:1" x14ac:dyDescent="0.2">
      <c r="A449" s="32"/>
    </row>
    <row r="450" spans="1:1" x14ac:dyDescent="0.2">
      <c r="A450" s="32"/>
    </row>
    <row r="451" spans="1:1" x14ac:dyDescent="0.2">
      <c r="A451" s="32"/>
    </row>
    <row r="452" spans="1:1" x14ac:dyDescent="0.2">
      <c r="A452" s="32"/>
    </row>
    <row r="453" spans="1:1" x14ac:dyDescent="0.2">
      <c r="A453" s="32"/>
    </row>
    <row r="454" spans="1:1" x14ac:dyDescent="0.2">
      <c r="A454" s="32"/>
    </row>
    <row r="455" spans="1:1" x14ac:dyDescent="0.2">
      <c r="A455" s="32"/>
    </row>
    <row r="456" spans="1:1" x14ac:dyDescent="0.2">
      <c r="A456" s="32"/>
    </row>
    <row r="457" spans="1:1" x14ac:dyDescent="0.2">
      <c r="A457" s="32"/>
    </row>
    <row r="458" spans="1:1" x14ac:dyDescent="0.2">
      <c r="A458" s="32"/>
    </row>
    <row r="459" spans="1:1" x14ac:dyDescent="0.2">
      <c r="A459" s="32"/>
    </row>
    <row r="460" spans="1:1" x14ac:dyDescent="0.2">
      <c r="A460" s="32"/>
    </row>
    <row r="461" spans="1:1" x14ac:dyDescent="0.2">
      <c r="A461" s="32"/>
    </row>
    <row r="462" spans="1:1" x14ac:dyDescent="0.2">
      <c r="A462" s="32"/>
    </row>
    <row r="463" spans="1:1" x14ac:dyDescent="0.2">
      <c r="A463" s="32"/>
    </row>
    <row r="464" spans="1:1" x14ac:dyDescent="0.2">
      <c r="A464" s="32"/>
    </row>
    <row r="465" spans="1:1" x14ac:dyDescent="0.2">
      <c r="A465" s="32"/>
    </row>
    <row r="466" spans="1:1" x14ac:dyDescent="0.2">
      <c r="A466" s="32"/>
    </row>
    <row r="467" spans="1:1" x14ac:dyDescent="0.2">
      <c r="A467" s="32"/>
    </row>
    <row r="468" spans="1:1" x14ac:dyDescent="0.2">
      <c r="A468" s="32"/>
    </row>
    <row r="469" spans="1:1" x14ac:dyDescent="0.2">
      <c r="A469" s="32"/>
    </row>
    <row r="470" spans="1:1" x14ac:dyDescent="0.2">
      <c r="A470" s="32"/>
    </row>
    <row r="471" spans="1:1" x14ac:dyDescent="0.2">
      <c r="A471" s="32"/>
    </row>
    <row r="472" spans="1:1" x14ac:dyDescent="0.2">
      <c r="A472" s="32"/>
    </row>
    <row r="473" spans="1:1" x14ac:dyDescent="0.2">
      <c r="A473" s="32"/>
    </row>
    <row r="474" spans="1:1" x14ac:dyDescent="0.2">
      <c r="A474" s="32"/>
    </row>
    <row r="475" spans="1:1" x14ac:dyDescent="0.2">
      <c r="A475" s="32"/>
    </row>
    <row r="476" spans="1:1" x14ac:dyDescent="0.2">
      <c r="A476" s="32"/>
    </row>
    <row r="477" spans="1:1" x14ac:dyDescent="0.2">
      <c r="A477" s="32"/>
    </row>
    <row r="478" spans="1:1" x14ac:dyDescent="0.2">
      <c r="A478" s="32"/>
    </row>
    <row r="479" spans="1:1" x14ac:dyDescent="0.2">
      <c r="A479" s="32"/>
    </row>
    <row r="480" spans="1:1" x14ac:dyDescent="0.2">
      <c r="A480" s="32"/>
    </row>
    <row r="481" spans="1:1" x14ac:dyDescent="0.2">
      <c r="A481" s="32"/>
    </row>
    <row r="482" spans="1:1" x14ac:dyDescent="0.2">
      <c r="A482" s="32"/>
    </row>
    <row r="483" spans="1:1" x14ac:dyDescent="0.2">
      <c r="A483" s="32"/>
    </row>
    <row r="484" spans="1:1" x14ac:dyDescent="0.2">
      <c r="A484" s="32"/>
    </row>
    <row r="485" spans="1:1" x14ac:dyDescent="0.2">
      <c r="A485" s="32"/>
    </row>
    <row r="486" spans="1:1" x14ac:dyDescent="0.2">
      <c r="A486" s="32"/>
    </row>
    <row r="487" spans="1:1" x14ac:dyDescent="0.2">
      <c r="A487" s="32"/>
    </row>
    <row r="488" spans="1:1" x14ac:dyDescent="0.2">
      <c r="A488" s="32"/>
    </row>
    <row r="489" spans="1:1" x14ac:dyDescent="0.2">
      <c r="A489" s="32"/>
    </row>
    <row r="490" spans="1:1" x14ac:dyDescent="0.2">
      <c r="A490" s="32"/>
    </row>
    <row r="491" spans="1:1" x14ac:dyDescent="0.2">
      <c r="A491" s="32"/>
    </row>
    <row r="492" spans="1:1" x14ac:dyDescent="0.2">
      <c r="A492" s="32"/>
    </row>
    <row r="493" spans="1:1" x14ac:dyDescent="0.2">
      <c r="A493" s="32"/>
    </row>
    <row r="494" spans="1:1" x14ac:dyDescent="0.2">
      <c r="A494" s="32"/>
    </row>
    <row r="495" spans="1:1" x14ac:dyDescent="0.2">
      <c r="A495" s="32"/>
    </row>
    <row r="496" spans="1:1" x14ac:dyDescent="0.2">
      <c r="A496" s="32"/>
    </row>
    <row r="497" spans="1:1" x14ac:dyDescent="0.2">
      <c r="A497" s="32"/>
    </row>
    <row r="498" spans="1:1" x14ac:dyDescent="0.2">
      <c r="A498" s="32"/>
    </row>
    <row r="499" spans="1:1" x14ac:dyDescent="0.2">
      <c r="A499" s="32"/>
    </row>
    <row r="500" spans="1:1" x14ac:dyDescent="0.2">
      <c r="A500" s="32"/>
    </row>
    <row r="501" spans="1:1" x14ac:dyDescent="0.2">
      <c r="A501" s="32"/>
    </row>
    <row r="502" spans="1:1" x14ac:dyDescent="0.2">
      <c r="A502" s="32"/>
    </row>
    <row r="503" spans="1:1" x14ac:dyDescent="0.2">
      <c r="A503" s="32"/>
    </row>
    <row r="504" spans="1:1" x14ac:dyDescent="0.2">
      <c r="A504" s="32"/>
    </row>
    <row r="505" spans="1:1" x14ac:dyDescent="0.2">
      <c r="A505" s="32"/>
    </row>
    <row r="506" spans="1:1" x14ac:dyDescent="0.2">
      <c r="A506" s="32"/>
    </row>
    <row r="507" spans="1:1" x14ac:dyDescent="0.2">
      <c r="A507" s="32"/>
    </row>
    <row r="508" spans="1:1" x14ac:dyDescent="0.2">
      <c r="A508" s="32"/>
    </row>
    <row r="509" spans="1:1" x14ac:dyDescent="0.2">
      <c r="A509" s="32"/>
    </row>
    <row r="510" spans="1:1" x14ac:dyDescent="0.2">
      <c r="A510" s="32"/>
    </row>
    <row r="511" spans="1:1" x14ac:dyDescent="0.2">
      <c r="A511" s="32"/>
    </row>
    <row r="512" spans="1:1" x14ac:dyDescent="0.2">
      <c r="A512" s="32"/>
    </row>
    <row r="513" spans="1:1" x14ac:dyDescent="0.2">
      <c r="A513" s="32"/>
    </row>
    <row r="514" spans="1:1" x14ac:dyDescent="0.2">
      <c r="A514" s="32"/>
    </row>
    <row r="515" spans="1:1" x14ac:dyDescent="0.2">
      <c r="A515" s="32"/>
    </row>
    <row r="516" spans="1:1" x14ac:dyDescent="0.2">
      <c r="A516" s="32"/>
    </row>
    <row r="517" spans="1:1" x14ac:dyDescent="0.2">
      <c r="A517" s="32"/>
    </row>
    <row r="518" spans="1:1" x14ac:dyDescent="0.2">
      <c r="A518" s="32"/>
    </row>
    <row r="519" spans="1:1" x14ac:dyDescent="0.2">
      <c r="A519" s="32"/>
    </row>
    <row r="520" spans="1:1" x14ac:dyDescent="0.2">
      <c r="A520" s="32"/>
    </row>
    <row r="521" spans="1:1" x14ac:dyDescent="0.2">
      <c r="A521" s="32"/>
    </row>
    <row r="522" spans="1:1" x14ac:dyDescent="0.2">
      <c r="A522" s="32"/>
    </row>
    <row r="523" spans="1:1" x14ac:dyDescent="0.2">
      <c r="A523" s="32"/>
    </row>
    <row r="524" spans="1:1" x14ac:dyDescent="0.2">
      <c r="A524" s="32"/>
    </row>
    <row r="525" spans="1:1" x14ac:dyDescent="0.2">
      <c r="A525" s="32"/>
    </row>
    <row r="526" spans="1:1" x14ac:dyDescent="0.2">
      <c r="A526" s="32"/>
    </row>
    <row r="527" spans="1:1" x14ac:dyDescent="0.2">
      <c r="A527" s="32"/>
    </row>
    <row r="528" spans="1:1" x14ac:dyDescent="0.2">
      <c r="A528" s="32"/>
    </row>
    <row r="529" spans="1:1" x14ac:dyDescent="0.2">
      <c r="A529" s="32"/>
    </row>
    <row r="530" spans="1:1" x14ac:dyDescent="0.2">
      <c r="A530" s="32"/>
    </row>
    <row r="531" spans="1:1" x14ac:dyDescent="0.2">
      <c r="A531" s="32"/>
    </row>
    <row r="532" spans="1:1" x14ac:dyDescent="0.2">
      <c r="A532" s="32"/>
    </row>
    <row r="533" spans="1:1" x14ac:dyDescent="0.2">
      <c r="A533" s="32"/>
    </row>
    <row r="534" spans="1:1" x14ac:dyDescent="0.2">
      <c r="A534" s="32"/>
    </row>
    <row r="535" spans="1:1" x14ac:dyDescent="0.2">
      <c r="A535" s="32"/>
    </row>
    <row r="536" spans="1:1" x14ac:dyDescent="0.2">
      <c r="A536" s="32"/>
    </row>
    <row r="537" spans="1:1" x14ac:dyDescent="0.2">
      <c r="A537" s="32"/>
    </row>
    <row r="538" spans="1:1" x14ac:dyDescent="0.2">
      <c r="A538" s="32"/>
    </row>
    <row r="539" spans="1:1" x14ac:dyDescent="0.2">
      <c r="A539" s="32"/>
    </row>
    <row r="540" spans="1:1" x14ac:dyDescent="0.2">
      <c r="A540" s="32"/>
    </row>
    <row r="541" spans="1:1" x14ac:dyDescent="0.2">
      <c r="A541" s="32"/>
    </row>
    <row r="542" spans="1:1" x14ac:dyDescent="0.2">
      <c r="A542" s="32"/>
    </row>
    <row r="543" spans="1:1" x14ac:dyDescent="0.2">
      <c r="A543" s="32"/>
    </row>
    <row r="544" spans="1:1" x14ac:dyDescent="0.2">
      <c r="A544" s="32"/>
    </row>
    <row r="545" spans="1:1" x14ac:dyDescent="0.2">
      <c r="A545" s="32"/>
    </row>
    <row r="546" spans="1:1" x14ac:dyDescent="0.2">
      <c r="A546" s="32"/>
    </row>
    <row r="547" spans="1:1" x14ac:dyDescent="0.2">
      <c r="A547" s="32"/>
    </row>
    <row r="548" spans="1:1" x14ac:dyDescent="0.2">
      <c r="A548" s="32"/>
    </row>
    <row r="549" spans="1:1" x14ac:dyDescent="0.2">
      <c r="A549" s="32"/>
    </row>
    <row r="550" spans="1:1" x14ac:dyDescent="0.2">
      <c r="A550" s="32"/>
    </row>
    <row r="551" spans="1:1" x14ac:dyDescent="0.2">
      <c r="A551" s="32"/>
    </row>
    <row r="552" spans="1:1" x14ac:dyDescent="0.2">
      <c r="A552" s="32"/>
    </row>
    <row r="553" spans="1:1" x14ac:dyDescent="0.2">
      <c r="A553" s="32"/>
    </row>
    <row r="554" spans="1:1" x14ac:dyDescent="0.2">
      <c r="A554" s="32"/>
    </row>
    <row r="555" spans="1:1" x14ac:dyDescent="0.2">
      <c r="A555" s="32"/>
    </row>
    <row r="556" spans="1:1" x14ac:dyDescent="0.2">
      <c r="A556" s="32"/>
    </row>
    <row r="557" spans="1:1" x14ac:dyDescent="0.2">
      <c r="A557" s="32"/>
    </row>
    <row r="558" spans="1:1" x14ac:dyDescent="0.2">
      <c r="A558" s="32"/>
    </row>
    <row r="559" spans="1:1" x14ac:dyDescent="0.2">
      <c r="A559" s="32"/>
    </row>
    <row r="560" spans="1:1" x14ac:dyDescent="0.2">
      <c r="A560" s="32"/>
    </row>
    <row r="561" spans="1:1" x14ac:dyDescent="0.2">
      <c r="A561" s="32"/>
    </row>
    <row r="562" spans="1:1" x14ac:dyDescent="0.2">
      <c r="A562" s="32"/>
    </row>
    <row r="563" spans="1:1" x14ac:dyDescent="0.2">
      <c r="A563" s="32"/>
    </row>
    <row r="564" spans="1:1" x14ac:dyDescent="0.2">
      <c r="A564" s="32"/>
    </row>
    <row r="565" spans="1:1" x14ac:dyDescent="0.2">
      <c r="A565" s="32"/>
    </row>
    <row r="566" spans="1:1" x14ac:dyDescent="0.2">
      <c r="A566" s="32"/>
    </row>
    <row r="567" spans="1:1" x14ac:dyDescent="0.2">
      <c r="A567" s="32"/>
    </row>
    <row r="568" spans="1:1" x14ac:dyDescent="0.2">
      <c r="A568" s="32"/>
    </row>
    <row r="569" spans="1:1" x14ac:dyDescent="0.2">
      <c r="A569" s="32"/>
    </row>
    <row r="570" spans="1:1" x14ac:dyDescent="0.2">
      <c r="A570" s="32"/>
    </row>
    <row r="571" spans="1:1" x14ac:dyDescent="0.2">
      <c r="A571" s="32"/>
    </row>
    <row r="572" spans="1:1" x14ac:dyDescent="0.2">
      <c r="A572" s="32"/>
    </row>
    <row r="573" spans="1:1" x14ac:dyDescent="0.2">
      <c r="A573" s="32"/>
    </row>
    <row r="574" spans="1:1" x14ac:dyDescent="0.2">
      <c r="A574" s="32"/>
    </row>
    <row r="575" spans="1:1" x14ac:dyDescent="0.2">
      <c r="A575" s="32"/>
    </row>
    <row r="576" spans="1:1" x14ac:dyDescent="0.2">
      <c r="A576" s="32"/>
    </row>
    <row r="577" spans="1:1" x14ac:dyDescent="0.2">
      <c r="A577" s="32"/>
    </row>
    <row r="578" spans="1:1" x14ac:dyDescent="0.2">
      <c r="A578" s="32"/>
    </row>
    <row r="579" spans="1:1" x14ac:dyDescent="0.2">
      <c r="A579" s="32"/>
    </row>
    <row r="580" spans="1:1" x14ac:dyDescent="0.2">
      <c r="A580" s="32"/>
    </row>
    <row r="581" spans="1:1" x14ac:dyDescent="0.2">
      <c r="A581" s="32"/>
    </row>
    <row r="582" spans="1:1" x14ac:dyDescent="0.2">
      <c r="A582" s="32"/>
    </row>
    <row r="583" spans="1:1" x14ac:dyDescent="0.2">
      <c r="A583" s="32"/>
    </row>
    <row r="584" spans="1:1" x14ac:dyDescent="0.2">
      <c r="A584" s="32"/>
    </row>
    <row r="585" spans="1:1" x14ac:dyDescent="0.2">
      <c r="A585" s="32"/>
    </row>
    <row r="586" spans="1:1" x14ac:dyDescent="0.2">
      <c r="A586" s="32"/>
    </row>
    <row r="587" spans="1:1" x14ac:dyDescent="0.2">
      <c r="A587" s="32"/>
    </row>
    <row r="588" spans="1:1" x14ac:dyDescent="0.2">
      <c r="A588" s="32"/>
    </row>
    <row r="589" spans="1:1" x14ac:dyDescent="0.2">
      <c r="A589" s="32"/>
    </row>
    <row r="590" spans="1:1" x14ac:dyDescent="0.2">
      <c r="A590" s="32"/>
    </row>
    <row r="591" spans="1:1" x14ac:dyDescent="0.2">
      <c r="A591" s="32"/>
    </row>
    <row r="592" spans="1:1" x14ac:dyDescent="0.2">
      <c r="A592" s="32"/>
    </row>
    <row r="593" spans="1:1" x14ac:dyDescent="0.2">
      <c r="A593" s="32"/>
    </row>
    <row r="594" spans="1:1" x14ac:dyDescent="0.2">
      <c r="A594" s="32"/>
    </row>
    <row r="595" spans="1:1" x14ac:dyDescent="0.2">
      <c r="A595" s="32"/>
    </row>
    <row r="596" spans="1:1" x14ac:dyDescent="0.2">
      <c r="A596" s="32"/>
    </row>
    <row r="597" spans="1:1" x14ac:dyDescent="0.2">
      <c r="A597" s="32"/>
    </row>
    <row r="598" spans="1:1" x14ac:dyDescent="0.2">
      <c r="A598" s="32"/>
    </row>
    <row r="599" spans="1:1" x14ac:dyDescent="0.2">
      <c r="A599" s="32"/>
    </row>
    <row r="600" spans="1:1" x14ac:dyDescent="0.2">
      <c r="A600" s="32"/>
    </row>
    <row r="601" spans="1:1" x14ac:dyDescent="0.2">
      <c r="A601" s="32"/>
    </row>
    <row r="602" spans="1:1" x14ac:dyDescent="0.2">
      <c r="A602" s="32"/>
    </row>
    <row r="603" spans="1:1" x14ac:dyDescent="0.2">
      <c r="A603" s="32"/>
    </row>
    <row r="604" spans="1:1" x14ac:dyDescent="0.2">
      <c r="A604" s="32"/>
    </row>
    <row r="605" spans="1:1" x14ac:dyDescent="0.2">
      <c r="A605" s="32"/>
    </row>
    <row r="606" spans="1:1" x14ac:dyDescent="0.2">
      <c r="A606" s="32"/>
    </row>
    <row r="607" spans="1:1" x14ac:dyDescent="0.2">
      <c r="A607" s="32"/>
    </row>
    <row r="608" spans="1:1" x14ac:dyDescent="0.2">
      <c r="A608" s="32"/>
    </row>
    <row r="609" spans="1:1" x14ac:dyDescent="0.2">
      <c r="A609" s="32"/>
    </row>
    <row r="610" spans="1:1" x14ac:dyDescent="0.2">
      <c r="A610" s="32"/>
    </row>
    <row r="611" spans="1:1" x14ac:dyDescent="0.2">
      <c r="A611" s="32"/>
    </row>
    <row r="612" spans="1:1" x14ac:dyDescent="0.2">
      <c r="A612" s="32"/>
    </row>
    <row r="613" spans="1:1" x14ac:dyDescent="0.2">
      <c r="A613" s="32"/>
    </row>
    <row r="614" spans="1:1" x14ac:dyDescent="0.2">
      <c r="A614" s="32"/>
    </row>
    <row r="615" spans="1:1" x14ac:dyDescent="0.2">
      <c r="A615" s="32"/>
    </row>
    <row r="616" spans="1:1" x14ac:dyDescent="0.2">
      <c r="A616" s="32"/>
    </row>
    <row r="617" spans="1:1" x14ac:dyDescent="0.2">
      <c r="A617" s="32"/>
    </row>
    <row r="618" spans="1:1" x14ac:dyDescent="0.2">
      <c r="A618" s="32"/>
    </row>
    <row r="619" spans="1:1" x14ac:dyDescent="0.2">
      <c r="A619" s="32"/>
    </row>
    <row r="620" spans="1:1" x14ac:dyDescent="0.2">
      <c r="A620" s="32"/>
    </row>
    <row r="621" spans="1:1" x14ac:dyDescent="0.2">
      <c r="A621" s="32"/>
    </row>
    <row r="622" spans="1:1" x14ac:dyDescent="0.2">
      <c r="A622" s="32"/>
    </row>
    <row r="623" spans="1:1" x14ac:dyDescent="0.2">
      <c r="A623" s="32"/>
    </row>
    <row r="624" spans="1:1" x14ac:dyDescent="0.2">
      <c r="A624" s="32"/>
    </row>
    <row r="625" spans="1:1" x14ac:dyDescent="0.2">
      <c r="A625" s="32"/>
    </row>
    <row r="626" spans="1:1" x14ac:dyDescent="0.2">
      <c r="A626" s="32"/>
    </row>
    <row r="627" spans="1:1" x14ac:dyDescent="0.2">
      <c r="A627" s="32"/>
    </row>
    <row r="628" spans="1:1" x14ac:dyDescent="0.2">
      <c r="A628" s="32"/>
    </row>
    <row r="629" spans="1:1" x14ac:dyDescent="0.2">
      <c r="A629" s="32"/>
    </row>
    <row r="630" spans="1:1" x14ac:dyDescent="0.2">
      <c r="A630" s="32"/>
    </row>
    <row r="631" spans="1:1" x14ac:dyDescent="0.2">
      <c r="A631" s="32"/>
    </row>
    <row r="632" spans="1:1" x14ac:dyDescent="0.2">
      <c r="A632" s="32"/>
    </row>
    <row r="633" spans="1:1" x14ac:dyDescent="0.2">
      <c r="A633" s="32"/>
    </row>
    <row r="634" spans="1:1" x14ac:dyDescent="0.2">
      <c r="A634" s="32"/>
    </row>
    <row r="635" spans="1:1" x14ac:dyDescent="0.2">
      <c r="A635" s="32"/>
    </row>
    <row r="636" spans="1:1" x14ac:dyDescent="0.2">
      <c r="A636" s="32"/>
    </row>
    <row r="637" spans="1:1" x14ac:dyDescent="0.2">
      <c r="A637" s="32"/>
    </row>
    <row r="638" spans="1:1" x14ac:dyDescent="0.2">
      <c r="A638" s="32"/>
    </row>
    <row r="639" spans="1:1" x14ac:dyDescent="0.2">
      <c r="A639" s="32"/>
    </row>
    <row r="640" spans="1:1" x14ac:dyDescent="0.2">
      <c r="A640" s="32"/>
    </row>
    <row r="641" spans="1:1" x14ac:dyDescent="0.2">
      <c r="A641" s="32"/>
    </row>
    <row r="642" spans="1:1" x14ac:dyDescent="0.2">
      <c r="A642" s="32"/>
    </row>
    <row r="643" spans="1:1" x14ac:dyDescent="0.2">
      <c r="A643" s="32"/>
    </row>
    <row r="644" spans="1:1" x14ac:dyDescent="0.2">
      <c r="A644" s="32"/>
    </row>
    <row r="645" spans="1:1" x14ac:dyDescent="0.2">
      <c r="A645" s="32"/>
    </row>
    <row r="646" spans="1:1" x14ac:dyDescent="0.2">
      <c r="A646" s="32"/>
    </row>
    <row r="647" spans="1:1" x14ac:dyDescent="0.2">
      <c r="A647" s="32"/>
    </row>
    <row r="648" spans="1:1" x14ac:dyDescent="0.2">
      <c r="A648" s="32"/>
    </row>
    <row r="649" spans="1:1" x14ac:dyDescent="0.2">
      <c r="A649" s="32"/>
    </row>
    <row r="650" spans="1:1" x14ac:dyDescent="0.2">
      <c r="A650" s="32"/>
    </row>
    <row r="651" spans="1:1" x14ac:dyDescent="0.2">
      <c r="A651" s="32"/>
    </row>
    <row r="652" spans="1:1" x14ac:dyDescent="0.2">
      <c r="A652" s="32"/>
    </row>
    <row r="653" spans="1:1" x14ac:dyDescent="0.2">
      <c r="A653" s="32"/>
    </row>
    <row r="654" spans="1:1" x14ac:dyDescent="0.2">
      <c r="A654" s="32"/>
    </row>
    <row r="655" spans="1:1" x14ac:dyDescent="0.2">
      <c r="A655" s="32"/>
    </row>
    <row r="656" spans="1:1" x14ac:dyDescent="0.2">
      <c r="A656" s="32"/>
    </row>
    <row r="657" spans="1:1" x14ac:dyDescent="0.2">
      <c r="A657" s="32"/>
    </row>
    <row r="658" spans="1:1" x14ac:dyDescent="0.2">
      <c r="A658" s="32"/>
    </row>
    <row r="659" spans="1:1" x14ac:dyDescent="0.2">
      <c r="A659" s="32"/>
    </row>
    <row r="660" spans="1:1" x14ac:dyDescent="0.2">
      <c r="A660" s="32"/>
    </row>
    <row r="661" spans="1:1" x14ac:dyDescent="0.2">
      <c r="A661" s="32"/>
    </row>
    <row r="662" spans="1:1" x14ac:dyDescent="0.2">
      <c r="A662" s="32"/>
    </row>
    <row r="663" spans="1:1" x14ac:dyDescent="0.2">
      <c r="A663" s="32"/>
    </row>
    <row r="664" spans="1:1" x14ac:dyDescent="0.2">
      <c r="A664" s="32"/>
    </row>
    <row r="665" spans="1:1" x14ac:dyDescent="0.2">
      <c r="A665" s="32"/>
    </row>
    <row r="666" spans="1:1" x14ac:dyDescent="0.2">
      <c r="A666" s="32"/>
    </row>
    <row r="667" spans="1:1" x14ac:dyDescent="0.2">
      <c r="A667" s="32"/>
    </row>
    <row r="668" spans="1:1" x14ac:dyDescent="0.2">
      <c r="A668" s="32"/>
    </row>
    <row r="669" spans="1:1" x14ac:dyDescent="0.2">
      <c r="A669" s="32"/>
    </row>
    <row r="670" spans="1:1" x14ac:dyDescent="0.2">
      <c r="A670" s="32"/>
    </row>
    <row r="671" spans="1:1" x14ac:dyDescent="0.2">
      <c r="A671" s="32"/>
    </row>
    <row r="672" spans="1:1" x14ac:dyDescent="0.2">
      <c r="A672" s="32"/>
    </row>
    <row r="673" spans="1:1" x14ac:dyDescent="0.2">
      <c r="A673" s="32"/>
    </row>
    <row r="674" spans="1:1" x14ac:dyDescent="0.2">
      <c r="A674" s="32"/>
    </row>
    <row r="675" spans="1:1" x14ac:dyDescent="0.2">
      <c r="A675" s="32"/>
    </row>
    <row r="676" spans="1:1" x14ac:dyDescent="0.2">
      <c r="A676" s="32"/>
    </row>
    <row r="677" spans="1:1" x14ac:dyDescent="0.2">
      <c r="A677" s="32"/>
    </row>
    <row r="678" spans="1:1" x14ac:dyDescent="0.2">
      <c r="A678" s="32"/>
    </row>
    <row r="679" spans="1:1" x14ac:dyDescent="0.2">
      <c r="A679" s="32"/>
    </row>
    <row r="680" spans="1:1" x14ac:dyDescent="0.2">
      <c r="A680" s="32"/>
    </row>
    <row r="681" spans="1:1" x14ac:dyDescent="0.2">
      <c r="A681" s="32"/>
    </row>
    <row r="682" spans="1:1" x14ac:dyDescent="0.2">
      <c r="A682" s="32"/>
    </row>
    <row r="683" spans="1:1" x14ac:dyDescent="0.2">
      <c r="A683" s="32"/>
    </row>
    <row r="684" spans="1:1" x14ac:dyDescent="0.2">
      <c r="A684" s="32"/>
    </row>
    <row r="685" spans="1:1" x14ac:dyDescent="0.2">
      <c r="A685" s="32"/>
    </row>
    <row r="686" spans="1:1" x14ac:dyDescent="0.2">
      <c r="A686" s="32"/>
    </row>
    <row r="687" spans="1:1" x14ac:dyDescent="0.2">
      <c r="A687" s="32"/>
    </row>
    <row r="688" spans="1:1" x14ac:dyDescent="0.2">
      <c r="A688" s="32"/>
    </row>
    <row r="689" spans="1:1" x14ac:dyDescent="0.2">
      <c r="A689" s="32"/>
    </row>
    <row r="690" spans="1:1" x14ac:dyDescent="0.2">
      <c r="A690" s="32"/>
    </row>
    <row r="691" spans="1:1" x14ac:dyDescent="0.2">
      <c r="A691" s="32"/>
    </row>
    <row r="692" spans="1:1" x14ac:dyDescent="0.2">
      <c r="A692" s="32"/>
    </row>
    <row r="693" spans="1:1" x14ac:dyDescent="0.2">
      <c r="A693" s="32"/>
    </row>
    <row r="694" spans="1:1" x14ac:dyDescent="0.2">
      <c r="A694" s="32"/>
    </row>
    <row r="695" spans="1:1" x14ac:dyDescent="0.2">
      <c r="A695" s="32"/>
    </row>
    <row r="696" spans="1:1" x14ac:dyDescent="0.2">
      <c r="A696" s="32"/>
    </row>
    <row r="697" spans="1:1" x14ac:dyDescent="0.2">
      <c r="A697" s="32"/>
    </row>
    <row r="698" spans="1:1" x14ac:dyDescent="0.2">
      <c r="A698" s="32"/>
    </row>
    <row r="699" spans="1:1" x14ac:dyDescent="0.2">
      <c r="A699" s="32"/>
    </row>
    <row r="700" spans="1:1" x14ac:dyDescent="0.2">
      <c r="A700" s="32"/>
    </row>
    <row r="701" spans="1:1" x14ac:dyDescent="0.2">
      <c r="A701" s="32"/>
    </row>
    <row r="702" spans="1:1" x14ac:dyDescent="0.2">
      <c r="A702" s="32"/>
    </row>
    <row r="703" spans="1:1" x14ac:dyDescent="0.2">
      <c r="A703" s="32"/>
    </row>
    <row r="704" spans="1:1" x14ac:dyDescent="0.2">
      <c r="A704" s="32"/>
    </row>
    <row r="705" spans="1:1" x14ac:dyDescent="0.2">
      <c r="A705" s="32"/>
    </row>
    <row r="706" spans="1:1" x14ac:dyDescent="0.2">
      <c r="A706" s="32"/>
    </row>
    <row r="707" spans="1:1" x14ac:dyDescent="0.2">
      <c r="A707" s="32"/>
    </row>
    <row r="708" spans="1:1" x14ac:dyDescent="0.2">
      <c r="A708" s="32"/>
    </row>
    <row r="709" spans="1:1" x14ac:dyDescent="0.2">
      <c r="A709" s="32"/>
    </row>
    <row r="710" spans="1:1" x14ac:dyDescent="0.2">
      <c r="A710" s="32"/>
    </row>
    <row r="711" spans="1:1" x14ac:dyDescent="0.2">
      <c r="A711" s="32"/>
    </row>
    <row r="712" spans="1:1" x14ac:dyDescent="0.2">
      <c r="A712" s="32"/>
    </row>
    <row r="713" spans="1:1" x14ac:dyDescent="0.2">
      <c r="A713" s="32"/>
    </row>
    <row r="714" spans="1:1" x14ac:dyDescent="0.2">
      <c r="A714" s="32"/>
    </row>
    <row r="715" spans="1:1" x14ac:dyDescent="0.2">
      <c r="A715" s="32"/>
    </row>
    <row r="716" spans="1:1" x14ac:dyDescent="0.2">
      <c r="A716" s="32"/>
    </row>
    <row r="717" spans="1:1" x14ac:dyDescent="0.2">
      <c r="A717" s="32"/>
    </row>
    <row r="718" spans="1:1" x14ac:dyDescent="0.2">
      <c r="A718" s="32"/>
    </row>
    <row r="719" spans="1:1" x14ac:dyDescent="0.2">
      <c r="A719" s="32"/>
    </row>
    <row r="720" spans="1:1" x14ac:dyDescent="0.2">
      <c r="A720" s="32"/>
    </row>
    <row r="721" spans="1:1" x14ac:dyDescent="0.2">
      <c r="A721" s="32"/>
    </row>
    <row r="722" spans="1:1" x14ac:dyDescent="0.2">
      <c r="A722" s="32"/>
    </row>
    <row r="723" spans="1:1" x14ac:dyDescent="0.2">
      <c r="A723" s="32"/>
    </row>
    <row r="724" spans="1:1" x14ac:dyDescent="0.2">
      <c r="A724" s="32"/>
    </row>
    <row r="725" spans="1:1" x14ac:dyDescent="0.2">
      <c r="A725" s="32"/>
    </row>
    <row r="726" spans="1:1" x14ac:dyDescent="0.2">
      <c r="A726" s="32"/>
    </row>
    <row r="727" spans="1:1" x14ac:dyDescent="0.2">
      <c r="A727" s="32"/>
    </row>
    <row r="728" spans="1:1" x14ac:dyDescent="0.2">
      <c r="A728" s="32"/>
    </row>
    <row r="729" spans="1:1" x14ac:dyDescent="0.2">
      <c r="A729" s="32"/>
    </row>
    <row r="730" spans="1:1" x14ac:dyDescent="0.2">
      <c r="A730" s="32"/>
    </row>
    <row r="731" spans="1:1" x14ac:dyDescent="0.2">
      <c r="A731" s="32"/>
    </row>
    <row r="732" spans="1:1" x14ac:dyDescent="0.2">
      <c r="A732" s="32"/>
    </row>
    <row r="733" spans="1:1" x14ac:dyDescent="0.2">
      <c r="A733" s="32"/>
    </row>
    <row r="734" spans="1:1" x14ac:dyDescent="0.2">
      <c r="A734" s="32"/>
    </row>
    <row r="735" spans="1:1" x14ac:dyDescent="0.2">
      <c r="A735" s="32"/>
    </row>
    <row r="736" spans="1:1" x14ac:dyDescent="0.2">
      <c r="A736" s="32"/>
    </row>
    <row r="737" spans="1:1" x14ac:dyDescent="0.2">
      <c r="A737" s="32"/>
    </row>
    <row r="738" spans="1:1" x14ac:dyDescent="0.2">
      <c r="A738" s="32"/>
    </row>
    <row r="739" spans="1:1" x14ac:dyDescent="0.2">
      <c r="A739" s="32"/>
    </row>
    <row r="740" spans="1:1" x14ac:dyDescent="0.2">
      <c r="A740" s="32"/>
    </row>
    <row r="741" spans="1:1" x14ac:dyDescent="0.2">
      <c r="A741" s="32"/>
    </row>
    <row r="742" spans="1:1" x14ac:dyDescent="0.2">
      <c r="A742" s="32"/>
    </row>
    <row r="743" spans="1:1" x14ac:dyDescent="0.2">
      <c r="A743" s="32"/>
    </row>
    <row r="744" spans="1:1" x14ac:dyDescent="0.2">
      <c r="A744" s="32"/>
    </row>
    <row r="745" spans="1:1" x14ac:dyDescent="0.2">
      <c r="A745" s="32"/>
    </row>
    <row r="746" spans="1:1" x14ac:dyDescent="0.2">
      <c r="A746" s="32"/>
    </row>
    <row r="747" spans="1:1" x14ac:dyDescent="0.2">
      <c r="A747" s="32"/>
    </row>
    <row r="748" spans="1:1" x14ac:dyDescent="0.2">
      <c r="A748" s="32"/>
    </row>
    <row r="749" spans="1:1" x14ac:dyDescent="0.2">
      <c r="A749" s="32"/>
    </row>
    <row r="750" spans="1:1" x14ac:dyDescent="0.2">
      <c r="A750" s="32"/>
    </row>
    <row r="751" spans="1:1" x14ac:dyDescent="0.2">
      <c r="A751" s="32"/>
    </row>
    <row r="752" spans="1:1" x14ac:dyDescent="0.2">
      <c r="A752" s="32"/>
    </row>
    <row r="753" spans="1:1" x14ac:dyDescent="0.2">
      <c r="A753" s="32"/>
    </row>
    <row r="754" spans="1:1" x14ac:dyDescent="0.2">
      <c r="A754" s="32"/>
    </row>
    <row r="755" spans="1:1" x14ac:dyDescent="0.2">
      <c r="A755" s="32"/>
    </row>
    <row r="756" spans="1:1" x14ac:dyDescent="0.2">
      <c r="A756" s="32"/>
    </row>
    <row r="757" spans="1:1" x14ac:dyDescent="0.2">
      <c r="A757" s="32"/>
    </row>
    <row r="758" spans="1:1" x14ac:dyDescent="0.2">
      <c r="A758" s="32"/>
    </row>
    <row r="759" spans="1:1" x14ac:dyDescent="0.2">
      <c r="A759" s="32"/>
    </row>
    <row r="760" spans="1:1" x14ac:dyDescent="0.2">
      <c r="A760" s="32"/>
    </row>
    <row r="761" spans="1:1" x14ac:dyDescent="0.2">
      <c r="A761" s="32"/>
    </row>
    <row r="762" spans="1:1" x14ac:dyDescent="0.2">
      <c r="A762" s="32"/>
    </row>
    <row r="763" spans="1:1" x14ac:dyDescent="0.2">
      <c r="A763" s="32"/>
    </row>
    <row r="764" spans="1:1" x14ac:dyDescent="0.2">
      <c r="A764" s="32"/>
    </row>
    <row r="765" spans="1:1" x14ac:dyDescent="0.2">
      <c r="A765" s="32"/>
    </row>
    <row r="766" spans="1:1" x14ac:dyDescent="0.2">
      <c r="A766" s="32"/>
    </row>
    <row r="767" spans="1:1" x14ac:dyDescent="0.2">
      <c r="A767" s="32"/>
    </row>
    <row r="768" spans="1:1" x14ac:dyDescent="0.2">
      <c r="A768" s="32"/>
    </row>
    <row r="769" spans="1:1" x14ac:dyDescent="0.2">
      <c r="A769" s="32"/>
    </row>
    <row r="770" spans="1:1" x14ac:dyDescent="0.2">
      <c r="A770" s="32"/>
    </row>
    <row r="771" spans="1:1" x14ac:dyDescent="0.2">
      <c r="A771" s="32"/>
    </row>
    <row r="772" spans="1:1" x14ac:dyDescent="0.2">
      <c r="A772" s="32"/>
    </row>
    <row r="773" spans="1:1" x14ac:dyDescent="0.2">
      <c r="A773" s="32"/>
    </row>
    <row r="774" spans="1:1" x14ac:dyDescent="0.2">
      <c r="A774" s="32"/>
    </row>
    <row r="775" spans="1:1" x14ac:dyDescent="0.2">
      <c r="A775" s="32"/>
    </row>
    <row r="776" spans="1:1" x14ac:dyDescent="0.2">
      <c r="A776" s="32"/>
    </row>
    <row r="777" spans="1:1" x14ac:dyDescent="0.2">
      <c r="A777" s="32"/>
    </row>
    <row r="778" spans="1:1" x14ac:dyDescent="0.2">
      <c r="A778" s="32"/>
    </row>
    <row r="779" spans="1:1" x14ac:dyDescent="0.2">
      <c r="A779" s="32"/>
    </row>
    <row r="780" spans="1:1" x14ac:dyDescent="0.2">
      <c r="A780" s="32"/>
    </row>
    <row r="781" spans="1:1" x14ac:dyDescent="0.2">
      <c r="A781" s="32"/>
    </row>
    <row r="782" spans="1:1" x14ac:dyDescent="0.2">
      <c r="A782" s="32"/>
    </row>
    <row r="783" spans="1:1" x14ac:dyDescent="0.2">
      <c r="A783" s="32"/>
    </row>
    <row r="784" spans="1:1" x14ac:dyDescent="0.2">
      <c r="A784" s="32"/>
    </row>
    <row r="785" spans="1:1" x14ac:dyDescent="0.2">
      <c r="A785" s="32"/>
    </row>
    <row r="786" spans="1:1" x14ac:dyDescent="0.2">
      <c r="A786" s="32"/>
    </row>
    <row r="787" spans="1:1" x14ac:dyDescent="0.2">
      <c r="A787" s="32"/>
    </row>
    <row r="788" spans="1:1" x14ac:dyDescent="0.2">
      <c r="A788" s="32"/>
    </row>
    <row r="789" spans="1:1" x14ac:dyDescent="0.2">
      <c r="A789" s="32"/>
    </row>
    <row r="790" spans="1:1" x14ac:dyDescent="0.2">
      <c r="A790" s="32"/>
    </row>
    <row r="791" spans="1:1" x14ac:dyDescent="0.2">
      <c r="A791" s="32"/>
    </row>
    <row r="792" spans="1:1" x14ac:dyDescent="0.2">
      <c r="A792" s="32"/>
    </row>
    <row r="793" spans="1:1" x14ac:dyDescent="0.2">
      <c r="A793" s="32"/>
    </row>
    <row r="794" spans="1:1" x14ac:dyDescent="0.2">
      <c r="A794" s="32"/>
    </row>
    <row r="795" spans="1:1" x14ac:dyDescent="0.2">
      <c r="A795" s="32"/>
    </row>
    <row r="796" spans="1:1" x14ac:dyDescent="0.2">
      <c r="A796" s="32"/>
    </row>
    <row r="797" spans="1:1" x14ac:dyDescent="0.2">
      <c r="A797" s="32"/>
    </row>
    <row r="798" spans="1:1" x14ac:dyDescent="0.2">
      <c r="A798" s="32"/>
    </row>
    <row r="799" spans="1:1" x14ac:dyDescent="0.2">
      <c r="A799" s="32"/>
    </row>
    <row r="800" spans="1:1" x14ac:dyDescent="0.2">
      <c r="A800" s="32"/>
    </row>
    <row r="801" spans="1:1" x14ac:dyDescent="0.2">
      <c r="A801" s="32"/>
    </row>
    <row r="802" spans="1:1" x14ac:dyDescent="0.2">
      <c r="A802" s="32"/>
    </row>
    <row r="803" spans="1:1" x14ac:dyDescent="0.2">
      <c r="A803" s="32"/>
    </row>
    <row r="804" spans="1:1" x14ac:dyDescent="0.2">
      <c r="A804" s="32"/>
    </row>
    <row r="805" spans="1:1" x14ac:dyDescent="0.2">
      <c r="A805" s="32"/>
    </row>
    <row r="806" spans="1:1" x14ac:dyDescent="0.2">
      <c r="A806" s="32"/>
    </row>
    <row r="807" spans="1:1" x14ac:dyDescent="0.2">
      <c r="A807" s="32"/>
    </row>
    <row r="808" spans="1:1" x14ac:dyDescent="0.2">
      <c r="A808" s="32"/>
    </row>
    <row r="809" spans="1:1" x14ac:dyDescent="0.2">
      <c r="A809" s="32"/>
    </row>
    <row r="810" spans="1:1" x14ac:dyDescent="0.2">
      <c r="A810" s="32"/>
    </row>
    <row r="811" spans="1:1" x14ac:dyDescent="0.2">
      <c r="A811" s="32"/>
    </row>
    <row r="812" spans="1:1" x14ac:dyDescent="0.2">
      <c r="A812" s="32"/>
    </row>
    <row r="813" spans="1:1" x14ac:dyDescent="0.2">
      <c r="A813" s="32"/>
    </row>
    <row r="814" spans="1:1" x14ac:dyDescent="0.2">
      <c r="A814" s="32"/>
    </row>
    <row r="815" spans="1:1" x14ac:dyDescent="0.2">
      <c r="A815" s="32"/>
    </row>
    <row r="816" spans="1:1" x14ac:dyDescent="0.2">
      <c r="A816" s="32"/>
    </row>
    <row r="817" spans="1:1" x14ac:dyDescent="0.2">
      <c r="A817" s="32"/>
    </row>
    <row r="818" spans="1:1" x14ac:dyDescent="0.2">
      <c r="A818" s="32"/>
    </row>
    <row r="819" spans="1:1" x14ac:dyDescent="0.2">
      <c r="A819" s="32"/>
    </row>
    <row r="820" spans="1:1" x14ac:dyDescent="0.2">
      <c r="A820" s="32"/>
    </row>
    <row r="821" spans="1:1" x14ac:dyDescent="0.2">
      <c r="A821" s="32"/>
    </row>
    <row r="822" spans="1:1" x14ac:dyDescent="0.2">
      <c r="A822" s="32"/>
    </row>
    <row r="823" spans="1:1" x14ac:dyDescent="0.2">
      <c r="A823" s="32"/>
    </row>
    <row r="824" spans="1:1" x14ac:dyDescent="0.2">
      <c r="A824" s="32"/>
    </row>
    <row r="825" spans="1:1" x14ac:dyDescent="0.2">
      <c r="A825" s="32"/>
    </row>
    <row r="826" spans="1:1" x14ac:dyDescent="0.2">
      <c r="A826" s="32"/>
    </row>
    <row r="827" spans="1:1" x14ac:dyDescent="0.2">
      <c r="A827" s="32"/>
    </row>
    <row r="828" spans="1:1" x14ac:dyDescent="0.2">
      <c r="A828" s="32"/>
    </row>
    <row r="829" spans="1:1" x14ac:dyDescent="0.2">
      <c r="A829" s="32"/>
    </row>
    <row r="830" spans="1:1" x14ac:dyDescent="0.2">
      <c r="A830" s="32"/>
    </row>
    <row r="831" spans="1:1" x14ac:dyDescent="0.2">
      <c r="A831" s="32"/>
    </row>
    <row r="832" spans="1:1" x14ac:dyDescent="0.2">
      <c r="A832" s="32"/>
    </row>
    <row r="833" spans="1:1" x14ac:dyDescent="0.2">
      <c r="A833" s="32"/>
    </row>
    <row r="834" spans="1:1" x14ac:dyDescent="0.2">
      <c r="A834" s="32"/>
    </row>
    <row r="835" spans="1:1" x14ac:dyDescent="0.2">
      <c r="A835" s="32"/>
    </row>
    <row r="836" spans="1:1" x14ac:dyDescent="0.2">
      <c r="A836" s="32"/>
    </row>
    <row r="837" spans="1:1" x14ac:dyDescent="0.2">
      <c r="A837" s="32"/>
    </row>
    <row r="838" spans="1:1" x14ac:dyDescent="0.2">
      <c r="A838" s="32"/>
    </row>
    <row r="839" spans="1:1" x14ac:dyDescent="0.2">
      <c r="A839" s="32"/>
    </row>
    <row r="840" spans="1:1" x14ac:dyDescent="0.2">
      <c r="A840" s="32"/>
    </row>
    <row r="841" spans="1:1" x14ac:dyDescent="0.2">
      <c r="A841" s="32"/>
    </row>
    <row r="842" spans="1:1" x14ac:dyDescent="0.2">
      <c r="A842" s="32"/>
    </row>
    <row r="843" spans="1:1" x14ac:dyDescent="0.2">
      <c r="A843" s="32"/>
    </row>
    <row r="844" spans="1:1" x14ac:dyDescent="0.2">
      <c r="A844" s="32"/>
    </row>
    <row r="845" spans="1:1" x14ac:dyDescent="0.2">
      <c r="A845" s="32"/>
    </row>
    <row r="846" spans="1:1" x14ac:dyDescent="0.2">
      <c r="A846" s="32"/>
    </row>
    <row r="847" spans="1:1" x14ac:dyDescent="0.2">
      <c r="A847" s="32"/>
    </row>
    <row r="848" spans="1:1" x14ac:dyDescent="0.2">
      <c r="A848" s="32"/>
    </row>
    <row r="849" spans="1:1" x14ac:dyDescent="0.2">
      <c r="A849" s="32"/>
    </row>
    <row r="850" spans="1:1" x14ac:dyDescent="0.2">
      <c r="A850" s="32"/>
    </row>
    <row r="851" spans="1:1" x14ac:dyDescent="0.2">
      <c r="A851" s="32"/>
    </row>
    <row r="852" spans="1:1" x14ac:dyDescent="0.2">
      <c r="A852" s="32"/>
    </row>
    <row r="853" spans="1:1" x14ac:dyDescent="0.2">
      <c r="A853" s="32"/>
    </row>
    <row r="854" spans="1:1" x14ac:dyDescent="0.2">
      <c r="A854" s="32"/>
    </row>
    <row r="855" spans="1:1" x14ac:dyDescent="0.2">
      <c r="A855" s="32"/>
    </row>
    <row r="856" spans="1:1" x14ac:dyDescent="0.2">
      <c r="A856" s="32"/>
    </row>
    <row r="857" spans="1:1" x14ac:dyDescent="0.2">
      <c r="A857" s="32"/>
    </row>
    <row r="858" spans="1:1" x14ac:dyDescent="0.2">
      <c r="A858" s="32"/>
    </row>
    <row r="859" spans="1:1" x14ac:dyDescent="0.2">
      <c r="A859" s="32"/>
    </row>
    <row r="860" spans="1:1" x14ac:dyDescent="0.2">
      <c r="A860" s="32"/>
    </row>
    <row r="861" spans="1:1" x14ac:dyDescent="0.2">
      <c r="A861" s="32"/>
    </row>
    <row r="862" spans="1:1" x14ac:dyDescent="0.2">
      <c r="A862" s="32"/>
    </row>
    <row r="863" spans="1:1" x14ac:dyDescent="0.2">
      <c r="A863" s="32"/>
    </row>
    <row r="864" spans="1:1" x14ac:dyDescent="0.2">
      <c r="A864" s="32"/>
    </row>
    <row r="865" spans="1:1" x14ac:dyDescent="0.2">
      <c r="A865" s="32"/>
    </row>
    <row r="866" spans="1:1" x14ac:dyDescent="0.2">
      <c r="A866" s="32"/>
    </row>
    <row r="867" spans="1:1" x14ac:dyDescent="0.2">
      <c r="A867" s="32"/>
    </row>
    <row r="868" spans="1:1" x14ac:dyDescent="0.2">
      <c r="A868" s="32"/>
    </row>
    <row r="869" spans="1:1" x14ac:dyDescent="0.2">
      <c r="A869" s="32"/>
    </row>
    <row r="870" spans="1:1" x14ac:dyDescent="0.2">
      <c r="A870" s="32"/>
    </row>
    <row r="871" spans="1:1" x14ac:dyDescent="0.2">
      <c r="A871" s="32"/>
    </row>
    <row r="872" spans="1:1" x14ac:dyDescent="0.2">
      <c r="A872" s="32"/>
    </row>
    <row r="873" spans="1:1" x14ac:dyDescent="0.2">
      <c r="A873" s="32"/>
    </row>
    <row r="874" spans="1:1" x14ac:dyDescent="0.2">
      <c r="A874" s="32"/>
    </row>
    <row r="875" spans="1:1" x14ac:dyDescent="0.2">
      <c r="A875" s="32"/>
    </row>
    <row r="876" spans="1:1" x14ac:dyDescent="0.2">
      <c r="A876" s="32"/>
    </row>
    <row r="877" spans="1:1" x14ac:dyDescent="0.2">
      <c r="A877" s="32"/>
    </row>
    <row r="878" spans="1:1" x14ac:dyDescent="0.2">
      <c r="A878" s="32"/>
    </row>
    <row r="879" spans="1:1" x14ac:dyDescent="0.2">
      <c r="A879" s="32"/>
    </row>
    <row r="880" spans="1:1" x14ac:dyDescent="0.2">
      <c r="A880" s="32"/>
    </row>
    <row r="881" spans="1:1" x14ac:dyDescent="0.2">
      <c r="A881" s="32"/>
    </row>
    <row r="882" spans="1:1" x14ac:dyDescent="0.2">
      <c r="A882" s="32"/>
    </row>
    <row r="883" spans="1:1" x14ac:dyDescent="0.2">
      <c r="A883" s="32"/>
    </row>
    <row r="884" spans="1:1" x14ac:dyDescent="0.2">
      <c r="A884" s="32"/>
    </row>
    <row r="885" spans="1:1" x14ac:dyDescent="0.2">
      <c r="A885" s="32"/>
    </row>
    <row r="886" spans="1:1" x14ac:dyDescent="0.2">
      <c r="A886" s="32"/>
    </row>
    <row r="887" spans="1:1" x14ac:dyDescent="0.2">
      <c r="A887" s="32"/>
    </row>
    <row r="888" spans="1:1" x14ac:dyDescent="0.2">
      <c r="A888" s="32"/>
    </row>
    <row r="889" spans="1:1" x14ac:dyDescent="0.2">
      <c r="A889" s="32"/>
    </row>
    <row r="890" spans="1:1" x14ac:dyDescent="0.2">
      <c r="A890" s="32"/>
    </row>
    <row r="891" spans="1:1" x14ac:dyDescent="0.2">
      <c r="A891" s="32"/>
    </row>
    <row r="892" spans="1:1" x14ac:dyDescent="0.2">
      <c r="A892" s="32"/>
    </row>
    <row r="893" spans="1:1" x14ac:dyDescent="0.2">
      <c r="A893" s="32"/>
    </row>
    <row r="894" spans="1:1" x14ac:dyDescent="0.2">
      <c r="A894" s="32"/>
    </row>
    <row r="895" spans="1:1" x14ac:dyDescent="0.2">
      <c r="A895" s="32"/>
    </row>
    <row r="896" spans="1:1" x14ac:dyDescent="0.2">
      <c r="A896" s="32"/>
    </row>
    <row r="897" spans="1:1" x14ac:dyDescent="0.2">
      <c r="A897" s="32"/>
    </row>
    <row r="898" spans="1:1" x14ac:dyDescent="0.2">
      <c r="A898" s="32"/>
    </row>
    <row r="899" spans="1:1" x14ac:dyDescent="0.2">
      <c r="A899" s="32"/>
    </row>
    <row r="900" spans="1:1" x14ac:dyDescent="0.2">
      <c r="A900" s="32"/>
    </row>
    <row r="901" spans="1:1" x14ac:dyDescent="0.2">
      <c r="A901" s="32"/>
    </row>
    <row r="902" spans="1:1" x14ac:dyDescent="0.2">
      <c r="A902" s="32"/>
    </row>
    <row r="903" spans="1:1" x14ac:dyDescent="0.2">
      <c r="A903" s="32"/>
    </row>
    <row r="904" spans="1:1" x14ac:dyDescent="0.2">
      <c r="A904" s="32"/>
    </row>
    <row r="905" spans="1:1" x14ac:dyDescent="0.2">
      <c r="A905" s="32"/>
    </row>
    <row r="906" spans="1:1" x14ac:dyDescent="0.2">
      <c r="A906" s="32"/>
    </row>
    <row r="907" spans="1:1" x14ac:dyDescent="0.2">
      <c r="A907" s="32"/>
    </row>
    <row r="908" spans="1:1" x14ac:dyDescent="0.2">
      <c r="A908" s="32"/>
    </row>
    <row r="909" spans="1:1" x14ac:dyDescent="0.2">
      <c r="A909" s="32"/>
    </row>
    <row r="910" spans="1:1" x14ac:dyDescent="0.2">
      <c r="A910" s="32"/>
    </row>
    <row r="911" spans="1:1" x14ac:dyDescent="0.2">
      <c r="A911" s="32"/>
    </row>
    <row r="912" spans="1:1" x14ac:dyDescent="0.2">
      <c r="A912" s="32"/>
    </row>
    <row r="913" spans="1:1" x14ac:dyDescent="0.2">
      <c r="A913" s="32"/>
    </row>
    <row r="914" spans="1:1" x14ac:dyDescent="0.2">
      <c r="A914" s="32"/>
    </row>
    <row r="915" spans="1:1" x14ac:dyDescent="0.2">
      <c r="A915" s="32"/>
    </row>
    <row r="916" spans="1:1" x14ac:dyDescent="0.2">
      <c r="A916" s="32"/>
    </row>
    <row r="917" spans="1:1" x14ac:dyDescent="0.2">
      <c r="A917" s="32"/>
    </row>
    <row r="918" spans="1:1" x14ac:dyDescent="0.2">
      <c r="A918" s="32"/>
    </row>
    <row r="919" spans="1:1" x14ac:dyDescent="0.2">
      <c r="A919" s="32"/>
    </row>
    <row r="920" spans="1:1" x14ac:dyDescent="0.2">
      <c r="A920" s="32"/>
    </row>
    <row r="921" spans="1:1" x14ac:dyDescent="0.2">
      <c r="A921" s="32"/>
    </row>
    <row r="922" spans="1:1" x14ac:dyDescent="0.2">
      <c r="A922" s="32"/>
    </row>
    <row r="923" spans="1:1" x14ac:dyDescent="0.2">
      <c r="A923" s="32"/>
    </row>
    <row r="924" spans="1:1" x14ac:dyDescent="0.2">
      <c r="A924" s="32"/>
    </row>
    <row r="925" spans="1:1" x14ac:dyDescent="0.2">
      <c r="A925" s="32"/>
    </row>
    <row r="926" spans="1:1" x14ac:dyDescent="0.2">
      <c r="A926" s="32"/>
    </row>
    <row r="927" spans="1:1" x14ac:dyDescent="0.2">
      <c r="A927" s="32"/>
    </row>
    <row r="928" spans="1:1" x14ac:dyDescent="0.2">
      <c r="A928" s="32"/>
    </row>
    <row r="929" spans="1:1" x14ac:dyDescent="0.2">
      <c r="A929" s="32"/>
    </row>
    <row r="930" spans="1:1" x14ac:dyDescent="0.2">
      <c r="A930" s="32"/>
    </row>
    <row r="931" spans="1:1" x14ac:dyDescent="0.2">
      <c r="A931" s="32"/>
    </row>
    <row r="932" spans="1:1" x14ac:dyDescent="0.2">
      <c r="A932" s="32"/>
    </row>
    <row r="933" spans="1:1" x14ac:dyDescent="0.2">
      <c r="A933" s="32"/>
    </row>
    <row r="934" spans="1:1" x14ac:dyDescent="0.2">
      <c r="A934" s="32"/>
    </row>
    <row r="935" spans="1:1" x14ac:dyDescent="0.2">
      <c r="A935" s="32"/>
    </row>
    <row r="936" spans="1:1" x14ac:dyDescent="0.2">
      <c r="A936" s="32"/>
    </row>
    <row r="937" spans="1:1" x14ac:dyDescent="0.2">
      <c r="A937" s="32"/>
    </row>
    <row r="938" spans="1:1" x14ac:dyDescent="0.2">
      <c r="A938" s="32"/>
    </row>
    <row r="939" spans="1:1" x14ac:dyDescent="0.2">
      <c r="A939" s="32"/>
    </row>
    <row r="940" spans="1:1" x14ac:dyDescent="0.2">
      <c r="A940" s="32"/>
    </row>
    <row r="941" spans="1:1" x14ac:dyDescent="0.2">
      <c r="A941" s="32"/>
    </row>
    <row r="942" spans="1:1" x14ac:dyDescent="0.2">
      <c r="A942" s="32"/>
    </row>
    <row r="943" spans="1:1" x14ac:dyDescent="0.2">
      <c r="A943" s="32"/>
    </row>
    <row r="944" spans="1:1" x14ac:dyDescent="0.2">
      <c r="A944" s="32"/>
    </row>
    <row r="945" spans="1:1" x14ac:dyDescent="0.2">
      <c r="A945" s="32"/>
    </row>
    <row r="946" spans="1:1" x14ac:dyDescent="0.2">
      <c r="A946" s="32"/>
    </row>
    <row r="947" spans="1:1" x14ac:dyDescent="0.2">
      <c r="A947" s="32"/>
    </row>
    <row r="948" spans="1:1" x14ac:dyDescent="0.2">
      <c r="A948" s="32"/>
    </row>
    <row r="949" spans="1:1" x14ac:dyDescent="0.2">
      <c r="A949" s="32"/>
    </row>
    <row r="950" spans="1:1" x14ac:dyDescent="0.2">
      <c r="A950" s="32"/>
    </row>
    <row r="951" spans="1:1" x14ac:dyDescent="0.2">
      <c r="A951" s="32"/>
    </row>
    <row r="952" spans="1:1" x14ac:dyDescent="0.2">
      <c r="A952" s="32"/>
    </row>
    <row r="953" spans="1:1" x14ac:dyDescent="0.2">
      <c r="A953" s="32"/>
    </row>
    <row r="954" spans="1:1" x14ac:dyDescent="0.2">
      <c r="A954" s="32"/>
    </row>
    <row r="955" spans="1:1" x14ac:dyDescent="0.2">
      <c r="A955" s="32"/>
    </row>
    <row r="956" spans="1:1" x14ac:dyDescent="0.2">
      <c r="A956" s="32"/>
    </row>
    <row r="957" spans="1:1" x14ac:dyDescent="0.2">
      <c r="A957" s="32"/>
    </row>
    <row r="958" spans="1:1" x14ac:dyDescent="0.2">
      <c r="A958" s="32"/>
    </row>
    <row r="959" spans="1:1" x14ac:dyDescent="0.2">
      <c r="A959" s="32"/>
    </row>
    <row r="960" spans="1:1" x14ac:dyDescent="0.2">
      <c r="A960" s="32"/>
    </row>
    <row r="961" spans="1:1" x14ac:dyDescent="0.2">
      <c r="A961" s="32"/>
    </row>
    <row r="962" spans="1:1" x14ac:dyDescent="0.2">
      <c r="A962" s="32"/>
    </row>
    <row r="963" spans="1:1" x14ac:dyDescent="0.2">
      <c r="A963" s="32"/>
    </row>
    <row r="964" spans="1:1" x14ac:dyDescent="0.2">
      <c r="A964" s="32"/>
    </row>
    <row r="965" spans="1:1" x14ac:dyDescent="0.2">
      <c r="A965" s="32"/>
    </row>
    <row r="966" spans="1:1" x14ac:dyDescent="0.2">
      <c r="A966" s="32"/>
    </row>
    <row r="967" spans="1:1" x14ac:dyDescent="0.2">
      <c r="A967" s="32"/>
    </row>
    <row r="968" spans="1:1" x14ac:dyDescent="0.2">
      <c r="A968" s="32"/>
    </row>
    <row r="969" spans="1:1" x14ac:dyDescent="0.2">
      <c r="A969" s="32"/>
    </row>
    <row r="970" spans="1:1" x14ac:dyDescent="0.2">
      <c r="A970" s="32"/>
    </row>
    <row r="971" spans="1:1" x14ac:dyDescent="0.2">
      <c r="A971" s="32"/>
    </row>
    <row r="972" spans="1:1" x14ac:dyDescent="0.2">
      <c r="A972" s="32"/>
    </row>
    <row r="973" spans="1:1" x14ac:dyDescent="0.2">
      <c r="A973" s="32"/>
    </row>
    <row r="974" spans="1:1" x14ac:dyDescent="0.2">
      <c r="A974" s="32"/>
    </row>
    <row r="975" spans="1:1" x14ac:dyDescent="0.2">
      <c r="A975" s="32"/>
    </row>
    <row r="976" spans="1:1" x14ac:dyDescent="0.2">
      <c r="A976" s="32"/>
    </row>
    <row r="977" spans="1:1" x14ac:dyDescent="0.2">
      <c r="A977" s="32"/>
    </row>
    <row r="978" spans="1:1" x14ac:dyDescent="0.2">
      <c r="A978" s="32"/>
    </row>
    <row r="979" spans="1:1" x14ac:dyDescent="0.2">
      <c r="A979" s="32"/>
    </row>
    <row r="980" spans="1:1" x14ac:dyDescent="0.2">
      <c r="A980" s="32"/>
    </row>
    <row r="981" spans="1:1" x14ac:dyDescent="0.2">
      <c r="A981" s="32"/>
    </row>
    <row r="982" spans="1:1" x14ac:dyDescent="0.2">
      <c r="A982" s="32"/>
    </row>
    <row r="983" spans="1:1" x14ac:dyDescent="0.2">
      <c r="A983" s="32"/>
    </row>
    <row r="984" spans="1:1" x14ac:dyDescent="0.2">
      <c r="A984" s="32"/>
    </row>
    <row r="985" spans="1:1" x14ac:dyDescent="0.2">
      <c r="A985" s="32"/>
    </row>
    <row r="986" spans="1:1" x14ac:dyDescent="0.2">
      <c r="A986" s="32"/>
    </row>
    <row r="987" spans="1:1" x14ac:dyDescent="0.2">
      <c r="A987" s="32"/>
    </row>
    <row r="988" spans="1:1" x14ac:dyDescent="0.2">
      <c r="A988" s="32"/>
    </row>
    <row r="989" spans="1:1" x14ac:dyDescent="0.2">
      <c r="A989" s="32"/>
    </row>
    <row r="990" spans="1:1" x14ac:dyDescent="0.2">
      <c r="A990" s="32"/>
    </row>
    <row r="991" spans="1:1" x14ac:dyDescent="0.2">
      <c r="A991" s="32"/>
    </row>
    <row r="992" spans="1:1" x14ac:dyDescent="0.2">
      <c r="A992" s="32"/>
    </row>
    <row r="993" spans="1:1" x14ac:dyDescent="0.2">
      <c r="A993" s="32"/>
    </row>
    <row r="994" spans="1:1" x14ac:dyDescent="0.2">
      <c r="A994" s="32"/>
    </row>
    <row r="995" spans="1:1" x14ac:dyDescent="0.2">
      <c r="A995" s="32"/>
    </row>
    <row r="996" spans="1:1" x14ac:dyDescent="0.2">
      <c r="A996" s="32"/>
    </row>
    <row r="997" spans="1:1" x14ac:dyDescent="0.2">
      <c r="A997" s="32"/>
    </row>
    <row r="998" spans="1:1" x14ac:dyDescent="0.2">
      <c r="A998" s="32"/>
    </row>
    <row r="999" spans="1:1" x14ac:dyDescent="0.2">
      <c r="A999" s="32"/>
    </row>
    <row r="1000" spans="1:1" x14ac:dyDescent="0.2">
      <c r="A1000" s="32"/>
    </row>
    <row r="1001" spans="1:1" x14ac:dyDescent="0.2">
      <c r="A1001" s="32"/>
    </row>
    <row r="1002" spans="1:1" x14ac:dyDescent="0.2">
      <c r="A1002" s="32"/>
    </row>
    <row r="1003" spans="1:1" x14ac:dyDescent="0.2">
      <c r="A1003" s="32"/>
    </row>
    <row r="1004" spans="1:1" x14ac:dyDescent="0.2">
      <c r="A1004" s="32"/>
    </row>
    <row r="1005" spans="1:1" x14ac:dyDescent="0.2">
      <c r="A1005" s="32"/>
    </row>
    <row r="1006" spans="1:1" x14ac:dyDescent="0.2">
      <c r="A1006" s="32"/>
    </row>
    <row r="1007" spans="1:1" x14ac:dyDescent="0.2">
      <c r="A1007" s="32"/>
    </row>
    <row r="1008" spans="1:1" x14ac:dyDescent="0.2">
      <c r="A1008" s="32"/>
    </row>
    <row r="1009" spans="1:1" x14ac:dyDescent="0.2">
      <c r="A1009" s="32"/>
    </row>
    <row r="1010" spans="1:1" x14ac:dyDescent="0.2">
      <c r="A1010" s="32"/>
    </row>
    <row r="1011" spans="1:1" x14ac:dyDescent="0.2">
      <c r="A1011" s="32"/>
    </row>
    <row r="1012" spans="1:1" x14ac:dyDescent="0.2">
      <c r="A1012" s="32"/>
    </row>
    <row r="1013" spans="1:1" x14ac:dyDescent="0.2">
      <c r="A1013" s="32"/>
    </row>
    <row r="1014" spans="1:1" x14ac:dyDescent="0.2">
      <c r="A1014" s="32"/>
    </row>
    <row r="1015" spans="1:1" x14ac:dyDescent="0.2">
      <c r="A1015" s="32"/>
    </row>
    <row r="1016" spans="1:1" x14ac:dyDescent="0.2">
      <c r="A1016" s="32"/>
    </row>
    <row r="1017" spans="1:1" x14ac:dyDescent="0.2">
      <c r="A1017" s="32"/>
    </row>
    <row r="1018" spans="1:1" x14ac:dyDescent="0.2">
      <c r="A1018" s="32"/>
    </row>
    <row r="1019" spans="1:1" x14ac:dyDescent="0.2">
      <c r="A1019" s="32"/>
    </row>
    <row r="1020" spans="1:1" x14ac:dyDescent="0.2">
      <c r="A1020" s="32"/>
    </row>
    <row r="1021" spans="1:1" x14ac:dyDescent="0.2">
      <c r="A1021" s="32"/>
    </row>
    <row r="1022" spans="1:1" x14ac:dyDescent="0.2">
      <c r="A1022" s="32"/>
    </row>
    <row r="1023" spans="1:1" x14ac:dyDescent="0.2">
      <c r="A1023" s="32"/>
    </row>
    <row r="1024" spans="1:1" x14ac:dyDescent="0.2">
      <c r="A1024" s="32"/>
    </row>
    <row r="1025" spans="1:1" x14ac:dyDescent="0.2">
      <c r="A1025" s="32"/>
    </row>
    <row r="1026" spans="1:1" x14ac:dyDescent="0.2">
      <c r="A1026" s="32"/>
    </row>
    <row r="1027" spans="1:1" x14ac:dyDescent="0.2">
      <c r="A1027" s="32"/>
    </row>
  </sheetData>
  <sortState xmlns:xlrd2="http://schemas.microsoft.com/office/spreadsheetml/2017/richdata2" ref="A2:C1128">
    <sortCondition ref="A2:A112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BOM</vt:lpstr>
      <vt:lpstr>Uni-strut cuts</vt:lpstr>
      <vt:lpstr>Fasteners, racks</vt:lpstr>
      <vt:lpstr>Sheet3</vt:lpstr>
      <vt:lpstr>Sheet5</vt:lpstr>
      <vt:lpstr>Sheet1 (2)</vt:lpstr>
      <vt:lpstr>Sheet2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</dc:creator>
  <cp:lastModifiedBy>Jeremy W Simmons</cp:lastModifiedBy>
  <dcterms:created xsi:type="dcterms:W3CDTF">2023-08-01T17:58:31Z</dcterms:created>
  <dcterms:modified xsi:type="dcterms:W3CDTF">2025-11-26T18:39:41Z</dcterms:modified>
</cp:coreProperties>
</file>