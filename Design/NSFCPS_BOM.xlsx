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" sheetId="1" r:id="rId4"/>
    <sheet state="visible" name="Uni-strut cuts" sheetId="2" r:id="rId5"/>
    <sheet state="visible" name="Fasteners, racks" sheetId="3" r:id="rId6"/>
    <sheet state="visible" name="Sheet3" sheetId="4" r:id="rId7"/>
    <sheet state="visible" name="Sheet5" sheetId="5" r:id="rId8"/>
    <sheet state="visible" name="Sheet1 (2)" sheetId="6" r:id="rId9"/>
    <sheet state="visible" name="Sheet2" sheetId="7" r:id="rId10"/>
    <sheet state="visible" name="Sheet4" sheetId="8" r:id="rId11"/>
  </sheets>
  <definedNames/>
  <calcPr/>
  <extLst>
    <ext uri="GoogleSheetsCustomDataVersion2">
      <go:sheetsCustomData xmlns:go="http://customooxmlschemas.google.com/" r:id="rId12" roundtripDataChecksum="HT/5OVoVh8/7SCL5I5NSadwmIPx1hM0d1GKPCAjLYSU="/>
    </ext>
  </extLst>
</workbook>
</file>

<file path=xl/sharedStrings.xml><?xml version="1.0" encoding="utf-8"?>
<sst xmlns="http://schemas.openxmlformats.org/spreadsheetml/2006/main" count="2314" uniqueCount="851">
  <si>
    <t>Part Name</t>
  </si>
  <si>
    <t>Material Cost per Unit</t>
  </si>
  <si>
    <t>QTY</t>
  </si>
  <si>
    <t>Total Cost</t>
  </si>
  <si>
    <t>Purchase Date</t>
  </si>
  <si>
    <t>Supplier</t>
  </si>
  <si>
    <t>Supplier PN</t>
  </si>
  <si>
    <t>Manufacturer</t>
  </si>
  <si>
    <t>MPN (Manufacturer Part Number)</t>
  </si>
  <si>
    <t>Note</t>
  </si>
  <si>
    <t>Fluid stream handling</t>
  </si>
  <si>
    <t>Bulk hose</t>
  </si>
  <si>
    <t>R4-16 | 1" SAE 100R4 Suction Hose (by the foot) (1.43" OD)</t>
  </si>
  <si>
    <t>Discount hydraulic hose</t>
  </si>
  <si>
    <t>R16-12 | 3/4" SAE 100R16 Hydraulic Hose (by the foot)</t>
  </si>
  <si>
    <t>R16-08 | 1/2" SAE 100R16 Hydraulic Hose (by the foot)</t>
  </si>
  <si>
    <t>High-Pressure Soft PVC Plastic Tubing, 1" ID, 1-19/64" OD</t>
  </si>
  <si>
    <t>McMaster</t>
  </si>
  <si>
    <t>52375K17</t>
  </si>
  <si>
    <t>Water Hose, 3/4" ID, 1-1/8" OD (by the foot)</t>
  </si>
  <si>
    <t>7879N43</t>
  </si>
  <si>
    <t>Water Hose, 1/2" ID, 13/16" OD (by the foot)</t>
  </si>
  <si>
    <t>7879N29</t>
  </si>
  <si>
    <t>Worm-Drive Clamps, 1/2" Band Width, 11/16" to 1-1/4" Clamp ID, 10pk</t>
  </si>
  <si>
    <t>5415K14</t>
  </si>
  <si>
    <t>Hydraulic Hose Support Clamp, 1-1/2" max OD</t>
  </si>
  <si>
    <t>Grainger</t>
  </si>
  <si>
    <t>38YR73</t>
  </si>
  <si>
    <t>Hydraulic Hose Support Clamp, 1-1/2" max OD, 10pk</t>
  </si>
  <si>
    <t>mcmaster</t>
  </si>
  <si>
    <t>8863T21</t>
  </si>
  <si>
    <t>Hydraulic Hose Support Clamp, 1-3/16" max OD</t>
  </si>
  <si>
    <t>38YR71</t>
  </si>
  <si>
    <t>Hydraulic Hose Support Clamp, 1-1/4" max OD, 10pk</t>
  </si>
  <si>
    <t>3225T14</t>
  </si>
  <si>
    <t>Hydraulic Hose Support Clamp, multi line 1-1/8" max OD, 5pk</t>
  </si>
  <si>
    <t>3225T215</t>
  </si>
  <si>
    <t>Misc. fittings</t>
  </si>
  <si>
    <t>SS-304C-06 | 3/8" JIC Cap (Stainless)</t>
  </si>
  <si>
    <t>SS-304C-08 | 1/2" JIC Cap (Stainless)</t>
  </si>
  <si>
    <t>SS-304C-12 | 3/4" JIC Cap (Stainless)</t>
  </si>
  <si>
    <t>Storage</t>
  </si>
  <si>
    <t>150 gallon 45 degree conical bottom tank with tank stand</t>
  </si>
  <si>
    <t>Tank dealer</t>
  </si>
  <si>
    <t>N/A</t>
  </si>
  <si>
    <t>Acquired from Novus Technical parts lot</t>
  </si>
  <si>
    <t>Banjo UV-125-FP</t>
  </si>
  <si>
    <t xml:space="preserve">Novus Technical </t>
  </si>
  <si>
    <t>Banjo RN150-125</t>
  </si>
  <si>
    <t>Amazon</t>
  </si>
  <si>
    <t>Banjo HB125-100</t>
  </si>
  <si>
    <t>Banjo HB100-90</t>
  </si>
  <si>
    <t>Banjo HB100/075-90</t>
  </si>
  <si>
    <t xml:space="preserve">42 Gallon RV Concession Fresh and Gray Water Holding Tank | T-4200 </t>
  </si>
  <si>
    <t>Plastic Hydraulic Breather Cap 3/4" NPT HBF12P</t>
  </si>
  <si>
    <t>Banjo RB150-100</t>
  </si>
  <si>
    <t>Banjo SL150-90</t>
  </si>
  <si>
    <t>Banjo PLUG050</t>
  </si>
  <si>
    <t>1MKA1</t>
  </si>
  <si>
    <t>Banjo EL075-90</t>
  </si>
  <si>
    <t>amazon</t>
  </si>
  <si>
    <t>Banjo RN075-050</t>
  </si>
  <si>
    <t>1MKE2</t>
  </si>
  <si>
    <t>Intake Manifold</t>
  </si>
  <si>
    <t>Banjo V-150-SL</t>
  </si>
  <si>
    <t>Banjo TEE100</t>
  </si>
  <si>
    <t>Banjo RN150-100</t>
  </si>
  <si>
    <t>Banjo NIP100-SH</t>
  </si>
  <si>
    <t>Banjo HB150-100</t>
  </si>
  <si>
    <t>Banjo HB100</t>
  </si>
  <si>
    <t>Cooling</t>
  </si>
  <si>
    <t>ECO Plus 1/2 HP Chiller</t>
  </si>
  <si>
    <t>Horticulture Source</t>
  </si>
  <si>
    <t>EcoPlus</t>
  </si>
  <si>
    <t>1/2 HP water chiller</t>
  </si>
  <si>
    <t>1/3 HP Transfer Pump</t>
  </si>
  <si>
    <t>Mcmaster</t>
  </si>
  <si>
    <t>4320K81</t>
  </si>
  <si>
    <t>Banjo CV100, Low pressure check valve, cooling circulator outlet</t>
  </si>
  <si>
    <t>BANJO</t>
  </si>
  <si>
    <t>CV100</t>
  </si>
  <si>
    <t>Banjo RN100-050</t>
  </si>
  <si>
    <t>Banjo HB075-100</t>
  </si>
  <si>
    <t>3/4" 90deg street elbow, 304SS, LOW-PRESSURE</t>
  </si>
  <si>
    <t>B08Z72YBZ2</t>
  </si>
  <si>
    <t>Bonsicoky</t>
  </si>
  <si>
    <t>JIAWONG210317004</t>
  </si>
  <si>
    <t>For Oil cooler water fittings</t>
  </si>
  <si>
    <t>Filtering</t>
  </si>
  <si>
    <t>Filter &amp; Housing</t>
  </si>
  <si>
    <t>43715K35, 4411K923</t>
  </si>
  <si>
    <t>Banjo HB075/100-90</t>
  </si>
  <si>
    <t>Threaded-Rod-Mount Clamping Hanger, 3.5" ID for 3" pipe</t>
  </si>
  <si>
    <t>2615T24</t>
  </si>
  <si>
    <t>Strut Channel Bracket, U-shaped</t>
  </si>
  <si>
    <t>Low-Pressure Manifold</t>
  </si>
  <si>
    <t>Banjo CR100</t>
  </si>
  <si>
    <t>Banjo TEE075</t>
  </si>
  <si>
    <t>Banjo NIP075-SH</t>
  </si>
  <si>
    <t>Banjo RB100-050</t>
  </si>
  <si>
    <t>Banjo RB075-025</t>
  </si>
  <si>
    <t>Banjo RN100-075</t>
  </si>
  <si>
    <t>ordered 1 extra</t>
  </si>
  <si>
    <t>Banjo HB100-075</t>
  </si>
  <si>
    <t>Banjo HB075</t>
  </si>
  <si>
    <t>Banjo HB075-90</t>
  </si>
  <si>
    <t>Banjo HB050-90</t>
  </si>
  <si>
    <t>Banjo HB075/050-90</t>
  </si>
  <si>
    <t>Unused, Ordered by mistake</t>
  </si>
  <si>
    <t>Banjo HB050/075-90</t>
  </si>
  <si>
    <t>3DTP9</t>
  </si>
  <si>
    <t>3DTR9</t>
  </si>
  <si>
    <t>Banjo</t>
  </si>
  <si>
    <t>RN075-050</t>
  </si>
  <si>
    <t>Pressure Gauge Snubber</t>
  </si>
  <si>
    <t>4072K9</t>
  </si>
  <si>
    <t>Bushing Adapter 316SS , 3/4 NPT Male x 1/2 NPT Female</t>
  </si>
  <si>
    <t>4443K734</t>
  </si>
  <si>
    <t>Low-Pressure return</t>
  </si>
  <si>
    <t xml:space="preserve">Koflo 1-40C-4-6-2 Clear PVC Schedule 40 Pipe Mixer; 1" NPT(M), 6 Elements </t>
  </si>
  <si>
    <t>Koflo</t>
  </si>
  <si>
    <t>1-40C-4-6-2</t>
  </si>
  <si>
    <t>Banjo V-075-SL</t>
  </si>
  <si>
    <t>ordered one extra</t>
  </si>
  <si>
    <t>not used, used HB075-90 instead</t>
  </si>
  <si>
    <t>Banjo CPLG075</t>
  </si>
  <si>
    <t>Banjo HBF100</t>
  </si>
  <si>
    <t>Sch. 80 PVC adaptor 3/4"socket to 3/4"NPT female</t>
  </si>
  <si>
    <t>McMaster-Carr</t>
  </si>
  <si>
    <t>4596K845</t>
  </si>
  <si>
    <t>Sch, 80 PVC 3/4" pipe (5ft)</t>
  </si>
  <si>
    <t>48855K22</t>
  </si>
  <si>
    <t>Sch, 80 PVC inline reducing tee, 3/4" socket w/ 1/2" NPT branch</t>
  </si>
  <si>
    <t>4596K211</t>
  </si>
  <si>
    <t>Pipe Cement for Plastic Pipe</t>
  </si>
  <si>
    <t>74605A24</t>
  </si>
  <si>
    <t>Banjo SL100-90</t>
  </si>
  <si>
    <t>Low-pressure Manifold Mounting</t>
  </si>
  <si>
    <t>Backplate</t>
  </si>
  <si>
    <t>in lab stock</t>
  </si>
  <si>
    <t>Clamping U-Bolt, 1 7/8in ID</t>
  </si>
  <si>
    <t>3042T91</t>
  </si>
  <si>
    <t xml:space="preserve">Rubber strip, adhesive-backed, 3/4"x10'x3/32" </t>
  </si>
  <si>
    <t>56DC59</t>
  </si>
  <si>
    <t>U-bolt, 1.5in ID</t>
  </si>
  <si>
    <t>3043T646</t>
  </si>
  <si>
    <t>2 unused</t>
  </si>
  <si>
    <t>Z-shaped Uni-strut bracket, for ball-valve bracket, 2-7/16" unistrut, 2-3/4' offset, 1/4" thick</t>
  </si>
  <si>
    <t>33125T55</t>
  </si>
  <si>
    <t>1/4"-20 x 1/2" Hex Drive Button Socket Cap Screw</t>
  </si>
  <si>
    <t>Fastenal</t>
  </si>
  <si>
    <t>U-bolt, 1.75in ID</t>
  </si>
  <si>
    <t>3043T647</t>
  </si>
  <si>
    <t>Hex nuts, Grade 8, 1/4"-20, 100pk</t>
  </si>
  <si>
    <t>94895A029</t>
  </si>
  <si>
    <t>1/8 in spacer for z shaped bracket</t>
  </si>
  <si>
    <t>High-Pressure Manifold, upstream of  orifice plate</t>
  </si>
  <si>
    <t>SS-5652-16-16-16-16 - 1" Female Pipe Cross</t>
  </si>
  <si>
    <t>SS-5652-12-12-12-12 - 3/4" Female Pipe Cross</t>
  </si>
  <si>
    <t>SS-5602-08-08-08 - 1/2" m-f-f Pipe Tee</t>
  </si>
  <si>
    <t>Central Hydraulics</t>
  </si>
  <si>
    <t>Hydraulics direct</t>
  </si>
  <si>
    <t>missed 1 on first order</t>
  </si>
  <si>
    <t>SS-5604-08-08-08 - 1/2" f-m-f Pipe Tee</t>
  </si>
  <si>
    <t>SS-5404-16-12 - 1" Male Pipe x 3/4" Male Pipe</t>
  </si>
  <si>
    <t>SS-5404-12-12 - 3/4" Male Pipe x 3/4" Male Pipe</t>
  </si>
  <si>
    <t>SS-5404-12-08 - 3/4" Male Pipe x 1/2" Male Pipe</t>
  </si>
  <si>
    <t>SS-5404-08-06 - 1/2" Male Pipe x 3/8" Male Pipe</t>
  </si>
  <si>
    <t>SS-5404-06-06 - 3/8" Male Pipe x 3/8" Male Pipe</t>
  </si>
  <si>
    <t>SS-5406-16-08 - 1" Male Pipe x 1/2" Female Pipe</t>
  </si>
  <si>
    <t>SS-5406-12-06 - 3/4" Male Pipe x 3/8" Female Pipe</t>
  </si>
  <si>
    <t>SS-5406-08-04 - 1/2" Male Pipe x 1/4" Female Pipe</t>
  </si>
  <si>
    <t>for pressure transducer</t>
  </si>
  <si>
    <t>SS-2404-16-16 - 1" JIC (1 5/16"-12 thread) 37° x 1" Male Pipe</t>
  </si>
  <si>
    <t>SS-2404-12-12 - 3/4" JIC (1 1/16"-12 thread) 37° x 3/4" Male Pipe</t>
  </si>
  <si>
    <t>SS-2404-08-12 - 1/2" JIC (3/4"-16 thread) 37° x 3/4" Male Pipe</t>
  </si>
  <si>
    <t>Not in use</t>
  </si>
  <si>
    <t>SS-5600-08-08-08 - 1/2" Male Pipe Tee</t>
  </si>
  <si>
    <t>SS-2405-08-08 - 1/2" JIC (3/4"-16 thread) 37° x 1/2" Female Pipe</t>
  </si>
  <si>
    <t>SS-5406-12-08 - 3/4" Male Pipe x 1/2" Female Pipe</t>
  </si>
  <si>
    <t>1MJZ5</t>
  </si>
  <si>
    <t>Missing one? Missed in order?</t>
  </si>
  <si>
    <t>Banjo HBT075</t>
  </si>
  <si>
    <t>SS-5604-08-08-08, 1/2" Female Pipe x 1/2" Male Pipe Branch Tee</t>
  </si>
  <si>
    <t>Replacement due to galling</t>
  </si>
  <si>
    <t>SS-5406-08-04, 1/2" Male Pipe x 1/4" Female Pipe</t>
  </si>
  <si>
    <t>SS-5602-08-08-08, Street Tee, 1/2" NPTF M x 1/2" NPTF F x 1/2" NPTF F</t>
  </si>
  <si>
    <t>SS-5404-12-08, 3/4" Male Pipe x 1/2" Male Pipe</t>
  </si>
  <si>
    <t>SS-5404-08-06, 1/2" Male Pipe x 3/8" Male Pipe</t>
  </si>
  <si>
    <t>SS-1404-08-08, 1/2" NPT Male Pipe x 1/2" NPSM Female Pipe Swivel</t>
  </si>
  <si>
    <t>Added to make replacements easier in the future</t>
  </si>
  <si>
    <t>High-Pressure Manifold, downstream of  orifice plate</t>
  </si>
  <si>
    <t>SS-5404-08-08 - 1/2" Male Pipe x 1/2" Male Pipe</t>
  </si>
  <si>
    <t>SS-2404-08-08 - 1/2" JIC (3/4"-16 thread) 37° x 1/2" Male Pipe</t>
  </si>
  <si>
    <t>SS-2404-06-06 - 3/8" JIC (9/16"-18 thread) 37° x 3/8" Male Pipe</t>
  </si>
  <si>
    <t>SS-2501-08-08 - 1/2" JIC 37° x 1/2" Male Pipe 90</t>
  </si>
  <si>
    <t>not in use</t>
  </si>
  <si>
    <t>Banjo HB075-050</t>
  </si>
  <si>
    <t>Brine Pass-through</t>
  </si>
  <si>
    <t>SS-5605-12-12-12 - 3/4" Female Pipe Tee</t>
  </si>
  <si>
    <t>Discount Hydraulic Hose</t>
  </si>
  <si>
    <t>added with design change</t>
  </si>
  <si>
    <t>SS-2404-08-12 - 1/2" JIC 37° x 3/4" Male Pipe</t>
  </si>
  <si>
    <t>not used after design change</t>
  </si>
  <si>
    <t>SS-2404-06-06 - 3/8" JIC 37° x 3/8" Male Pipe</t>
  </si>
  <si>
    <t>Banjo SL038-90</t>
  </si>
  <si>
    <t>Banjo HB038-050</t>
  </si>
  <si>
    <t>High-pressure Manifold Mounting</t>
  </si>
  <si>
    <t>U-bolt, 3 1/8" ID</t>
  </si>
  <si>
    <t>3042T18</t>
  </si>
  <si>
    <t>U-bolt, 1 1/8" ID, 2.25in Lg</t>
  </si>
  <si>
    <t>8875T852</t>
  </si>
  <si>
    <t>SAE Washer: For Screw Size 1/4 in, Steel, Grade 8, Zinc Yellow, 0.281 in In Dia, 100 PK</t>
  </si>
  <si>
    <t>6YPJ5</t>
  </si>
  <si>
    <t>Clamping U-Bolt, 2 3/8in ID</t>
  </si>
  <si>
    <t>3/16 in spacer for ball-valve bracket</t>
  </si>
  <si>
    <t>ERU</t>
  </si>
  <si>
    <t>Axial Piston Motor</t>
  </si>
  <si>
    <t>Danfoss</t>
  </si>
  <si>
    <t>180B3043</t>
  </si>
  <si>
    <t>APM 1.5 Danfoss p/n 180B3043</t>
  </si>
  <si>
    <t>Axial Piston Pump</t>
  </si>
  <si>
    <t>APP 1.5 Danfoss p/n 180B3043</t>
  </si>
  <si>
    <t>Electric Motor</t>
  </si>
  <si>
    <t>First Electric</t>
  </si>
  <si>
    <t>CEM3663T**DBL SHAFT</t>
  </si>
  <si>
    <t>Baldor</t>
  </si>
  <si>
    <t>184TC</t>
  </si>
  <si>
    <t>Electric Motor VFD</t>
  </si>
  <si>
    <t>CIMR-VU-2A0020FAA</t>
  </si>
  <si>
    <t>Yaskawa</t>
  </si>
  <si>
    <t>SAE-AA to 184TC 6.81inch face-to-face</t>
  </si>
  <si>
    <t>Applied Industrial Technologies</t>
  </si>
  <si>
    <t>Magnalloy</t>
  </si>
  <si>
    <t>M182682AA</t>
  </si>
  <si>
    <t>Inlet</t>
  </si>
  <si>
    <t>SS-9035-12-12 - 3/4" Male BSPP x 3/4" Female NPTF</t>
  </si>
  <si>
    <t>Hydraulics Direct</t>
  </si>
  <si>
    <t>Outlet</t>
  </si>
  <si>
    <t>Motor/Generator</t>
  </si>
  <si>
    <t>APM 2.2 Danfoss p/n 180B3043</t>
  </si>
  <si>
    <t>WEG Electric Motor</t>
  </si>
  <si>
    <t>00736ET3E213TC-W22**MOD**</t>
  </si>
  <si>
    <t>WEG</t>
  </si>
  <si>
    <t>R00736ET3E213TC-W22</t>
  </si>
  <si>
    <t>4 Quad VFD</t>
  </si>
  <si>
    <t>CIMR-UU2A 0028UA</t>
  </si>
  <si>
    <t xml:space="preserve">  </t>
  </si>
  <si>
    <t>Hall effect sensor</t>
  </si>
  <si>
    <t>For counting revolutions</t>
  </si>
  <si>
    <t>T-Slot Nut</t>
  </si>
  <si>
    <t>824TJ8</t>
  </si>
  <si>
    <t>SS-9005-12-12 - 3/4" Male JIC x 3/4" Male BSPP</t>
  </si>
  <si>
    <t>1 missing from order, reorder</t>
  </si>
  <si>
    <t>Hose assem. 3/4", stainless steel, 68" (Hyd. motor/generator)</t>
  </si>
  <si>
    <t>68inches, R16-12-ASB with SS-FJX-12-12 and SS-FJX90-12-12, 1.07"OD</t>
  </si>
  <si>
    <t>Primary Drive</t>
  </si>
  <si>
    <t>Shaft coupler, H1T053 to L225 lovejoyk, L225 Coupling Hub with Splines</t>
  </si>
  <si>
    <t>heavydutydepot.com</t>
  </si>
  <si>
    <t>Lovejoy</t>
  </si>
  <si>
    <t>https://heavydutydepot.com/product/lo-vejoy-68514437937-l225-coupling-hub-with-splines</t>
  </si>
  <si>
    <t>RO module</t>
  </si>
  <si>
    <t>2.5" x 40" Fiberglass/FRP Seawater Membrane Housing Pressure Vessel for Watermaker</t>
  </si>
  <si>
    <t>Hydrocomponents &amp; Technologies, Inc.</t>
  </si>
  <si>
    <t>PV-2540SW</t>
  </si>
  <si>
    <t>2.5"x40" | 700 GPD | 99.4% Salt Rejection | Watermaker | FilmTec Seawater Membrane</t>
  </si>
  <si>
    <t>Applied Membranes</t>
  </si>
  <si>
    <t>M-S2540A</t>
  </si>
  <si>
    <t xml:space="preserve">Rubber strip, adhesive-backed, 1"x10'x3/32" </t>
  </si>
  <si>
    <t>56DC60</t>
  </si>
  <si>
    <t>SS-6600-06-06-06 - 3/8" JIC tee, m-f-m, female swivel, stainless steel</t>
  </si>
  <si>
    <t>SS-2404-06-04 - 1/4" NPT male to 3/8" JIC male, stainless steel</t>
  </si>
  <si>
    <t>SS-2404-04-04 - 1/4" NPT male to 1/4" JIC male, stainless steel</t>
  </si>
  <si>
    <t>SS-2503-04-04 - 1/4" NPT male to 1/4" JIC male, 45deg, stainless steel</t>
  </si>
  <si>
    <t>SS-6500-04-04 - 1/4" JIC female swivel to 1/4" JIC Male, 90deg, stainless steel</t>
  </si>
  <si>
    <t>SS-6500-06-06 - 3/8" JIC female swivel to 3/8" JIC Male, 90deg, stainless steel</t>
  </si>
  <si>
    <t>Banjo SL025-90</t>
  </si>
  <si>
    <t>Banjo HB025-050</t>
  </si>
  <si>
    <t>Hose assem. 3/8", stainless steel, 23" (Feed intake)</t>
  </si>
  <si>
    <t>23inches, R17-06-ASB with  SS-FJX-06-06 both ends</t>
  </si>
  <si>
    <t>Hose assem. 3/8", stainless steel, 18" (Feed connector)</t>
  </si>
  <si>
    <t>18inches, R17-06-ASB with SS-FJX-06-06 both ends</t>
  </si>
  <si>
    <t>Hose assem. 3/8", stainless steel, 18" (Brine connector)</t>
  </si>
  <si>
    <t>Hose assem. 1/2", stainless steel, 38" (brine outlet)</t>
  </si>
  <si>
    <t>34inches, R17-06-ASB with SS-FJX-06-06 and SS-FJX90-06-06</t>
  </si>
  <si>
    <t>Hose assem. 1/4", stainless steel, 14" (Intermediate, 1)</t>
  </si>
  <si>
    <t>14inches, R17-04-ASB with SS-FJX-04-04 both ends</t>
  </si>
  <si>
    <t>Hose assem. 1/4", stainless steel, 24" (Intermediate, 2)</t>
  </si>
  <si>
    <t>24inches, R17-04-ASB with SS-FJX-04-04 both ends</t>
  </si>
  <si>
    <t>Hose assem. 1/4", stainless steel, 12" (Intermediate, 3)</t>
  </si>
  <si>
    <t>12inches, R17-04-ASB with SS-FJX-04-04 both ends</t>
  </si>
  <si>
    <t>Permeate manifold</t>
  </si>
  <si>
    <t>Banjo TM075050</t>
  </si>
  <si>
    <t>Banjo CV100</t>
  </si>
  <si>
    <t>Banjo NIP050-SH</t>
  </si>
  <si>
    <t>Banjo EL050-90</t>
  </si>
  <si>
    <t>not used</t>
  </si>
  <si>
    <t>Banjo HB050</t>
  </si>
  <si>
    <t>Banjo PLUG025</t>
  </si>
  <si>
    <t>Boost Pump</t>
  </si>
  <si>
    <t>Goulds boost pump</t>
  </si>
  <si>
    <t>Hall Trask</t>
  </si>
  <si>
    <t>5SV7NE4F60</t>
  </si>
  <si>
    <t>GOULDS</t>
  </si>
  <si>
    <t>Boost Pump VFD</t>
  </si>
  <si>
    <t>CIMR-VU-2A0056FAA</t>
  </si>
  <si>
    <t>Yasakawa</t>
  </si>
  <si>
    <t>JWS- actually CIMR-VU-2A0012FAA; Acquired from Novus Technical parts lot</t>
  </si>
  <si>
    <t>Banjo CV100, Check valves, boost pump outlet</t>
  </si>
  <si>
    <t>Banjo RN125-100</t>
  </si>
  <si>
    <t>Banjo HB125/100-90</t>
  </si>
  <si>
    <t>Mounting</t>
  </si>
  <si>
    <t>Strut Channel Bracket, 3-bolt flat elbow</t>
  </si>
  <si>
    <t>2HAK4</t>
  </si>
  <si>
    <t>Strut channel, 1-5/8 x 1-5/8 12ga painted, 18in</t>
  </si>
  <si>
    <t>45YV21</t>
  </si>
  <si>
    <t>Socket Head Cap Screws, 1/2"-13 1in, pack of 10</t>
  </si>
  <si>
    <t>29DU64</t>
  </si>
  <si>
    <t>1/2"-13 Yellow Zinc Finish Grade 8 Finished Hex Nut, 50pk</t>
  </si>
  <si>
    <t>3HED8</t>
  </si>
  <si>
    <t>1/2" x 1.062" OD  Yellow Zinc SAE Washer, Pack of 25</t>
  </si>
  <si>
    <t>54FV90</t>
  </si>
  <si>
    <t>Spring Nut Anti-Rotation: 1/2"-13 Thread Size, 1/2 in Bolt Size, Steel, 25pk Electroplated</t>
  </si>
  <si>
    <t>4A986</t>
  </si>
  <si>
    <t>Salt water circuit, Misc. Valves</t>
  </si>
  <si>
    <t>Ball valve, 2160 psi, 3/4"</t>
  </si>
  <si>
    <t>Duncon CO</t>
  </si>
  <si>
    <t>KECKLEY</t>
  </si>
  <si>
    <t>BVS2THFSSRGSL-075</t>
  </si>
  <si>
    <t>Check valves, low-pressure to high pressure</t>
  </si>
  <si>
    <t>Hy-Lok</t>
  </si>
  <si>
    <t>CV3-F-6N-1/3-S316</t>
  </si>
  <si>
    <t>ASCO 8223G010 120/60,110/50, ½” NPT PORTS, 3/8” ORIFICE, 2-WAY NORMALLY CLOSED SS SOLENOID VALVE, Cv 3.2, ½” NPT CONDUIT W/ 18” LEAD WIRES</t>
  </si>
  <si>
    <t>Duncan Co</t>
  </si>
  <si>
    <t>ASCO 8212A020L0100F2 ½” 2-WAY, NORMALLY OPEN COMPOSITE SOLENOID, 120VAC</t>
  </si>
  <si>
    <t>45AL68</t>
  </si>
  <si>
    <t>Replaced due to galling</t>
  </si>
  <si>
    <t>Pressure Relief Valves</t>
  </si>
  <si>
    <t>Pressure Relief Valve</t>
  </si>
  <si>
    <t>6871K41</t>
  </si>
  <si>
    <t>Kunkle Valve</t>
  </si>
  <si>
    <t>0266VC04-MG</t>
  </si>
  <si>
    <t>Only received 2, inlet - 1/2" NPT, Outlet - 3/4" NPT</t>
  </si>
  <si>
    <t>Accumulators</t>
  </si>
  <si>
    <t>5 gal stainless steel accumulator</t>
  </si>
  <si>
    <t>Accumulators Inc</t>
  </si>
  <si>
    <t>A531001XS</t>
  </si>
  <si>
    <t xml:space="preserve">2.5 gal stainless steel accumulators </t>
  </si>
  <si>
    <t>A2.53100XS</t>
  </si>
  <si>
    <t xml:space="preserve">1.5 gal stainless steel accumulators </t>
  </si>
  <si>
    <t>A1.53100XS</t>
  </si>
  <si>
    <t>1 gal accumulator</t>
  </si>
  <si>
    <t>A13100XS</t>
  </si>
  <si>
    <t>10 GAL ACCUMULATOR, 3000 PSI</t>
  </si>
  <si>
    <t>Reasontek Corporation</t>
  </si>
  <si>
    <t>RAS-10C3B01NW3</t>
  </si>
  <si>
    <t>5 GAL ACCUMULATOR, 3000 PSI</t>
  </si>
  <si>
    <t>RAS-05C3B01NW3</t>
  </si>
  <si>
    <t>Accumulator Mounting Base Bracket with Rubber Ring, 2.5-15gal</t>
  </si>
  <si>
    <t>RBB-66</t>
  </si>
  <si>
    <t>qty 2 for 5 gal and 10 gal</t>
  </si>
  <si>
    <t>Accumulator Double Bolt Mounting Clamp, 2.5-15G, 3K/5K PSI</t>
  </si>
  <si>
    <t>RMD-91</t>
  </si>
  <si>
    <t xml:space="preserve"> | (Stainless)1/2" JIC 37° Flare Female Swivel</t>
  </si>
  <si>
    <t>Accumulator Mounting Base Bracket with Rubber Ring, 1gal</t>
  </si>
  <si>
    <t>RBB-45</t>
  </si>
  <si>
    <t>Accumulator Single Bolt Mounting Clamp, 1Gal</t>
  </si>
  <si>
    <t>RMS-67Z</t>
  </si>
  <si>
    <t>SS-5406-32-16 - 2" Male Pipe to 1" NPT Female Pipe</t>
  </si>
  <si>
    <t>4443K426</t>
  </si>
  <si>
    <t>SS-5406-32-16</t>
  </si>
  <si>
    <t>SS-5406-20-08 - 1-1/4" Male Pipe to 1/2" Female Pipe</t>
  </si>
  <si>
    <t>Acquired qty 4 from Novus Technical parts lot, only using 1</t>
  </si>
  <si>
    <t>SS-5406-16-12 - 1" Male Pipe x 3/4" Female Pipe</t>
  </si>
  <si>
    <t>SS-5406-16-08 - 1" Male Pipe to 1/2" Female Pipe</t>
  </si>
  <si>
    <t>SS-5406-16-08</t>
  </si>
  <si>
    <t>SS-2501-08-08 - 1/2" JIC (3/4"-16 thread) 37° x 1/2" Male Pipe 90</t>
  </si>
  <si>
    <t>SS-2501-12-12 - 3/4" JIC (1 1/16"-12 thread) 37° x 3/4" Male Pipe 90°</t>
  </si>
  <si>
    <t>Banjo RB125-100</t>
  </si>
  <si>
    <t>Banjo RB100-075</t>
  </si>
  <si>
    <t>Banjo HB125-075</t>
  </si>
  <si>
    <t>Hose assem. 3/4", stainless steel, 19" (10gal accumulator, upstream of orifice)</t>
  </si>
  <si>
    <t>19inches, R16-12-ASB with SS-FJX-12-12 both ends</t>
  </si>
  <si>
    <t>Hose assem. 1/2", stainless steel, 36" (5gal accumulator, upstream of orifice)</t>
  </si>
  <si>
    <t>36inches, R17-08-ASB with SS-FJX-08-08 both ends</t>
  </si>
  <si>
    <t>Hose assem. 1/2", stainless steel, 29" (5gal accum., downstream of orifice)</t>
  </si>
  <si>
    <t>29inches, R17-08-ASB with SS-FJX-08-08 both ends</t>
  </si>
  <si>
    <t>Hose assem. 1/2", stainless steel, 23" (10gal accum., downstream of orifice)</t>
  </si>
  <si>
    <t>Accumulator racks</t>
  </si>
  <si>
    <t>High-pressure accumulator and RO module rack</t>
  </si>
  <si>
    <t>Strut channel, 1-5/8 x 1-5/8 12ga painted, 10ft</t>
  </si>
  <si>
    <t>4A974</t>
  </si>
  <si>
    <t>Double check the length required due to cutting</t>
  </si>
  <si>
    <t>Strut channel, 1-5/8 x 1-5/8 12ga painted, 2ft</t>
  </si>
  <si>
    <t>Corner Strut Channel Brackets, Outside 45deg, four bolt</t>
  </si>
  <si>
    <t>33125T426</t>
  </si>
  <si>
    <t>Corner Strut Channel Brackets, Inside 45deg, two bolt</t>
  </si>
  <si>
    <t>33125T42</t>
  </si>
  <si>
    <t>Corner Strut Channel Brackets, Inside 90deg, two bolt</t>
  </si>
  <si>
    <t>33125T32</t>
  </si>
  <si>
    <t>steel flat bar, 12"x0.125", 58" lengths</t>
  </si>
  <si>
    <t>Coremark Metals</t>
  </si>
  <si>
    <t>steel flat bar, 2"x0.125", 90" lengths</t>
  </si>
  <si>
    <t>Req.: steel bar, 2"x58'x0.125" (qty 3) &amp; steel bar, 2"x3'x0.125" (qty 1),  ordered as:  90" 3x (covers material req. for "Low-pressure accumulator and Power Electronics rack"</t>
  </si>
  <si>
    <t>Strut channel cover, 10ft</t>
  </si>
  <si>
    <t>3204T74</t>
  </si>
  <si>
    <t>EPDM Strip: Std, 1 in x 10 ft, 0.0625 in Thick, 60A, Acrylic Adhesive Backed, Black, Smooth</t>
  </si>
  <si>
    <t>497M52</t>
  </si>
  <si>
    <t>for floor contact</t>
  </si>
  <si>
    <t>Threaded-Rod-Mount Clamping Hanger, 1.5" ID for 1.5" pipe</t>
  </si>
  <si>
    <t>2615T17</t>
  </si>
  <si>
    <t>Low-pressure accumulator and Power Electronics rack</t>
  </si>
  <si>
    <t>Strut channel, 1-5/8 x 13/16 14ga painted, 10ft</t>
  </si>
  <si>
    <t>5YB81</t>
  </si>
  <si>
    <t>33125T54</t>
  </si>
  <si>
    <t>steel bar, 6"x0.125", 64" lengths</t>
  </si>
  <si>
    <t>req: 32" lengths (qty 2), ordered as 64" qty 1</t>
  </si>
  <si>
    <t>steel bar, 2"x3'x0.125"`</t>
  </si>
  <si>
    <t>Req: 3' (qty 2), covered by 90" stock under "High-pressure accumulator and RO module rack"</t>
  </si>
  <si>
    <t>Fasteners for Accumulator Racks</t>
  </si>
  <si>
    <t>Spring Nut: 1/2"-13 Thread Size, 1/2 in Bolt Size, Steel, Galvanized, 25pk</t>
  </si>
  <si>
    <t>4A985</t>
  </si>
  <si>
    <t>Socket Head Cap Screws, 1/2"-13 1-1/2in, pack of 10</t>
  </si>
  <si>
    <t>22TR59</t>
  </si>
  <si>
    <t xml:space="preserve">1/2"-13 Yellow Zinc Finish Grade 8 Finished Hex Nut </t>
  </si>
  <si>
    <t>6YPJ9</t>
  </si>
  <si>
    <t>WEC simulating actuator</t>
  </si>
  <si>
    <t>Standard hyd. Cylinder</t>
  </si>
  <si>
    <t>baileyhydraulics</t>
  </si>
  <si>
    <t>Chief WT Welded Hydraulic Cylinder: 6 Bore x 18 Stroke - 3 Rod</t>
  </si>
  <si>
    <t>1" Carbon Steel Plate A36 Hot Rolled - 12″ X 36″ (1 X 3 ft.)</t>
  </si>
  <si>
    <t>spherical bearing mount to be water jet cut</t>
  </si>
  <si>
    <t>1.500" Alloy Steel Round Bar 4140 Cold Finished Heat Treated, 18inch</t>
  </si>
  <si>
    <t>orderd in anealed state</t>
  </si>
  <si>
    <t>Socket Head Screw, 5/8"-18 Thread Size, 2" Long</t>
  </si>
  <si>
    <t>5/8" bolt for spherical bearing mount</t>
  </si>
  <si>
    <t>Washer for 5/8" Screw Size, 0.656" ID, 1.312" OD</t>
  </si>
  <si>
    <t>Hairpin Cotter Pins for 1-1/4"-1-1/2" Pin Diameter, 1/4" Wire Diameter, 5 Pack</t>
  </si>
  <si>
    <t>90492A210</t>
  </si>
  <si>
    <t>500mm Draw Wire Encoder</t>
  </si>
  <si>
    <t>CALT</t>
  </si>
  <si>
    <t>CWP-S500V1</t>
  </si>
  <si>
    <t>https://www.amazon.com/Encoder-24Vdc-Supply-500mm-Output/dp/B0C48X9SXK/ref=sr_1_2_sspa?crid=3FTJ21BDIRAF6&amp;keywords=string%2Bpotentiometer&amp;qid=1699396941&amp;sprefix=string%2Bpotentiometer%2Caps%2C120&amp;sr=8-2-spons&amp;sp_csd=d2lkZ2V0TmFtZT1zcF9hdGY&amp;th=1</t>
  </si>
  <si>
    <t>3/4in NPT to #12 JIC</t>
  </si>
  <si>
    <t>1/2" x 1.062" OD  Yellow Zinc SAE Washer, Pack of 50</t>
  </si>
  <si>
    <t>washers for mounting low-pressure return manifold</t>
  </si>
  <si>
    <t>1/2"-13 x 5-1/2" L 3/8" Hex Drive Socket Head Cap Screw</t>
  </si>
  <si>
    <t>bolts for mounting low-pressure return manifold</t>
  </si>
  <si>
    <t>Heavy Duty Zip Ties (50 pack)</t>
  </si>
  <si>
    <t>VWR</t>
  </si>
  <si>
    <t>77269-824</t>
  </si>
  <si>
    <t>Triton</t>
  </si>
  <si>
    <t>ZT-24N</t>
  </si>
  <si>
    <t>Preventing piston rotation</t>
  </si>
  <si>
    <t>WEC-driven pump</t>
  </si>
  <si>
    <t>Stainless Steel Cylinder</t>
  </si>
  <si>
    <t>custom</t>
  </si>
  <si>
    <t>custom, per print</t>
  </si>
  <si>
    <t>Rod gland repair, Central Hydraulics Labor</t>
  </si>
  <si>
    <t>Requested 2/28/25</t>
  </si>
  <si>
    <t>Socket Head Screw, 5/8"-18 Thread Size, 2.5" Long</t>
  </si>
  <si>
    <t>(Pack of 5) 5/8"-18 x 4" L 1/2" Hex Drive ASTM A574 Black Oxide Alloy Steel Socket Head Cap Screw</t>
  </si>
  <si>
    <t>Requested 11/13/2025</t>
  </si>
  <si>
    <t>(5-pack) Black-Oxide Alloy Steel Socket Head Screw, 5/8"-18 Thread Size, 3" Long</t>
  </si>
  <si>
    <t>Requested 11/26/2025</t>
  </si>
  <si>
    <t>91251A486</t>
  </si>
  <si>
    <t>(Package of 20) Washer for 5/8" Screw Size, 0.656" ID, 1.312" OD</t>
  </si>
  <si>
    <t>2 1/2-12 stel nut, for clevis</t>
  </si>
  <si>
    <t>90490A275</t>
  </si>
  <si>
    <t>1" steel plate for clevis</t>
  </si>
  <si>
    <t>to be cut from same stock as actuator mount</t>
  </si>
  <si>
    <t>Grease Fittings</t>
  </si>
  <si>
    <t>52NZ29</t>
  </si>
  <si>
    <t>SS-6400-16-12 - 1" JIC 37° x 3/4" ORB Male (#12 thread)</t>
  </si>
  <si>
    <t>design changed, not to be used</t>
  </si>
  <si>
    <t>SS-6400-12-12 - 3/4" JIC 37° x 3/4" ORB Male (#12 thread)</t>
  </si>
  <si>
    <t>SS-6501-12-12 - 3/4" Male Pipe x 3/4" JIC (1 1/16"-12 thread) 37° Swivel 90°</t>
  </si>
  <si>
    <t>Yor-Lok Straight Adapters, 1" Tube × 3/4" Female Threaded Pipe, 316SS</t>
  </si>
  <si>
    <t>5182K831</t>
  </si>
  <si>
    <t>use with 0.065" wall thickness tube for 1500psi rating</t>
  </si>
  <si>
    <t>ST6-16-0.065-2-feet - 1" Seamless Tubing 0.065 Thickness - 316 Stainless SN: S64ST6065010 - 2 Feet Cut Length</t>
  </si>
  <si>
    <t>Check valve rectifier</t>
  </si>
  <si>
    <t>Check valves, Check valve rectifier</t>
  </si>
  <si>
    <t>CV6-F-16N-10-S316</t>
  </si>
  <si>
    <t>SS-5404-16-16 - 1" Male Pipe x 1" Male Pipe</t>
  </si>
  <si>
    <t>SS-5500-16-16 - 1" Male Pipe x 1" Male Pipe 90°</t>
  </si>
  <si>
    <t>SS-5605-16-16-16 - 1" Female Pipe Tee</t>
  </si>
  <si>
    <t>requested 3/5/2025</t>
  </si>
  <si>
    <t>48805K527</t>
  </si>
  <si>
    <t>to replace one that was stripped</t>
  </si>
  <si>
    <t>Yor-Lok 90° Elbow Connectors, 1" Tube,  316SS</t>
  </si>
  <si>
    <t>5182K833</t>
  </si>
  <si>
    <t>Yor-Lok Straight Adapters, 1" Tube × 1" Male Threaded Pipe, 316SS</t>
  </si>
  <si>
    <t>5182K838</t>
  </si>
  <si>
    <t>Banjo SL100-45</t>
  </si>
  <si>
    <t xml:space="preserve">Hose assem. 1", stainless steel, 85" (WEC driven pump) </t>
  </si>
  <si>
    <t>85inches, R17-16-ASB with SS-MP-16-16W and SS-FJX-16-16W, 1.48"OD</t>
  </si>
  <si>
    <t>Switching Valve Module</t>
  </si>
  <si>
    <t>Normally closed 2-way switching valve</t>
  </si>
  <si>
    <t>ASCO Redhat</t>
  </si>
  <si>
    <t>8223G010</t>
  </si>
  <si>
    <t>https://www.grainger.com/product/REDHAT-Solenoid-Valve-1-2-in-Pipe-4KY38?searchQuery=8223G010&amp;searchBar=true&amp;xRefMatch=true&amp;tier=Tier+8</t>
  </si>
  <si>
    <t>Check valves, switching valve subsystem</t>
  </si>
  <si>
    <t>CV5-F-12N-10-S316</t>
  </si>
  <si>
    <t>SS-5652-08-08-08-08 - 1/2" Female Pipe Cross</t>
  </si>
  <si>
    <t>4443K654</t>
  </si>
  <si>
    <t>SS-5500-08-08 - 1/2" Male Pipe x 1/2" Male Pipe 90°</t>
  </si>
  <si>
    <t>48805K451</t>
  </si>
  <si>
    <t>Hose assem. 1/2", stainless steel, 21" (switching valve, 1)</t>
  </si>
  <si>
    <t>21inches, R17-08-ASB with SS-MP-08-08 and SS-FJX90-08-08</t>
  </si>
  <si>
    <t>Hose assem. 1/2", stainless steel, 26" (switching valve, 2)</t>
  </si>
  <si>
    <t>26inches, R17-08-ASB with SS-MP-08-08 and SS-FJX90-08-08</t>
  </si>
  <si>
    <t>Orifice plate</t>
  </si>
  <si>
    <t>12"x12"x0.048" Stainless Steel 316 sheet (18ga)</t>
  </si>
  <si>
    <t>For orifice plate</t>
  </si>
  <si>
    <t>Parker 1in code 61 flange to NPTF, 16GQ1B</t>
  </si>
  <si>
    <t>Central Hydaulics</t>
  </si>
  <si>
    <t>Parker</t>
  </si>
  <si>
    <t>3/8-16 2.75in socket cap bolt</t>
  </si>
  <si>
    <t>Alloy Steel Socket Nut 3/8"-16 Thread Size</t>
  </si>
  <si>
    <t>92066A031</t>
  </si>
  <si>
    <t>Thick-Wall 316/316L Stainless Steel Pipe Nipple, Threaded on Both Ends, 1 Pipe Size, 4" Long</t>
  </si>
  <si>
    <t>4475K56</t>
  </si>
  <si>
    <t>Sensors</t>
  </si>
  <si>
    <t>Temperature Transmitter</t>
  </si>
  <si>
    <t>IFM</t>
  </si>
  <si>
    <t>SA6014</t>
  </si>
  <si>
    <t>Pressure Transmitter</t>
  </si>
  <si>
    <t>3196K57</t>
  </si>
  <si>
    <t>Conductivity Transmitter Asm</t>
  </si>
  <si>
    <t>Cole Parmer</t>
  </si>
  <si>
    <t>EW-19505-20, EW-19500-45</t>
  </si>
  <si>
    <t>Oakton, Cole-Parmer</t>
  </si>
  <si>
    <t>ECCONCTP0500 COND 500,  C621-2-1-1</t>
  </si>
  <si>
    <t>Conductivity Meter</t>
  </si>
  <si>
    <t>Power Transducer</t>
  </si>
  <si>
    <t>Ohio Semitronics</t>
  </si>
  <si>
    <t>WT7-22-100-D</t>
  </si>
  <si>
    <t>Torque Meter w/ encoder</t>
  </si>
  <si>
    <t>Futek</t>
  </si>
  <si>
    <t>FSH02056</t>
  </si>
  <si>
    <t>Flow rate</t>
  </si>
  <si>
    <t>imf SA6014, thermal flow meter</t>
  </si>
  <si>
    <t>Electronic components</t>
  </si>
  <si>
    <t>SOCKET ADAPTER SOT-23 TO 6DIP</t>
  </si>
  <si>
    <t>DigiKey</t>
  </si>
  <si>
    <t>A879AR-ND</t>
  </si>
  <si>
    <t>LTC6992 voltage controlled PWM generator</t>
  </si>
  <si>
    <t>505-LTC6992HS6-1#WTRMPBFCT-ND</t>
  </si>
  <si>
    <t>PBA150, RELAY SPST-NO/NC 250MA 0-250V</t>
  </si>
  <si>
    <t>5656-PBA150-ND</t>
  </si>
  <si>
    <t>Perforated Board 2" by 3"</t>
  </si>
  <si>
    <t>5361-PC402030-ND</t>
  </si>
  <si>
    <t>To redo HP e-stop valve circuit</t>
  </si>
  <si>
    <t>2 Position Wire to Board Terminal Block</t>
  </si>
  <si>
    <t>732-10955-ND</t>
  </si>
  <si>
    <t>3 Position Wire to Board Terminal Block</t>
  </si>
  <si>
    <t>732-10956-ND</t>
  </si>
  <si>
    <t>Electrical hardware</t>
  </si>
  <si>
    <t>VELCRO Cable Ties</t>
  </si>
  <si>
    <t>WAGO 221 Lever-Nuts</t>
  </si>
  <si>
    <t>Junction box 5.9x5.9x2.8 inch</t>
  </si>
  <si>
    <t>4-pin Deutch DT Connectors, set of 12</t>
  </si>
  <si>
    <t>E-Stop switches with box</t>
  </si>
  <si>
    <t>Cable gland kit, 72 pcs</t>
  </si>
  <si>
    <t>Wiring duct, 6ft</t>
  </si>
  <si>
    <t>3EXV7</t>
  </si>
  <si>
    <t>Wiring duct cover, 6ft</t>
  </si>
  <si>
    <t>3EYE3</t>
  </si>
  <si>
    <t>Wood screws, sz 8 1/2in length</t>
  </si>
  <si>
    <t>1KU96</t>
  </si>
  <si>
    <t xml:space="preserve">Fork Terminal Connectors </t>
  </si>
  <si>
    <t>B0CHR8FFZB</t>
  </si>
  <si>
    <t xml:space="preserve">Fork Terminal Connectors, #4,#8,#10,1/4 Inch Fork Spade Connectors 22-16/16-14/12-10 AWG </t>
  </si>
  <si>
    <t>NEMA L15-30P, 3P, 4W, Locking Plug</t>
  </si>
  <si>
    <t>B0015O77OW</t>
  </si>
  <si>
    <t>Leviton</t>
  </si>
  <si>
    <t>Power cord, 15A/250V, 14/3 AWG, 2ft</t>
  </si>
  <si>
    <t>B078RVS19R</t>
  </si>
  <si>
    <t>Power cable, 18/3 AWG, 25ft</t>
  </si>
  <si>
    <t>B0D8KRKL4B</t>
  </si>
  <si>
    <t>Junction box 3.1x3.1x1.9 inch</t>
  </si>
  <si>
    <t>B09VDBN9BL</t>
  </si>
  <si>
    <t>Project box, 3.3x2.3x1.37, w/ ears, 4pc</t>
  </si>
  <si>
    <t>B0CC9TSSH2</t>
  </si>
  <si>
    <t>Tools</t>
  </si>
  <si>
    <t>Torque wrench, 500ft.lb capacity</t>
  </si>
  <si>
    <t>SUERCUP Torque Wrench 3/4-inch, Dual-Direction Adjustable 48 tooth 100-700ft.lb/135.5-948.5Nm, ±3% High Accuracy Drive Click Torque Wrench with Buckle for Car/Truck Maintenance and Product Assembly</t>
  </si>
  <si>
    <t xml:space="preserve">GEARWRENCH 1/2" Chrome Hex Bit 1/2" Drive Socket </t>
  </si>
  <si>
    <t>Spotting drill bits</t>
  </si>
  <si>
    <t>https://www.amazon.com/gp/product/B09NKZMT19/ref=ox_sc_act_title_1?smid=A1DOA4F0QJWJ8F&amp;psc=1</t>
  </si>
  <si>
    <t>5/8"-18 tap, taper with 1-13/16 thread length</t>
  </si>
  <si>
    <t>50CC05</t>
  </si>
  <si>
    <t>Multi-Purpose Bearing Grease</t>
  </si>
  <si>
    <t>4UJ42</t>
  </si>
  <si>
    <t>Grease Gun</t>
  </si>
  <si>
    <t>33RL90</t>
  </si>
  <si>
    <t>Glycerine, food grade</t>
  </si>
  <si>
    <t>B097LTHS4S</t>
  </si>
  <si>
    <t>Instant Ocean Sea Salt</t>
  </si>
  <si>
    <t>1/2 NPT Tap, Uncoated High-Speed Steel, Plug Chamfer</t>
  </si>
  <si>
    <t>2525A175</t>
  </si>
  <si>
    <t>System fill and drain</t>
  </si>
  <si>
    <t>Flexzilla Garden Hose 5/8 in. x 75 ft, Heavy Duty, Lightweight, Durable, ZillaGreen - HFZG575YW-E</t>
  </si>
  <si>
    <t>Hibbent Faucet to Garden Hose Adapter Kit</t>
  </si>
  <si>
    <t>B09SG6LLRD</t>
  </si>
  <si>
    <t>Shipping</t>
  </si>
  <si>
    <t>Reasontek Freight</t>
  </si>
  <si>
    <t>Central Hydraulics S&amp;H</t>
  </si>
  <si>
    <t>Hydraulics Direct, 4/24/2024</t>
  </si>
  <si>
    <t>Grainger, 3/15/2024. Invoice 157696166</t>
  </si>
  <si>
    <t>Grainger, 6/12/2024. Invoice 162572030</t>
  </si>
  <si>
    <t>Grainger, 10/2/2024. Invoice 168413854</t>
  </si>
  <si>
    <t>Digikey, 10/3/2024. Invoice 168398522</t>
  </si>
  <si>
    <t>Discount Hydraulic Hose, 12/2/2024</t>
  </si>
  <si>
    <t>HP</t>
  </si>
  <si>
    <t>LP</t>
  </si>
  <si>
    <t>length</t>
  </si>
  <si>
    <t>qty LP</t>
  </si>
  <si>
    <t>qty HP</t>
  </si>
  <si>
    <t>Joint desc</t>
  </si>
  <si>
    <t>Bracket thickness</t>
  </si>
  <si>
    <t>Plate thickness</t>
  </si>
  <si>
    <t>Strut 1</t>
  </si>
  <si>
    <t>Strut 2</t>
  </si>
  <si>
    <t>Washer 1</t>
  </si>
  <si>
    <t>Washer 2</t>
  </si>
  <si>
    <t>nut thickness</t>
  </si>
  <si>
    <t>total joint thickness</t>
  </si>
  <si>
    <t>Req. bolt length</t>
  </si>
  <si>
    <t>no. washers</t>
  </si>
  <si>
    <t>hex nut</t>
  </si>
  <si>
    <t>unitstrut nut</t>
  </si>
  <si>
    <t>qty washers</t>
  </si>
  <si>
    <t>qty hex nut</t>
  </si>
  <si>
    <t>qty unitstrut nut</t>
  </si>
  <si>
    <t>qty bolts</t>
  </si>
  <si>
    <t>Nom. Bolt length</t>
  </si>
  <si>
    <t>strut through-hole, bracket</t>
  </si>
  <si>
    <t>1.25"</t>
  </si>
  <si>
    <t>strut through-hole, 1/8" plate</t>
  </si>
  <si>
    <t>1"</t>
  </si>
  <si>
    <t>strut channel, 1/8" plate</t>
  </si>
  <si>
    <t>strut channel, bracket</t>
  </si>
  <si>
    <t>strut channel, 1/8" plate, bracket</t>
  </si>
  <si>
    <t>1.5"</t>
  </si>
  <si>
    <t>strut channel, strut through-hole</t>
  </si>
  <si>
    <t>strut through-hole, strut through-hole</t>
  </si>
  <si>
    <t>Bolt</t>
  </si>
  <si>
    <t>total</t>
  </si>
  <si>
    <t>Total</t>
  </si>
  <si>
    <t>Part Name and Desc.</t>
  </si>
  <si>
    <t>Cost per Unit</t>
  </si>
  <si>
    <t>Vendor</t>
  </si>
  <si>
    <t>Parker 16GQ1B, 1" code 61 flange (O-ring face) to NPTF, stainless steel</t>
  </si>
  <si>
    <t>???</t>
  </si>
  <si>
    <t xml:space="preserve">2 Parker 16GQ1BSSK , 1" code 61 flange (O-ring face) to NPTF, stainless steel 16GQ1BSSK </t>
  </si>
  <si>
    <t>SS-2404-04-04 - 1/4" JIC 37° x 1/4" Male Pipe, stainless steel</t>
  </si>
  <si>
    <t xml:space="preserve">4 SS-2404-04-04 - 1/4" JIC 37° x 1/4" Male Pipe, stainless steel SS-2404-04-04-FG </t>
  </si>
  <si>
    <t>SS-2404-06-04 - 3/8" JIC 37° x 1/4" Male Pipe, stainless steel</t>
  </si>
  <si>
    <t xml:space="preserve">4 SS-2404-06-04 - 3/8" JIC 37° x 1/4" Male Pipe, stainless steel SS-2404-06-04-FG </t>
  </si>
  <si>
    <t>SS-2404-06-06 - 3/8" JIC 37° x 3/8" Male Pipe, stainless steel</t>
  </si>
  <si>
    <t xml:space="preserve">2 SS-2404-06-06 - 3/8" JIC 37° x 3/8" Male Pipe, stainless steel SS-2404-06-06-FG </t>
  </si>
  <si>
    <t>SS-2404-08-08 - 1/2" JIC 37° x 1/2" Male Pipe, stainless steel</t>
  </si>
  <si>
    <t xml:space="preserve">1 SS-2404-08-08 - 1/2" JIC 37° x 1/2" Male Pipe, stainless steel SS-2404-08-08-FG </t>
  </si>
  <si>
    <t>SS-2404-08-12 - 1/2" JIC 37° x 3/4" Male Pipe, stainless steel</t>
  </si>
  <si>
    <t xml:space="preserve">5 SS-2404-08-12 - 1/2" JIC 37° x 3/4" Male Pipe, stainless steel SS-2404-08-12-FG </t>
  </si>
  <si>
    <t>SS-2404-12-12 - 3/4" JIC 37° x 3/4" Male Pipe, stainless steel</t>
  </si>
  <si>
    <t xml:space="preserve">2 SS-2404-12-12 - 3/4" JIC 37° x 3/4" Male Pipe, stainless steel SS-2404-12-12-FG </t>
  </si>
  <si>
    <t>SS-2404-16-16 - 1" JIC 37° x 1" Male Pipe, stainless steel</t>
  </si>
  <si>
    <t xml:space="preserve">1 SS-2404-16-16 - 1" JIC 37° x 1" Male Pipe, stainless steel SS-2404-16-16-FG </t>
  </si>
  <si>
    <t>SS-2501-08-08 - 1/2" JIC 37° x 1/2" Male Pipe 90°, stainless steel</t>
  </si>
  <si>
    <t xml:space="preserve">4 SS-2501-08-08 - 1/2" JIC 37° x 1/2" Male Pipe 90°, stainless steel SS-2501-08-08-FG </t>
  </si>
  <si>
    <t>SS-2501-12-12 - 3/4" JIC 37° x 3/4" Male Pipe 90°, stainless steel</t>
  </si>
  <si>
    <t xml:space="preserve">1 SS-2501-12-12 - 3/4" JIC 37° x 3/4" Male Pipe 90°, stainless steel SS-2501-12-12-FG </t>
  </si>
  <si>
    <t>SS-2503-04-04 - 1/4" NPT male to 1/4" JIC male, 45°, stainless steel</t>
  </si>
  <si>
    <t xml:space="preserve">4 SS-2503-04-04 - 1/4" NPT male to 1/4" JIC male, 45°, stainless steel SS-2503-04-04-FG </t>
  </si>
  <si>
    <t>SS-5404-06-06 - 3/8" Male Pipe x 3/8" Male Pipe, stainless steel</t>
  </si>
  <si>
    <t xml:space="preserve">2 SS-5404-06-06 - 3/8" Male Pipe x 3/8" Male Pipe, stainless steel SS-5404-06-06-FG </t>
  </si>
  <si>
    <t>SS-5404-08-06 - 1/2" Male Pipe x 3/8" Male Pipe, stainless steel</t>
  </si>
  <si>
    <t xml:space="preserve">1 SS-5404-08-06 - 1/2" Male Pipe x 3/8" Male Pipe, stainless steel SS-5404-08-06-FG </t>
  </si>
  <si>
    <t>SS-5404-08-08 - 1/2" Male Pipe x 1/2" Male Pipe, stainless steel</t>
  </si>
  <si>
    <t xml:space="preserve">5 SS-5404-08-08 - 1/2" Male Pipe x 1/2" Male Pipe, stainless steel SS-5404-08-08-FG </t>
  </si>
  <si>
    <t>SS-5404-12-08 - 3/4" Male Pipe x 1/2" Male Pipe, stainless steel</t>
  </si>
  <si>
    <t xml:space="preserve">1 SS-5404-12-08 - 3/4" Male Pipe x 1/2" Male Pipe, stainless steel SS-5404-12-08-FG </t>
  </si>
  <si>
    <t>SS-5404-12-12 - 3/4" Male Pipe x 3/4" Male Pipe, stainless steel</t>
  </si>
  <si>
    <t xml:space="preserve">2 SS-5404-12-12 - 3/4" Male Pipe x 3/4" Male Pipe, stainless steel SS-5404-12-12-FG </t>
  </si>
  <si>
    <t>SS-5404-16-12 - 1" Male Pipe x 3/4" Male Pipe, stainless steel</t>
  </si>
  <si>
    <t xml:space="preserve">2 SS-5404-16-12 - 1" Male Pipe x 3/4" Male Pipe, stainless steel SS-5404-16-12-FG </t>
  </si>
  <si>
    <t>SS-5404-16-16 - 1" Male Pipe x 1" Male Pipe, stainless steel</t>
  </si>
  <si>
    <t xml:space="preserve">2 SS-5404-16-16 - 1" Male Pipe x 1" Male Pipe, stainless steel SS-5404-16-16-FG </t>
  </si>
  <si>
    <t>SS-5406-08-04 - 1/2" Male Pipe x 1/4" Female Pipe, stainless steel</t>
  </si>
  <si>
    <t xml:space="preserve">4 SS-5406-08-04 - 1/2" Male Pipe x 1/4" Female Pipe, stainless steel SS-5406-08-04-FG </t>
  </si>
  <si>
    <t>SS-5406-12-06 - 3/4" Male Pipe x 3/8" Female Pipe, stainless steel</t>
  </si>
  <si>
    <t xml:space="preserve">4 SS-5406-12-06 - 3/4" Male Pipe x 3/8" Female Pipe, stainless steel SS-5406-12-06-FG </t>
  </si>
  <si>
    <t>SS-5406-12-08 - 3/4" Male Pipe x 1/2" Female Pipe, stainless steel</t>
  </si>
  <si>
    <t xml:space="preserve">2 SS-5406-12-08 - 3/4" Male Pipe x 1/2" Female Pipe, stainless steel SS-5406-12-08-FG </t>
  </si>
  <si>
    <t>SS-5406-16-08 - 1" Male Pipe to 1/2" Female Pipe, stainless steel</t>
  </si>
  <si>
    <t xml:space="preserve">7 SS-5406-16-08 - 1" Male Pipe to 1/2" Female Pipe, stainless steel SS-5406-16-08-FG </t>
  </si>
  <si>
    <t>SS-5406-16-12 - 1" Male Pipe x 3/4" Female Pipe, stainless steel</t>
  </si>
  <si>
    <t xml:space="preserve">1 SS-5406-16-12 - 1" Male Pipe x 3/4" Female Pipe, stainless steel SS-5406-16-12-FG </t>
  </si>
  <si>
    <t>SS-5500-08-08 - 1/2" Male Pipe x 1/2" Male Pipe 90°, stainless steel</t>
  </si>
  <si>
    <t xml:space="preserve">2 SS-5500-08-08 - 1/2" Male Pipe x 1/2" Male Pipe 90°, stainless steel SS-5500-08-08-FG </t>
  </si>
  <si>
    <t>SS-5500-16-16 - 1" Male Pipe x 1" Male Pipe 90°, stainless steel</t>
  </si>
  <si>
    <t xml:space="preserve">4 SS-5500-16-16 - 1" Male Pipe x 1" Male Pipe 90°, stainless steel SS-5500-16-16-FG </t>
  </si>
  <si>
    <t>SS-5602-08-08-08 - 1/2" m-f-f Pipe Tee, stainless steel</t>
  </si>
  <si>
    <t xml:space="preserve">2 SS-5602-08-08-08 - 1/2" m-f-f Pipe Tee, stainless steel SS-5602-08-08-08-FG </t>
  </si>
  <si>
    <t>SS-5604-08-08-08 - 1/2" f-m-f Pipe Tee, stainless steel</t>
  </si>
  <si>
    <t xml:space="preserve">1 SS-5604-08-08-08 - 1/2" f-m-f Pipe Tee, stainless steel SS-5604-08-08-08-FG </t>
  </si>
  <si>
    <t>SS-5605-12-12-12 - 3/4" Female Pipe Tee, stainless steel</t>
  </si>
  <si>
    <t xml:space="preserve">1 SS-5605-12-12-12 - 3/4" Female Pipe Tee, stainless steel SS-5605-12-12-12-FG </t>
  </si>
  <si>
    <t>SS-5605-16-16-16 - 1" Female Pipe Tee, stainless steel</t>
  </si>
  <si>
    <t xml:space="preserve">1 SS-5605-16-16-16 - 1" Female Pipe Tee, stainless steel SS-5605-16-16-16-FG </t>
  </si>
  <si>
    <t>SS-5652-08-08-08-08 - 1/2" Female Pipe Cross, stainless steel</t>
  </si>
  <si>
    <t xml:space="preserve">2 SS-5652-08-08-08-08 - 1/2" Female Pipe Cross, stainless steel SS-5652-08-08-08-08-FG </t>
  </si>
  <si>
    <t>SS-5652-12-12-12-12 - 3/4" Female Pipe Cross, stainless steel</t>
  </si>
  <si>
    <t>SS-5652-16-16-16-16 - 1" Female Pipe Cross, stainless steel</t>
  </si>
  <si>
    <t>SS-6400-16-12 - 1" JIC 37° x 3/4" ORB Male (#12 thread), stainless steel</t>
  </si>
  <si>
    <t xml:space="preserve">2 SS-6400-16-12 - 1" JIC 37° x 3/4" ORB Male (#12 thread), stainless steel SS-6400-16-12-FG </t>
  </si>
  <si>
    <t>SS-6500-04-04 - 1/4" JIC female swivel to 1/4" JIC Male, 90°, stainless steel</t>
  </si>
  <si>
    <t xml:space="preserve">4 SS-6500-04-04 - 1/4" JIC female swivel to 1/4" JIC Male, 90°, stainless steel SS-6500-04-04-FG </t>
  </si>
  <si>
    <t>SS-6500-06-06 - 3/8" JIC female swivel to 3/8" JIC Male, 90°, stainless steel</t>
  </si>
  <si>
    <t xml:space="preserve">2 SS-6500-06-06 - 3/8" JIC female swivel to 3/8" JIC Male, 90°, stainless steel SS-6500-06-06-FG </t>
  </si>
  <si>
    <t xml:space="preserve">2 SS-6600-06-06-06 - 3/8" JIC tee, m-f-m, female swivel, stainless steel SS-6600-06-06-06-FG </t>
  </si>
  <si>
    <t>SS-9005-12-12 - 3/4" Male JIC x 3/4" Male BSPP, stainless steel</t>
  </si>
  <si>
    <t>SS-9035-12-12 - 3/4" Male BSPP x 3/4" Female NPTF, stainless steel</t>
  </si>
  <si>
    <t>vendor/ordered</t>
  </si>
  <si>
    <t>recorded in BOM</t>
  </si>
  <si>
    <t>x</t>
  </si>
  <si>
    <t>v</t>
  </si>
  <si>
    <t>SS-2404-04-04-FG - 1/4" JIC 37° x 1/4" Male Pipe, stainless steel</t>
  </si>
  <si>
    <t>SS-2404-06-04-FG- 3/8" JIC 37° x 1/4" Male Pipe, stainless steel</t>
  </si>
  <si>
    <t>SS-2404-06-06-FG - 3/8" JIC 37° x 3/8" Male Pipe, stainless steel</t>
  </si>
  <si>
    <t>SS-2404-08-08-FG - 1/2" JIC 37° x 1/2" Male Pipe, stainless steel</t>
  </si>
  <si>
    <t>SS-2404-08-12-FG - 1/2" JIC 37° x 3/4" Male Pipe, stainless steel</t>
  </si>
  <si>
    <t>SS-2404-12-12-FG - 3/4" JIC 37° x 3/4" Male Pipe, stainless steel</t>
  </si>
  <si>
    <t>SS-2404-16-16-FG - 1" JIC 37° x 1" Male Pipe, stainless steel</t>
  </si>
  <si>
    <t>SS-2501-08-08-FG - 1/2" JIC 37° x 1/2" Male Pipe 90°, stainless steel</t>
  </si>
  <si>
    <t>SS-2501-12-12-FG - 3/4" JIC 37° x 3/4" Male Pipe 90°, stainless steel</t>
  </si>
  <si>
    <t>SS-2503-04-04-FG - 1/4" NPT male to 1/4" JIC male, 45°, stainless steel</t>
  </si>
  <si>
    <t>SS-5404-06-06-FG - 3/8" Male Pipe x 3/8" Male Pipe, stainless steel</t>
  </si>
  <si>
    <t>SS-5404-08-06-FG - 1/2" Male Pipe x 3/8" Male Pipe, stainless steel</t>
  </si>
  <si>
    <t>SS-5404-08-08-FG - 1/2" Male Pipe x 1/2" Male Pipe, stainless steel</t>
  </si>
  <si>
    <t>SS-5404-12-08-FG - 3/4" Male Pipe x 1/2" Male Pipe, stainless steel</t>
  </si>
  <si>
    <t>SS-5404-12-12-FG - 3/4" Male Pipe x 3/4" Male Pipe, stainless steel</t>
  </si>
  <si>
    <t>H</t>
  </si>
  <si>
    <t>SS-5404-16-16-FG - 1" Male Pipe x 1" Male Pipe, stainless steel</t>
  </si>
  <si>
    <t>SS-5406-08-04-FG - 1/2" Male Pipe x 1/4" Female Pipe, stainless steel</t>
  </si>
  <si>
    <t>SS-5406-12-06-FG - 3/4" Male Pipe x 3/8" Female Pipe, stainless steel</t>
  </si>
  <si>
    <t>SS-5406-12-08-FG - 3/4" Male Pipe x 1/2" Female Pipe, stainless steel</t>
  </si>
  <si>
    <t>SS-5406-16-08-FG - 1" Male Pipe to 1/2" Female Pipe, stainless steel</t>
  </si>
  <si>
    <t>SS-5406-16-12-FG - 1" Male Pipe x 3/4" Female Pipe, stainless steel</t>
  </si>
  <si>
    <t>SS-5500-08-08-FG - 1/2" Male Pipe x 1/2" Male Pipe 90°, stainless steel</t>
  </si>
  <si>
    <t>SS-5500-16-16-FG - 1" Male Pipe x 1" Male Pipe 90°, stainless steel</t>
  </si>
  <si>
    <t>SS-5602-08-08-08-FG - 1/2" m-f-f Pipe Tee, stainless steel</t>
  </si>
  <si>
    <t>SS-5604-08-08-08-FG - 1/2" f-m-f Pipe Tee, stainless steel</t>
  </si>
  <si>
    <t>SS-5605-12-12-12-FG - 3/4" Female Pipe Tee, stainless steel</t>
  </si>
  <si>
    <t>M</t>
  </si>
  <si>
    <t>SS-5605-16-16-16-FG - 1" Female Pipe Tee, stainless steel</t>
  </si>
  <si>
    <t>SS-5652-08-08-08-08-FG - 1/2" Female Pipe Cross, stainless steel</t>
  </si>
  <si>
    <t>SS-5652-12-12-12-12-FG - 3/4" Female Pipe Cross, stainless steel</t>
  </si>
  <si>
    <t>SS-5652-16-16-16-16-FG - 1" Female Pipe Cross, stainless steel</t>
  </si>
  <si>
    <t>SS-6400-16-12-FG - 1" JIC 37° x 3/4" ORB Male (#12 thread), stainless steel</t>
  </si>
  <si>
    <t>SS-6500-04-04-FG - 1/4" JIC female swivel to 1/4" JIC Male, 90°, stainless steel</t>
  </si>
  <si>
    <t>SS-6500-06-06-FG - 3/8" JIC female swivel to 3/8" JIC Male, 90°, stainless steel</t>
  </si>
  <si>
    <t>SS-6600-06-06-06-FG - 3/8" JIC tee, m-f-m, female swivel, stainless steel</t>
  </si>
  <si>
    <t>Check valves, boost pump outlet</t>
  </si>
  <si>
    <t>Banjo CV100MT</t>
  </si>
  <si>
    <t>CV100MT</t>
  </si>
  <si>
    <t>R1-16 | 1" SAE 100R1AT Hydraulic Hose (by the foot)</t>
  </si>
  <si>
    <t>R1-12</t>
  </si>
  <si>
    <t>Hose assem. 3/4" JIC female swivel, stainless steel</t>
  </si>
  <si>
    <t>3/4" female JIC swivel end (SS-FJX-12-12), length TBD</t>
  </si>
  <si>
    <t>Hose assem. 1" JIC female swivel, stainless steel</t>
  </si>
  <si>
    <t>Discount Hydraulics</t>
  </si>
  <si>
    <t xml:space="preserve">Fitting #1: SS-FJX-16-16W | Fitting #2: SS-MP-16-16W </t>
  </si>
  <si>
    <t>Hose assem. Inlet/outlet, 1, stainless steel</t>
  </si>
  <si>
    <t>3/8" female JIC swivel end (SS-FJX-06-06), length TBD</t>
  </si>
  <si>
    <t>Hose assem. Inlet/outlet, 2, stainless steel</t>
  </si>
  <si>
    <t>Hose assem. Intermediate, stainless steel</t>
  </si>
  <si>
    <t>1/4" female JIC swivel end (SS-FJX-04-04), length TBD</t>
  </si>
  <si>
    <t>3/8"-16 HoloKrome® Allenut</t>
  </si>
  <si>
    <t>Hex Head Screws, 1/2"-13 1-12in, pack of 25</t>
  </si>
  <si>
    <t>22TH31</t>
  </si>
  <si>
    <t>Socket Head Cap Screws, 1/2"-13 3/4in, pack of 10</t>
  </si>
  <si>
    <t>22TR54</t>
  </si>
  <si>
    <t>Strut channel, 1-5/8 x 1-5/8 12ga painted, per foot</t>
  </si>
  <si>
    <t>Low pressure check valve</t>
  </si>
  <si>
    <t>MCV100</t>
  </si>
  <si>
    <t>3/8" NPT male to 3/8" JIC male, stainless steel</t>
  </si>
  <si>
    <t>SS-2403-06-06</t>
  </si>
  <si>
    <t>1/4" NPT male to 1/4" JIC male, stainless steel</t>
  </si>
  <si>
    <t>SS-2404-04-04</t>
  </si>
  <si>
    <t>1/4" NPT male to 3/8" JIC male, stainless steel</t>
  </si>
  <si>
    <t>SS-2404-06-04</t>
  </si>
  <si>
    <t>1/2" NPT male to 1/2" JIC male 90 deg, stainless steel</t>
  </si>
  <si>
    <t>SS-2501-08-08</t>
  </si>
  <si>
    <t>3/4" NPT male to 3/8" NPT female, stainless steel</t>
  </si>
  <si>
    <t>SS-5406-12-06</t>
  </si>
  <si>
    <t>1" NPT male to 1/2" female, stainless steel</t>
  </si>
  <si>
    <t>#12 ORB male to 1" JIC male fitting. Stainless steel</t>
  </si>
  <si>
    <t>SS-6400-16-12</t>
  </si>
  <si>
    <t>https://www.hydraulicsdirect.com/SS-6400-Stainless-Steel-SAE-O-Ring-Boss-p/ss-6400.htm</t>
  </si>
  <si>
    <t>1/4" JIC female swivel to 1/4" JIC Male, 90deg, stainless steel</t>
  </si>
  <si>
    <t>SS-6500-04-04</t>
  </si>
  <si>
    <t>3/8" JIC female swivel to 3/8" JIC Male, 90deg, stainless steel</t>
  </si>
  <si>
    <t>SS-6500-06-06</t>
  </si>
  <si>
    <t>3/8" JIC tee, m-f-m, female swivel, stainless steel</t>
  </si>
  <si>
    <t>SS-6600-06-06-06</t>
  </si>
  <si>
    <t>3/4" Male JIC x 3/4" Male BSPP, 316SS</t>
  </si>
  <si>
    <t>SS-9005-12-12</t>
  </si>
  <si>
    <t>3/4" Male BSPP x 3/4" Male NPTF, 316SS</t>
  </si>
  <si>
    <t>SS-9007-12-12</t>
  </si>
  <si>
    <t>2" NPT male tp 1" NPT female, stainless steel</t>
  </si>
  <si>
    <t>Inline Reducing Tee, 3/4 Socket Female x 1/2 NPT Female, Thick wall plastic</t>
  </si>
  <si>
    <t>PO request 2/6/2024</t>
  </si>
  <si>
    <t>Sch. 80 plastic pipe, 5ft</t>
  </si>
  <si>
    <t>3/4" JIC (1 1/16"-12 thread) 37° x 3/4" Male Pipe 90°</t>
  </si>
  <si>
    <t>SS-2501-12-12</t>
  </si>
  <si>
    <t>3/4" Male BSPP x 3/4" Female NPTF</t>
  </si>
  <si>
    <t>SS-9035-12-12</t>
  </si>
  <si>
    <t>90° Elbow: 3/4" Male JIC x 3/4" Male BSPP Adj.</t>
  </si>
  <si>
    <t>SS-9059-12-12</t>
  </si>
  <si>
    <t>1.500" Alloy Steel Round Bar 4140 Cold Finished Heat Treated, 1ft</t>
  </si>
  <si>
    <t>1/4" NPT male to 1/4" JIC male, 45deg, stainless steel</t>
  </si>
  <si>
    <t>1-1/4" NPT male to 1/2" female, stainless steel</t>
  </si>
  <si>
    <t>fittings???</t>
  </si>
  <si>
    <t>Hose assem. 1/2" JIC female swivel, stainless steel</t>
  </si>
  <si>
    <t>Fitting #1: SS-FJX-08-08 | Fitting #2: SS-FJX-08-08</t>
  </si>
  <si>
    <t>Low-pressure accumulator and RO module rack</t>
  </si>
  <si>
    <t>steel bar, 2"x6'x0.25"`</t>
  </si>
  <si>
    <t>steel plate, 12"x57'x0.25"`</t>
  </si>
  <si>
    <t>Banjo HBF075-100</t>
  </si>
  <si>
    <t>C</t>
  </si>
  <si>
    <t>HB075-100 &amp; CPLG075</t>
  </si>
  <si>
    <t>oA</t>
  </si>
  <si>
    <t>Banjo RB125-075</t>
  </si>
  <si>
    <t>oC</t>
  </si>
  <si>
    <t>RB125-100 &amp; RB100-075</t>
  </si>
  <si>
    <t>Banjo RB150-125</t>
  </si>
  <si>
    <t>Banjo RN125-075</t>
  </si>
  <si>
    <t>xA</t>
  </si>
  <si>
    <t>Banjo V150-SL</t>
  </si>
  <si>
    <t>SS-2403-06-06 - 3/8" NPT male to 3/8" JIC male, stainless steel</t>
  </si>
  <si>
    <t>SS-2404-08-08 - 1/2" JIC 37° x 1/2" Male Pipe</t>
  </si>
  <si>
    <t>SS-2404-12-12 - 3/4" JIC 37° x 3/4" Male Pipe</t>
  </si>
  <si>
    <t>SS-2404-16-16 - 1" JIC 37° x 1" Male Pipe</t>
  </si>
  <si>
    <t>SS-2501-12-12 - 3/4" JIC 37° x 3/4" Male Pipe 90°</t>
  </si>
  <si>
    <t>A</t>
  </si>
  <si>
    <t>Banjo V075-SL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</si>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</sst>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\$#,##0"/>
    <numFmt numFmtId="165" formatCode="\$#,##0\ ;[Red]&quot;($&quot;#,##0\)"/>
    <numFmt numFmtId="166" formatCode="\$#,##0.00"/>
    <numFmt numFmtId="167" formatCode="&quot;$&quot;#,##0.00"/>
    <numFmt numFmtId="168" formatCode="&quot;$&quot;#,##0"/>
    <numFmt numFmtId="169" formatCode="m/d/yy"/>
    <numFmt numFmtId="170" formatCode="mm/dd/yyyy"/>
    <numFmt numFmtId="171" formatCode="&quot;$&quot;#,##0.00_);[Red]\(&quot;$&quot;#,##0.00\)"/>
  </numFmts>
  <fonts count="26">
    <font>
      <sz val="10.0"/>
      <color rgb="FF000000"/>
      <name val="Times New Roman"/>
      <scheme val="minor"/>
    </font>
    <font>
      <b/>
      <sz val="10.0"/>
      <color rgb="FF000000"/>
      <name val="Times New Roman"/>
    </font>
    <font>
      <sz val="10.0"/>
      <color rgb="FF000000"/>
      <name val="Times New Roman"/>
    </font>
    <font>
      <i/>
      <sz val="10.0"/>
      <color rgb="FF000000"/>
      <name val="Times New Roman"/>
    </font>
    <font>
      <sz val="10.0"/>
      <color theme="1"/>
      <name val="Times New Roman"/>
    </font>
    <font>
      <color theme="1"/>
      <name val="Times New Roman"/>
      <scheme val="minor"/>
    </font>
    <font>
      <u/>
      <sz val="10.0"/>
      <color theme="10"/>
      <name val="Times New Roman"/>
    </font>
    <font>
      <i/>
      <sz val="10.0"/>
      <color theme="1"/>
      <name val="Times New Roman"/>
    </font>
    <font>
      <sz val="10.0"/>
      <color theme="1"/>
      <name val="Times New Roman"/>
      <scheme val="minor"/>
    </font>
    <font>
      <sz val="9.0"/>
      <color rgb="FF333333"/>
      <name val="HelveticaNeueeTextPro-Md"/>
    </font>
    <font>
      <sz val="9.0"/>
      <color rgb="FF333333"/>
      <name val="Arial"/>
    </font>
    <font>
      <sz val="9.0"/>
      <color rgb="FF333333"/>
      <name val="HelveticaNeueeTextPro-Roman"/>
    </font>
    <font>
      <b/>
      <sz val="10.0"/>
      <color theme="1"/>
      <name val="Times New Roman"/>
    </font>
    <font>
      <u/>
      <sz val="10.0"/>
      <color theme="10"/>
      <name val="Times New Roman"/>
    </font>
    <font>
      <u/>
      <sz val="10.0"/>
      <color theme="10"/>
      <name val="Arial"/>
    </font>
    <font>
      <color rgb="FF000000"/>
      <name val="Roboto"/>
    </font>
    <font>
      <sz val="11.0"/>
      <color rgb="FF000000"/>
      <name val="Roboto"/>
    </font>
    <font>
      <sz val="10.0"/>
      <color rgb="FF000000"/>
      <name val="Averta"/>
    </font>
    <font>
      <sz val="10.0"/>
      <color rgb="FF000000"/>
      <name val="Roboto"/>
    </font>
    <font>
      <sz val="10.0"/>
      <color rgb="FF000000"/>
      <name val="Arial"/>
    </font>
    <font>
      <sz val="9.0"/>
      <color rgb="FF444444"/>
      <name val="Roboto"/>
    </font>
    <font>
      <sz val="10.0"/>
      <color theme="1"/>
      <name val="Arial"/>
    </font>
    <font>
      <sz val="11.0"/>
      <color theme="1"/>
      <name val="Times New Roman"/>
    </font>
    <font>
      <b/>
      <sz val="11.0"/>
      <color rgb="FF000000"/>
      <name val="Times New Roman"/>
    </font>
    <font>
      <sz val="11.0"/>
      <color rgb="FF000000"/>
      <name val="Times New Roman"/>
    </font>
    <font>
      <i/>
      <sz val="11.0"/>
      <color rgb="FF000000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164" xfId="0" applyFont="1" applyNumberFormat="1"/>
    <xf borderId="0" fillId="0" fontId="1" numFmtId="3" xfId="0" applyFont="1" applyNumberFormat="1"/>
    <xf borderId="0" fillId="0" fontId="1" numFmtId="165" xfId="0" applyFont="1" applyNumberFormat="1"/>
    <xf borderId="0" fillId="0" fontId="1" numFmtId="0" xfId="0" applyFont="1"/>
    <xf borderId="0" fillId="0" fontId="1" numFmtId="0" xfId="0" applyAlignment="1" applyFont="1">
      <alignment horizontal="left"/>
    </xf>
    <xf borderId="0" fillId="0" fontId="2" numFmtId="0" xfId="0" applyFont="1"/>
    <xf borderId="0" fillId="0" fontId="3" numFmtId="0" xfId="0" applyAlignment="1" applyFont="1">
      <alignment shrinkToFit="0" wrapText="1"/>
    </xf>
    <xf borderId="0" fillId="0" fontId="2" numFmtId="166" xfId="0" applyAlignment="1" applyFont="1" applyNumberFormat="1">
      <alignment shrinkToFit="0" wrapText="1"/>
    </xf>
    <xf borderId="0" fillId="0" fontId="4" numFmtId="167" xfId="0" applyFont="1" applyNumberFormat="1"/>
    <xf borderId="0" fillId="0" fontId="2" numFmtId="168" xfId="0" applyFont="1" applyNumberFormat="1"/>
    <xf borderId="0" fillId="0" fontId="2" numFmtId="169" xfId="0" applyFont="1" applyNumberFormat="1"/>
    <xf borderId="0" fillId="0" fontId="2" numFmtId="166" xfId="0" applyFont="1" applyNumberFormat="1"/>
    <xf borderId="0" fillId="0" fontId="2" numFmtId="0" xfId="0" applyAlignment="1" applyFont="1">
      <alignment horizontal="left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168" xfId="0" applyFont="1" applyNumberFormat="1"/>
    <xf borderId="0" fillId="0" fontId="4" numFmtId="0" xfId="0" applyAlignment="1" applyFont="1">
      <alignment horizontal="left"/>
    </xf>
    <xf borderId="0" fillId="0" fontId="5" numFmtId="0" xfId="0" applyAlignment="1" applyFont="1">
      <alignment horizontal="left"/>
    </xf>
    <xf borderId="0" fillId="0" fontId="5" numFmtId="0" xfId="0" applyFont="1"/>
    <xf borderId="0" fillId="0" fontId="6" numFmtId="0" xfId="0" applyAlignment="1" applyFont="1">
      <alignment shrinkToFit="0" vertical="center" wrapText="1"/>
    </xf>
    <xf borderId="0" fillId="0" fontId="2" numFmtId="14" xfId="0" applyFont="1" applyNumberFormat="1"/>
    <xf borderId="0" fillId="0" fontId="5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5" numFmtId="0" xfId="0" applyAlignment="1" applyFont="1">
      <alignment horizontal="left" readingOrder="0"/>
    </xf>
    <xf borderId="0" fillId="0" fontId="2" numFmtId="167" xfId="0" applyFont="1" applyNumberFormat="1"/>
    <xf borderId="0" fillId="0" fontId="2" numFmtId="49" xfId="0" applyAlignment="1" applyFont="1" applyNumberFormat="1">
      <alignment shrinkToFit="0" wrapText="1"/>
    </xf>
    <xf borderId="0" fillId="0" fontId="3" numFmtId="49" xfId="0" applyAlignment="1" applyFont="1" applyNumberFormat="1">
      <alignment shrinkToFit="0" wrapText="1"/>
    </xf>
    <xf borderId="0" fillId="0" fontId="7" numFmtId="0" xfId="0" applyAlignment="1" applyFont="1">
      <alignment shrinkToFit="0" wrapText="1"/>
    </xf>
    <xf borderId="0" fillId="0" fontId="2" numFmtId="165" xfId="0" applyFont="1" applyNumberFormat="1"/>
    <xf borderId="0" fillId="0" fontId="4" numFmtId="0" xfId="0" applyAlignment="1" applyFont="1">
      <alignment readingOrder="0" shrinkToFit="0" wrapText="1"/>
    </xf>
    <xf borderId="0" fillId="0" fontId="4" numFmtId="167" xfId="0" applyAlignment="1" applyFont="1" applyNumberFormat="1">
      <alignment readingOrder="0" shrinkToFit="0" wrapText="1"/>
    </xf>
    <xf borderId="0" fillId="0" fontId="4" numFmtId="170" xfId="0" applyAlignment="1" applyFont="1" applyNumberFormat="1">
      <alignment readingOrder="0" shrinkToFit="0" wrapText="1"/>
    </xf>
    <xf borderId="0" fillId="2" fontId="0" numFmtId="0" xfId="0" applyAlignment="1" applyFill="1" applyFont="1">
      <alignment readingOrder="0" shrinkToFit="0" wrapText="0"/>
    </xf>
    <xf borderId="0" fillId="0" fontId="8" numFmtId="0" xfId="0" applyAlignment="1" applyFont="1">
      <alignment readingOrder="0" shrinkToFit="0" wrapText="1"/>
    </xf>
    <xf borderId="0" fillId="2" fontId="9" numFmtId="0" xfId="0" applyAlignment="1" applyFont="1">
      <alignment readingOrder="0"/>
    </xf>
    <xf borderId="0" fillId="2" fontId="10" numFmtId="167" xfId="0" applyAlignment="1" applyFont="1" applyNumberFormat="1">
      <alignment readingOrder="0"/>
    </xf>
    <xf borderId="0" fillId="2" fontId="11" numFmtId="0" xfId="0" applyAlignment="1" applyFont="1">
      <alignment readingOrder="0"/>
    </xf>
    <xf borderId="0" fillId="0" fontId="4" numFmtId="0" xfId="0" applyAlignment="1" applyFont="1">
      <alignment horizontal="left" shrinkToFit="0" wrapText="1"/>
    </xf>
    <xf borderId="0" fillId="0" fontId="2" numFmtId="0" xfId="0" applyAlignment="1" applyFont="1">
      <alignment readingOrder="0"/>
    </xf>
    <xf borderId="0" fillId="0" fontId="2" numFmtId="167" xfId="0" applyAlignment="1" applyFont="1" applyNumberFormat="1">
      <alignment readingOrder="0"/>
    </xf>
    <xf borderId="0" fillId="0" fontId="12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2" numFmtId="3" xfId="0" applyFont="1" applyNumberFormat="1"/>
    <xf borderId="0" fillId="0" fontId="13" numFmtId="0" xfId="0" applyFont="1"/>
    <xf borderId="0" fillId="0" fontId="7" numFmtId="0" xfId="0" applyAlignment="1" applyFont="1">
      <alignment horizontal="left" shrinkToFit="0" wrapText="1"/>
    </xf>
    <xf borderId="0" fillId="0" fontId="14" numFmtId="0" xfId="0" applyFont="1"/>
    <xf borderId="0" fillId="2" fontId="15" numFmtId="168" xfId="0" applyAlignment="1" applyFont="1" applyNumberFormat="1">
      <alignment horizontal="right" readingOrder="0" shrinkToFit="0" wrapText="0"/>
    </xf>
    <xf borderId="0" fillId="2" fontId="16" numFmtId="0" xfId="0" applyAlignment="1" applyFont="1">
      <alignment readingOrder="0"/>
    </xf>
    <xf borderId="0" fillId="2" fontId="15" numFmtId="0" xfId="0" applyAlignment="1" applyFont="1">
      <alignment horizontal="left" readingOrder="0"/>
    </xf>
    <xf borderId="0" fillId="2" fontId="15" numFmtId="167" xfId="0" applyAlignment="1" applyFont="1" applyNumberForma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2" fontId="17" numFmtId="0" xfId="0" applyAlignment="1" applyFont="1">
      <alignment horizontal="left" readingOrder="0"/>
    </xf>
    <xf borderId="0" fillId="2" fontId="18" numFmtId="0" xfId="0" applyAlignment="1" applyFont="1">
      <alignment readingOrder="0"/>
    </xf>
    <xf borderId="0" fillId="0" fontId="19" numFmtId="167" xfId="0" applyFont="1" applyNumberFormat="1"/>
    <xf borderId="0" fillId="0" fontId="2" numFmtId="49" xfId="0" applyAlignment="1" applyFont="1" applyNumberFormat="1">
      <alignment readingOrder="0" shrinkToFit="0" wrapText="1"/>
    </xf>
    <xf borderId="0" fillId="0" fontId="2" numFmtId="169" xfId="0" applyAlignment="1" applyFont="1" applyNumberFormat="1">
      <alignment readingOrder="0"/>
    </xf>
    <xf borderId="0" fillId="2" fontId="20" numFmtId="0" xfId="0" applyAlignment="1" applyFont="1">
      <alignment horizontal="left" readingOrder="0" vertical="top"/>
    </xf>
    <xf borderId="0" fillId="2" fontId="20" numFmtId="0" xfId="0" applyAlignment="1" applyFont="1">
      <alignment horizontal="left" readingOrder="0"/>
    </xf>
    <xf borderId="0" fillId="0" fontId="4" numFmtId="14" xfId="0" applyAlignment="1" applyFont="1" applyNumberFormat="1">
      <alignment shrinkToFit="0" wrapText="1"/>
    </xf>
    <xf borderId="0" fillId="0" fontId="12" numFmtId="0" xfId="0" applyFont="1"/>
    <xf borderId="0" fillId="0" fontId="12" numFmtId="165" xfId="0" applyFont="1" applyNumberFormat="1"/>
    <xf borderId="0" fillId="0" fontId="21" numFmtId="0" xfId="0" applyAlignment="1" applyFont="1">
      <alignment shrinkToFit="0" wrapText="1"/>
    </xf>
    <xf borderId="0" fillId="0" fontId="22" numFmtId="0" xfId="0" applyFont="1"/>
    <xf borderId="0" fillId="0" fontId="23" numFmtId="3" xfId="0" applyFont="1" applyNumberFormat="1"/>
    <xf borderId="0" fillId="0" fontId="23" numFmtId="0" xfId="0" applyAlignment="1" applyFont="1">
      <alignment shrinkToFit="0" wrapText="1"/>
    </xf>
    <xf borderId="0" fillId="0" fontId="23" numFmtId="164" xfId="0" applyFont="1" applyNumberFormat="1"/>
    <xf borderId="0" fillId="0" fontId="2" numFmtId="167" xfId="0" applyAlignment="1" applyFont="1" applyNumberFormat="1">
      <alignment horizontal="right"/>
    </xf>
    <xf borderId="0" fillId="0" fontId="23" numFmtId="165" xfId="0" applyFont="1" applyNumberFormat="1"/>
    <xf borderId="0" fillId="0" fontId="23" numFmtId="0" xfId="0" applyFont="1"/>
    <xf borderId="0" fillId="0" fontId="24" numFmtId="49" xfId="0" applyAlignment="1" applyFont="1" applyNumberFormat="1">
      <alignment shrinkToFit="0" wrapText="1"/>
    </xf>
    <xf borderId="0" fillId="0" fontId="24" numFmtId="0" xfId="0" applyFont="1"/>
    <xf borderId="0" fillId="0" fontId="24" numFmtId="168" xfId="0" applyFont="1" applyNumberFormat="1"/>
    <xf borderId="0" fillId="0" fontId="24" numFmtId="169" xfId="0" applyFont="1" applyNumberFormat="1"/>
    <xf borderId="0" fillId="0" fontId="24" numFmtId="166" xfId="0" applyFont="1" applyNumberFormat="1"/>
    <xf borderId="0" fillId="0" fontId="2" numFmtId="171" xfId="0" applyFont="1" applyNumberFormat="1"/>
    <xf borderId="0" fillId="0" fontId="24" numFmtId="0" xfId="0" applyAlignment="1" applyFont="1">
      <alignment shrinkToFit="0" wrapText="1"/>
    </xf>
    <xf borderId="0" fillId="0" fontId="24" numFmtId="3" xfId="0" applyFont="1" applyNumberFormat="1"/>
    <xf borderId="0" fillId="0" fontId="24" numFmtId="14" xfId="0" applyFont="1" applyNumberFormat="1"/>
    <xf borderId="0" fillId="0" fontId="24" numFmtId="166" xfId="0" applyAlignment="1" applyFont="1" applyNumberFormat="1">
      <alignment shrinkToFit="0" wrapText="1"/>
    </xf>
    <xf borderId="0" fillId="0" fontId="25" numFmtId="0" xfId="0" applyAlignment="1" applyFont="1">
      <alignment shrinkToFit="0" wrapText="1"/>
    </xf>
    <xf borderId="0" fillId="0" fontId="25" numFmtId="49" xfId="0" applyAlignment="1" applyFont="1" applyNumberFormat="1">
      <alignment shrinkToFit="0" wrapText="1"/>
    </xf>
    <xf borderId="0" fillId="0" fontId="24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heavydutydepot.com/product/lo-vejoy-68514437937-l225-coupling-hub-with-splines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hydraulicsdirect.com/SS-6400-Stainless-Steel-SAE-O-Ring-Boss-p/ss-6400.htm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59.86"/>
    <col customWidth="1" min="2" max="2" width="19.29"/>
    <col customWidth="1" min="3" max="3" width="10.14"/>
    <col customWidth="1" min="4" max="4" width="9.86"/>
    <col customWidth="1" min="5" max="5" width="27.29"/>
    <col customWidth="1" min="6" max="6" width="20.71"/>
    <col customWidth="1" min="7" max="7" width="23.29"/>
    <col customWidth="1" min="8" max="8" width="13.29"/>
    <col customWidth="1" min="9" max="9" width="30.86"/>
    <col customWidth="1" min="10" max="11" width="11.29"/>
    <col customWidth="1" min="12" max="14" width="13.29"/>
    <col customWidth="1" min="15" max="26" width="14.29"/>
  </cols>
  <sheetData>
    <row r="1" ht="12.7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2.75" customHeight="1">
      <c r="A2" s="1" t="s">
        <v>10</v>
      </c>
      <c r="B2" s="4">
        <f>SUM(D3:D202)</f>
        <v>5456.11</v>
      </c>
      <c r="C2" s="3"/>
      <c r="D2" s="7"/>
      <c r="E2" s="5"/>
      <c r="F2" s="5"/>
      <c r="G2" s="6"/>
      <c r="H2" s="5"/>
      <c r="I2" s="5"/>
      <c r="J2" s="5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 t="s">
        <v>11</v>
      </c>
      <c r="B3" s="4">
        <f>SUM(D4:D10)</f>
        <v>602.85</v>
      </c>
      <c r="C3" s="3"/>
      <c r="D3" s="7"/>
      <c r="E3" s="5"/>
      <c r="F3" s="5"/>
      <c r="G3" s="6"/>
      <c r="H3" s="5"/>
      <c r="I3" s="5"/>
      <c r="J3" s="5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2.75" customHeight="1">
      <c r="A4" s="9" t="s">
        <v>12</v>
      </c>
      <c r="B4" s="10">
        <v>8.95</v>
      </c>
      <c r="C4" s="7">
        <v>20.0</v>
      </c>
      <c r="D4" s="11">
        <f>C4*B4</f>
        <v>179</v>
      </c>
      <c r="E4" s="12">
        <v>45631.0</v>
      </c>
      <c r="F4" s="13" t="s">
        <v>13</v>
      </c>
      <c r="G4" s="14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2.0" customHeight="1">
      <c r="A5" s="15" t="s">
        <v>14</v>
      </c>
      <c r="B5" s="10">
        <v>4.56</v>
      </c>
      <c r="C5" s="16">
        <v>20.0</v>
      </c>
      <c r="D5" s="17">
        <f t="shared" ref="D5:D6" si="1">B5*C5</f>
        <v>91.2</v>
      </c>
      <c r="E5" s="12">
        <v>45631.0</v>
      </c>
      <c r="F5" s="13" t="s">
        <v>13</v>
      </c>
      <c r="G5" s="18"/>
      <c r="H5" s="16"/>
      <c r="I5" s="1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2.0" customHeight="1">
      <c r="A6" s="15" t="s">
        <v>15</v>
      </c>
      <c r="B6" s="10">
        <v>3.12</v>
      </c>
      <c r="C6" s="16">
        <v>20.0</v>
      </c>
      <c r="D6" s="17">
        <f t="shared" si="1"/>
        <v>62.4</v>
      </c>
      <c r="E6" s="12">
        <v>45631.0</v>
      </c>
      <c r="F6" s="13" t="s">
        <v>13</v>
      </c>
      <c r="G6" s="18"/>
      <c r="H6" s="16"/>
      <c r="I6" s="16"/>
      <c r="J6" s="16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2.0" customHeight="1">
      <c r="A7" s="15" t="s">
        <v>16</v>
      </c>
      <c r="B7" s="10">
        <v>3.77</v>
      </c>
      <c r="C7" s="16">
        <v>25.0</v>
      </c>
      <c r="D7" s="17">
        <v>94.25</v>
      </c>
      <c r="E7" s="12">
        <v>45700.0</v>
      </c>
      <c r="F7" s="13" t="s">
        <v>17</v>
      </c>
      <c r="G7" s="14" t="s">
        <v>18</v>
      </c>
      <c r="H7" s="16"/>
      <c r="I7" s="16"/>
      <c r="J7" s="16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2.0" customHeight="1">
      <c r="A8" s="15" t="s">
        <v>19</v>
      </c>
      <c r="B8" s="10">
        <v>3.3</v>
      </c>
      <c r="C8" s="16">
        <v>20.0</v>
      </c>
      <c r="D8" s="17">
        <f t="shared" ref="D8:D17" si="2">B8*C8</f>
        <v>66</v>
      </c>
      <c r="E8" s="12">
        <v>45670.0</v>
      </c>
      <c r="F8" s="13" t="s">
        <v>17</v>
      </c>
      <c r="G8" s="19" t="s">
        <v>20</v>
      </c>
      <c r="H8" s="16"/>
      <c r="I8" s="16"/>
      <c r="J8" s="16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2.0" customHeight="1">
      <c r="A9" s="15" t="s">
        <v>19</v>
      </c>
      <c r="B9" s="10">
        <v>3.3</v>
      </c>
      <c r="C9" s="16">
        <v>20.0</v>
      </c>
      <c r="D9" s="17">
        <f t="shared" si="2"/>
        <v>66</v>
      </c>
      <c r="E9" s="12"/>
      <c r="F9" s="13" t="s">
        <v>17</v>
      </c>
      <c r="G9" s="19" t="s">
        <v>20</v>
      </c>
      <c r="H9" s="16"/>
      <c r="I9" s="16"/>
      <c r="J9" s="16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2.0" customHeight="1">
      <c r="A10" s="20" t="s">
        <v>21</v>
      </c>
      <c r="B10" s="10">
        <v>2.2</v>
      </c>
      <c r="C10" s="16">
        <v>20.0</v>
      </c>
      <c r="D10" s="17">
        <f t="shared" si="2"/>
        <v>44</v>
      </c>
      <c r="E10" s="12">
        <v>45670.0</v>
      </c>
      <c r="F10" s="13" t="s">
        <v>17</v>
      </c>
      <c r="G10" s="19" t="s">
        <v>22</v>
      </c>
      <c r="H10" s="16"/>
      <c r="I10" s="16"/>
      <c r="J10" s="16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2.0" customHeight="1">
      <c r="A11" s="20" t="s">
        <v>23</v>
      </c>
      <c r="B11" s="20">
        <v>12.07</v>
      </c>
      <c r="C11" s="16">
        <v>4.0</v>
      </c>
      <c r="D11" s="17">
        <f t="shared" si="2"/>
        <v>48.28</v>
      </c>
      <c r="E11" s="12">
        <v>45670.0</v>
      </c>
      <c r="F11" s="13" t="s">
        <v>17</v>
      </c>
      <c r="G11" s="19" t="s">
        <v>24</v>
      </c>
      <c r="H11" s="21"/>
      <c r="I11" s="16"/>
      <c r="J11" s="16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2.0" customHeight="1">
      <c r="A12" s="15" t="s">
        <v>25</v>
      </c>
      <c r="B12" s="10">
        <v>4.15</v>
      </c>
      <c r="C12" s="16">
        <v>4.0</v>
      </c>
      <c r="D12" s="17">
        <f t="shared" si="2"/>
        <v>16.6</v>
      </c>
      <c r="E12" s="22">
        <v>45706.0</v>
      </c>
      <c r="F12" s="16" t="s">
        <v>26</v>
      </c>
      <c r="G12" s="19" t="s">
        <v>27</v>
      </c>
      <c r="H12" s="21"/>
      <c r="I12" s="16"/>
      <c r="J12" s="16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2.0" customHeight="1">
      <c r="A13" s="15" t="s">
        <v>28</v>
      </c>
      <c r="B13" s="10">
        <v>8.54</v>
      </c>
      <c r="C13" s="16">
        <v>1.0</v>
      </c>
      <c r="D13" s="17">
        <f t="shared" si="2"/>
        <v>8.54</v>
      </c>
      <c r="E13" s="22"/>
      <c r="F13" s="16" t="s">
        <v>29</v>
      </c>
      <c r="G13" s="14" t="s">
        <v>30</v>
      </c>
      <c r="H13" s="21"/>
      <c r="I13" s="16"/>
      <c r="J13" s="16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2.0" customHeight="1">
      <c r="A14" s="15" t="s">
        <v>31</v>
      </c>
      <c r="B14" s="10">
        <v>3.56</v>
      </c>
      <c r="C14" s="16">
        <v>3.0</v>
      </c>
      <c r="D14" s="17">
        <f t="shared" si="2"/>
        <v>10.68</v>
      </c>
      <c r="E14" s="22">
        <v>45706.0</v>
      </c>
      <c r="F14" s="16" t="s">
        <v>26</v>
      </c>
      <c r="G14" s="19" t="s">
        <v>32</v>
      </c>
      <c r="H14" s="21"/>
      <c r="I14" s="16"/>
      <c r="J14" s="16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2.0" customHeight="1">
      <c r="A15" s="15" t="s">
        <v>33</v>
      </c>
      <c r="B15" s="10">
        <v>12.57</v>
      </c>
      <c r="C15" s="16">
        <v>1.0</v>
      </c>
      <c r="D15" s="17">
        <f t="shared" si="2"/>
        <v>12.57</v>
      </c>
      <c r="E15" s="22"/>
      <c r="F15" s="16" t="s">
        <v>29</v>
      </c>
      <c r="G15" s="14" t="s">
        <v>34</v>
      </c>
      <c r="H15" s="21"/>
      <c r="I15" s="16"/>
      <c r="J15" s="16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2.0" customHeight="1">
      <c r="A16" s="15" t="s">
        <v>35</v>
      </c>
      <c r="B16" s="10">
        <v>10.55</v>
      </c>
      <c r="C16" s="16">
        <v>1.0</v>
      </c>
      <c r="D16" s="17">
        <f t="shared" si="2"/>
        <v>10.55</v>
      </c>
      <c r="E16" s="22"/>
      <c r="F16" s="16" t="s">
        <v>29</v>
      </c>
      <c r="G16" s="19" t="s">
        <v>36</v>
      </c>
      <c r="H16" s="21"/>
      <c r="I16" s="16"/>
      <c r="J16" s="16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2.0" customHeight="1">
      <c r="A17" s="23" t="s">
        <v>21</v>
      </c>
      <c r="B17" s="24">
        <v>2.27</v>
      </c>
      <c r="C17" s="25">
        <v>5.0</v>
      </c>
      <c r="D17" s="17">
        <f t="shared" si="2"/>
        <v>11.35</v>
      </c>
      <c r="E17" s="26">
        <v>46095.0</v>
      </c>
      <c r="F17" s="16" t="s">
        <v>29</v>
      </c>
      <c r="G17" s="27" t="s">
        <v>22</v>
      </c>
      <c r="H17" s="21"/>
      <c r="I17" s="16"/>
      <c r="J17" s="16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2.0" customHeight="1">
      <c r="B18" s="10"/>
      <c r="C18" s="16"/>
      <c r="D18" s="17"/>
      <c r="E18" s="22"/>
      <c r="F18" s="13"/>
      <c r="G18" s="19"/>
      <c r="H18" s="21"/>
      <c r="I18" s="16"/>
      <c r="J18" s="16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2.75" customHeight="1">
      <c r="A19" s="8" t="s">
        <v>37</v>
      </c>
      <c r="B19" s="4">
        <f>SUM(D20:D23)</f>
        <v>130.7</v>
      </c>
      <c r="C19" s="3"/>
      <c r="D19" s="7"/>
      <c r="E19" s="5"/>
      <c r="F19" s="5"/>
      <c r="G19" s="6"/>
      <c r="H19" s="5"/>
      <c r="I19" s="5"/>
      <c r="J19" s="5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2.0" customHeight="1">
      <c r="A20" s="15" t="s">
        <v>38</v>
      </c>
      <c r="B20" s="10">
        <v>7.61</v>
      </c>
      <c r="C20" s="16">
        <v>2.0</v>
      </c>
      <c r="D20" s="17">
        <f t="shared" ref="D20:D22" si="3">B20*C20</f>
        <v>15.22</v>
      </c>
      <c r="E20" s="12">
        <v>45631.0</v>
      </c>
      <c r="F20" s="13" t="s">
        <v>13</v>
      </c>
      <c r="G20" s="18"/>
      <c r="H20" s="16"/>
      <c r="I20" s="16"/>
      <c r="J20" s="16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2.0" customHeight="1">
      <c r="A21" s="15" t="s">
        <v>39</v>
      </c>
      <c r="B21" s="10">
        <v>9.1</v>
      </c>
      <c r="C21" s="16">
        <v>8.0</v>
      </c>
      <c r="D21" s="17">
        <f t="shared" si="3"/>
        <v>72.8</v>
      </c>
      <c r="E21" s="12">
        <v>45631.0</v>
      </c>
      <c r="F21" s="13" t="s">
        <v>13</v>
      </c>
      <c r="G21" s="18"/>
      <c r="H21" s="16"/>
      <c r="I21" s="16"/>
      <c r="J21" s="16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2.0" customHeight="1">
      <c r="A22" s="15" t="s">
        <v>40</v>
      </c>
      <c r="B22" s="10">
        <v>21.34</v>
      </c>
      <c r="C22" s="16">
        <v>2.0</v>
      </c>
      <c r="D22" s="17">
        <f t="shared" si="3"/>
        <v>42.68</v>
      </c>
      <c r="E22" s="12">
        <v>45631.0</v>
      </c>
      <c r="F22" s="13" t="s">
        <v>13</v>
      </c>
      <c r="G22" s="18"/>
      <c r="H22" s="16"/>
      <c r="I22" s="16"/>
      <c r="J22" s="16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2.0" customHeight="1">
      <c r="A23" s="15"/>
      <c r="B23" s="10"/>
      <c r="C23" s="16"/>
      <c r="D23" s="17"/>
      <c r="E23" s="22"/>
      <c r="F23" s="16"/>
      <c r="G23" s="18"/>
      <c r="H23" s="16"/>
      <c r="I23" s="16"/>
      <c r="J23" s="16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2.75" customHeight="1">
      <c r="A24" s="8" t="s">
        <v>41</v>
      </c>
      <c r="B24" s="4">
        <f>SUM(D25:D42)</f>
        <v>476.8</v>
      </c>
      <c r="C24" s="3"/>
      <c r="D24" s="7"/>
      <c r="E24" s="5"/>
      <c r="F24" s="5"/>
      <c r="G24" s="6"/>
      <c r="H24" s="5"/>
      <c r="I24" s="5"/>
      <c r="J24" s="5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2.75" customHeight="1">
      <c r="A25" s="9" t="s">
        <v>42</v>
      </c>
      <c r="B25" s="10">
        <v>250.0</v>
      </c>
      <c r="C25" s="7">
        <v>1.0</v>
      </c>
      <c r="D25" s="11">
        <f>C25*B25</f>
        <v>250</v>
      </c>
      <c r="E25" s="12">
        <v>45142.0</v>
      </c>
      <c r="F25" s="13" t="s">
        <v>43</v>
      </c>
      <c r="G25" s="14" t="s">
        <v>44</v>
      </c>
      <c r="H25" s="7" t="s">
        <v>44</v>
      </c>
      <c r="I25" s="7"/>
      <c r="J25" s="7" t="s">
        <v>45</v>
      </c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2.0" customHeight="1">
      <c r="A26" s="15" t="s">
        <v>46</v>
      </c>
      <c r="B26" s="10">
        <v>0.0</v>
      </c>
      <c r="C26" s="16">
        <v>1.0</v>
      </c>
      <c r="D26" s="17">
        <f t="shared" ref="D26:D39" si="4">B26*C26</f>
        <v>0</v>
      </c>
      <c r="E26" s="12">
        <v>45142.0</v>
      </c>
      <c r="F26" s="16" t="s">
        <v>47</v>
      </c>
      <c r="G26" s="18"/>
      <c r="H26" s="16"/>
      <c r="I26" s="16"/>
      <c r="J26" s="7" t="s">
        <v>45</v>
      </c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2.0" customHeight="1">
      <c r="A27" s="15" t="s">
        <v>48</v>
      </c>
      <c r="B27" s="10">
        <v>8.02</v>
      </c>
      <c r="C27" s="16">
        <v>1.0</v>
      </c>
      <c r="D27" s="17">
        <f t="shared" si="4"/>
        <v>8.02</v>
      </c>
      <c r="E27" s="22">
        <v>45394.0</v>
      </c>
      <c r="F27" s="16" t="s">
        <v>49</v>
      </c>
      <c r="G27" s="18"/>
      <c r="H27" s="16"/>
      <c r="I27" s="16"/>
      <c r="J27" s="16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2.0" customHeight="1">
      <c r="A28" s="15" t="s">
        <v>50</v>
      </c>
      <c r="B28" s="10">
        <v>2.36</v>
      </c>
      <c r="C28" s="16">
        <v>1.0</v>
      </c>
      <c r="D28" s="17">
        <f t="shared" si="4"/>
        <v>2.36</v>
      </c>
      <c r="E28" s="22">
        <v>45394.0</v>
      </c>
      <c r="F28" s="16" t="s">
        <v>26</v>
      </c>
      <c r="G28" s="18"/>
      <c r="H28" s="16"/>
      <c r="I28" s="16"/>
      <c r="J28" s="16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2.0" customHeight="1">
      <c r="A29" s="15" t="s">
        <v>51</v>
      </c>
      <c r="B29" s="10">
        <v>2.28</v>
      </c>
      <c r="C29" s="16">
        <v>2.0</v>
      </c>
      <c r="D29" s="17">
        <f t="shared" si="4"/>
        <v>4.56</v>
      </c>
      <c r="E29" s="22">
        <v>45394.0</v>
      </c>
      <c r="F29" s="16" t="s">
        <v>26</v>
      </c>
      <c r="G29" s="18"/>
      <c r="H29" s="16"/>
      <c r="I29" s="16"/>
      <c r="J29" s="16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2.0" customHeight="1">
      <c r="A30" s="15" t="s">
        <v>52</v>
      </c>
      <c r="B30" s="10">
        <v>2.24</v>
      </c>
      <c r="C30" s="16">
        <v>1.0</v>
      </c>
      <c r="D30" s="17">
        <f t="shared" si="4"/>
        <v>2.24</v>
      </c>
      <c r="E30" s="22">
        <v>45394.0</v>
      </c>
      <c r="F30" s="16" t="s">
        <v>26</v>
      </c>
      <c r="G30" s="18"/>
      <c r="H30" s="16"/>
      <c r="I30" s="16"/>
      <c r="J30" s="16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2.0" customHeight="1">
      <c r="A31" s="15" t="s">
        <v>53</v>
      </c>
      <c r="B31" s="10">
        <f>123.25+33.5</f>
        <v>156.75</v>
      </c>
      <c r="C31" s="16">
        <v>1.0</v>
      </c>
      <c r="D31" s="17">
        <f t="shared" si="4"/>
        <v>156.75</v>
      </c>
      <c r="E31" s="22">
        <v>45394.0</v>
      </c>
      <c r="F31" s="16" t="s">
        <v>49</v>
      </c>
      <c r="G31" s="18"/>
      <c r="H31" s="16"/>
      <c r="I31" s="16"/>
      <c r="J31" s="16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2.0" customHeight="1">
      <c r="A32" s="15" t="s">
        <v>54</v>
      </c>
      <c r="B32" s="10">
        <v>11.99</v>
      </c>
      <c r="C32" s="16">
        <v>1.0</v>
      </c>
      <c r="D32" s="17">
        <f t="shared" si="4"/>
        <v>11.99</v>
      </c>
      <c r="E32" s="22">
        <v>45394.0</v>
      </c>
      <c r="F32" s="16" t="s">
        <v>49</v>
      </c>
      <c r="G32" s="18"/>
      <c r="H32" s="16"/>
      <c r="I32" s="16"/>
      <c r="J32" s="16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2.0" customHeight="1">
      <c r="A33" s="15" t="s">
        <v>46</v>
      </c>
      <c r="B33" s="10">
        <v>0.0</v>
      </c>
      <c r="C33" s="16">
        <v>1.0</v>
      </c>
      <c r="D33" s="17">
        <f t="shared" si="4"/>
        <v>0</v>
      </c>
      <c r="E33" s="12">
        <v>45142.0</v>
      </c>
      <c r="F33" s="16" t="s">
        <v>47</v>
      </c>
      <c r="G33" s="18"/>
      <c r="H33" s="16"/>
      <c r="I33" s="16"/>
      <c r="J33" s="7" t="s">
        <v>45</v>
      </c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2.0" customHeight="1">
      <c r="A34" s="15" t="s">
        <v>55</v>
      </c>
      <c r="B34" s="10">
        <v>9.38</v>
      </c>
      <c r="C34" s="16">
        <v>1.0</v>
      </c>
      <c r="D34" s="17">
        <f t="shared" si="4"/>
        <v>9.38</v>
      </c>
      <c r="E34" s="22">
        <v>45394.0</v>
      </c>
      <c r="F34" s="16" t="s">
        <v>49</v>
      </c>
      <c r="G34" s="18"/>
      <c r="H34" s="16"/>
      <c r="I34" s="16"/>
      <c r="J34" s="16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2.0" customHeight="1">
      <c r="A35" s="15" t="s">
        <v>48</v>
      </c>
      <c r="B35" s="10">
        <v>8.02</v>
      </c>
      <c r="C35" s="16">
        <v>1.0</v>
      </c>
      <c r="D35" s="17">
        <f t="shared" si="4"/>
        <v>8.02</v>
      </c>
      <c r="E35" s="22">
        <v>45394.0</v>
      </c>
      <c r="F35" s="16" t="s">
        <v>49</v>
      </c>
      <c r="G35" s="18"/>
      <c r="H35" s="16"/>
      <c r="I35" s="16"/>
      <c r="J35" s="16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2.0" customHeight="1">
      <c r="A36" s="15" t="s">
        <v>56</v>
      </c>
      <c r="B36" s="10">
        <v>8.22</v>
      </c>
      <c r="C36" s="16">
        <v>1.0</v>
      </c>
      <c r="D36" s="17">
        <f t="shared" si="4"/>
        <v>8.22</v>
      </c>
      <c r="E36" s="22">
        <v>45394.0</v>
      </c>
      <c r="F36" s="16" t="s">
        <v>49</v>
      </c>
      <c r="G36" s="18"/>
      <c r="H36" s="16"/>
      <c r="I36" s="16"/>
      <c r="J36" s="16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2.0" customHeight="1">
      <c r="A37" s="15" t="s">
        <v>50</v>
      </c>
      <c r="B37" s="10">
        <v>2.36</v>
      </c>
      <c r="C37" s="16">
        <v>1.0</v>
      </c>
      <c r="D37" s="17">
        <f t="shared" si="4"/>
        <v>2.36</v>
      </c>
      <c r="E37" s="22">
        <v>45394.0</v>
      </c>
      <c r="F37" s="16" t="s">
        <v>26</v>
      </c>
      <c r="G37" s="18"/>
      <c r="H37" s="16"/>
      <c r="I37" s="16"/>
      <c r="J37" s="16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2.0" customHeight="1">
      <c r="A38" s="15" t="s">
        <v>52</v>
      </c>
      <c r="B38" s="10">
        <v>2.24</v>
      </c>
      <c r="C38" s="16">
        <v>1.0</v>
      </c>
      <c r="D38" s="17">
        <f t="shared" si="4"/>
        <v>2.24</v>
      </c>
      <c r="E38" s="22">
        <v>45411.0</v>
      </c>
      <c r="F38" s="16" t="s">
        <v>26</v>
      </c>
      <c r="G38" s="18"/>
      <c r="H38" s="16"/>
      <c r="I38" s="16"/>
      <c r="J38" s="16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2.0" customHeight="1">
      <c r="A39" s="15" t="s">
        <v>57</v>
      </c>
      <c r="B39" s="10">
        <v>4.2</v>
      </c>
      <c r="C39" s="16">
        <v>1.0</v>
      </c>
      <c r="D39" s="17">
        <f t="shared" si="4"/>
        <v>4.2</v>
      </c>
      <c r="E39" s="22">
        <v>45405.0</v>
      </c>
      <c r="F39" s="16" t="s">
        <v>26</v>
      </c>
      <c r="G39" s="14" t="s">
        <v>58</v>
      </c>
      <c r="H39" s="16"/>
      <c r="I39" s="16"/>
      <c r="J39" s="16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2.75" customHeight="1">
      <c r="A40" s="15" t="s">
        <v>59</v>
      </c>
      <c r="B40" s="28">
        <v>3.45</v>
      </c>
      <c r="C40" s="7">
        <v>1.0</v>
      </c>
      <c r="D40" s="11">
        <f t="shared" ref="D40:D41" si="5">C40*B40</f>
        <v>3.45</v>
      </c>
      <c r="E40" s="22">
        <v>45329.0</v>
      </c>
      <c r="F40" s="16" t="s">
        <v>60</v>
      </c>
      <c r="G40" s="14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2.0" customHeight="1">
      <c r="A41" s="15" t="s">
        <v>61</v>
      </c>
      <c r="B41" s="10">
        <v>3.01</v>
      </c>
      <c r="C41" s="16">
        <v>1.0</v>
      </c>
      <c r="D41" s="11">
        <f t="shared" si="5"/>
        <v>3.01</v>
      </c>
      <c r="E41" s="22">
        <v>45405.0</v>
      </c>
      <c r="F41" s="16" t="s">
        <v>26</v>
      </c>
      <c r="G41" s="14" t="s">
        <v>62</v>
      </c>
      <c r="H41" s="16"/>
      <c r="I41" s="16"/>
      <c r="J41" s="16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2.0" customHeight="1">
      <c r="A42" s="15"/>
      <c r="B42" s="10"/>
      <c r="C42" s="16"/>
      <c r="D42" s="17"/>
      <c r="E42" s="7"/>
      <c r="F42" s="16"/>
      <c r="G42" s="18"/>
      <c r="H42" s="16"/>
      <c r="I42" s="16"/>
      <c r="J42" s="16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2.75" customHeight="1">
      <c r="A43" s="8" t="s">
        <v>63</v>
      </c>
      <c r="B43" s="4">
        <f>SUM(D44:D51)</f>
        <v>22.77</v>
      </c>
      <c r="C43" s="3"/>
      <c r="D43" s="7"/>
      <c r="E43" s="5"/>
      <c r="F43" s="5"/>
      <c r="G43" s="6"/>
      <c r="H43" s="5"/>
      <c r="I43" s="5"/>
      <c r="J43" s="5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2.75" customHeight="1">
      <c r="A44" s="9" t="s">
        <v>64</v>
      </c>
      <c r="B44" s="10">
        <v>0.0</v>
      </c>
      <c r="C44" s="7">
        <v>1.0</v>
      </c>
      <c r="D44" s="17">
        <f t="shared" ref="D44:D50" si="6">B44*C44</f>
        <v>0</v>
      </c>
      <c r="E44" s="12">
        <v>45142.0</v>
      </c>
      <c r="F44" s="13" t="s">
        <v>47</v>
      </c>
      <c r="G44" s="14"/>
      <c r="H44" s="7"/>
      <c r="I44" s="7"/>
      <c r="J44" s="7" t="s">
        <v>45</v>
      </c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2.0" customHeight="1">
      <c r="A45" s="15" t="s">
        <v>65</v>
      </c>
      <c r="B45" s="10">
        <v>6.02</v>
      </c>
      <c r="C45" s="16">
        <v>1.0</v>
      </c>
      <c r="D45" s="17">
        <f t="shared" si="6"/>
        <v>6.02</v>
      </c>
      <c r="E45" s="22">
        <v>45394.0</v>
      </c>
      <c r="F45" s="16" t="s">
        <v>49</v>
      </c>
      <c r="G45" s="18"/>
      <c r="H45" s="16"/>
      <c r="I45" s="16"/>
      <c r="J45" s="16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2.0" customHeight="1">
      <c r="A46" s="15" t="s">
        <v>66</v>
      </c>
      <c r="B46" s="10">
        <v>3.38</v>
      </c>
      <c r="C46" s="16">
        <v>1.0</v>
      </c>
      <c r="D46" s="17">
        <f t="shared" si="6"/>
        <v>3.38</v>
      </c>
      <c r="E46" s="12">
        <v>45425.0</v>
      </c>
      <c r="F46" s="16" t="s">
        <v>49</v>
      </c>
      <c r="G46" s="18"/>
      <c r="H46" s="16"/>
      <c r="I46" s="16"/>
      <c r="J46" s="16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2.0" customHeight="1">
      <c r="A47" s="15" t="s">
        <v>67</v>
      </c>
      <c r="B47" s="10">
        <v>2.37</v>
      </c>
      <c r="C47" s="16">
        <v>1.0</v>
      </c>
      <c r="D47" s="17">
        <f t="shared" si="6"/>
        <v>2.37</v>
      </c>
      <c r="E47" s="22">
        <v>45394.0</v>
      </c>
      <c r="F47" s="16" t="s">
        <v>26</v>
      </c>
      <c r="G47" s="18"/>
      <c r="H47" s="16"/>
      <c r="I47" s="16"/>
      <c r="J47" s="16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2.0" customHeight="1">
      <c r="A48" s="15" t="s">
        <v>68</v>
      </c>
      <c r="B48" s="10">
        <v>3.54</v>
      </c>
      <c r="C48" s="16">
        <v>2.0</v>
      </c>
      <c r="D48" s="17">
        <f t="shared" si="6"/>
        <v>7.08</v>
      </c>
      <c r="E48" s="22">
        <v>45394.0</v>
      </c>
      <c r="F48" s="16" t="s">
        <v>26</v>
      </c>
      <c r="G48" s="18"/>
      <c r="H48" s="16"/>
      <c r="I48" s="16"/>
      <c r="J48" s="16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2.0" customHeight="1">
      <c r="A49" s="15" t="s">
        <v>69</v>
      </c>
      <c r="B49" s="10">
        <v>1.64</v>
      </c>
      <c r="C49" s="16">
        <v>1.0</v>
      </c>
      <c r="D49" s="17">
        <f t="shared" si="6"/>
        <v>1.64</v>
      </c>
      <c r="E49" s="22">
        <v>45394.0</v>
      </c>
      <c r="F49" s="16" t="s">
        <v>26</v>
      </c>
      <c r="G49" s="18"/>
      <c r="H49" s="16"/>
      <c r="I49" s="16"/>
      <c r="J49" s="16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2.0" customHeight="1">
      <c r="A50" s="15" t="s">
        <v>51</v>
      </c>
      <c r="B50" s="10">
        <v>2.28</v>
      </c>
      <c r="C50" s="16">
        <v>1.0</v>
      </c>
      <c r="D50" s="17">
        <f t="shared" si="6"/>
        <v>2.28</v>
      </c>
      <c r="E50" s="22">
        <v>45394.0</v>
      </c>
      <c r="F50" s="16" t="s">
        <v>26</v>
      </c>
      <c r="G50" s="18"/>
      <c r="H50" s="16"/>
      <c r="I50" s="16"/>
      <c r="J50" s="16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2.75" customHeight="1">
      <c r="A51" s="9"/>
      <c r="B51" s="10"/>
      <c r="C51" s="7"/>
      <c r="D51" s="11"/>
      <c r="E51" s="12"/>
      <c r="F51" s="13"/>
      <c r="G51" s="14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2.75" customHeight="1">
      <c r="A52" s="8" t="s">
        <v>70</v>
      </c>
      <c r="B52" s="4">
        <f>SUM(D53:D60)</f>
        <v>952.15</v>
      </c>
      <c r="C52" s="3"/>
      <c r="D52" s="7"/>
      <c r="E52" s="5"/>
      <c r="F52" s="5"/>
      <c r="G52" s="6"/>
      <c r="H52" s="5"/>
      <c r="I52" s="5"/>
      <c r="J52" s="5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2.75" customHeight="1">
      <c r="A53" s="29" t="s">
        <v>71</v>
      </c>
      <c r="B53" s="10">
        <v>586.5</v>
      </c>
      <c r="C53" s="7">
        <v>1.0</v>
      </c>
      <c r="D53" s="11">
        <f t="shared" ref="D53:D55" si="7">C53*B53</f>
        <v>586.5</v>
      </c>
      <c r="E53" s="12">
        <v>45142.0</v>
      </c>
      <c r="F53" s="13" t="s">
        <v>72</v>
      </c>
      <c r="G53" s="14"/>
      <c r="H53" s="7" t="s">
        <v>73</v>
      </c>
      <c r="I53" s="13" t="s">
        <v>74</v>
      </c>
      <c r="J53" s="7" t="s">
        <v>45</v>
      </c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2.75" customHeight="1">
      <c r="A54" s="29" t="s">
        <v>75</v>
      </c>
      <c r="B54" s="10">
        <v>319.5</v>
      </c>
      <c r="C54" s="7">
        <v>1.0</v>
      </c>
      <c r="D54" s="11">
        <f t="shared" si="7"/>
        <v>319.5</v>
      </c>
      <c r="E54" s="12">
        <v>45142.0</v>
      </c>
      <c r="F54" s="13" t="s">
        <v>76</v>
      </c>
      <c r="G54" s="14" t="s">
        <v>77</v>
      </c>
      <c r="H54" s="22"/>
      <c r="I54" s="13"/>
      <c r="J54" s="7" t="s">
        <v>45</v>
      </c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2.75" customHeight="1">
      <c r="A55" s="15" t="s">
        <v>78</v>
      </c>
      <c r="B55" s="10">
        <v>18.09</v>
      </c>
      <c r="C55" s="16">
        <v>1.0</v>
      </c>
      <c r="D55" s="11">
        <f t="shared" si="7"/>
        <v>18.09</v>
      </c>
      <c r="E55" s="22">
        <v>45329.0</v>
      </c>
      <c r="F55" s="16" t="s">
        <v>26</v>
      </c>
      <c r="G55" s="14"/>
      <c r="H55" s="16" t="s">
        <v>79</v>
      </c>
      <c r="I55" s="7" t="s">
        <v>80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2.0" customHeight="1">
      <c r="A56" s="15" t="s">
        <v>81</v>
      </c>
      <c r="B56" s="10">
        <v>3.88</v>
      </c>
      <c r="C56" s="16">
        <v>1.0</v>
      </c>
      <c r="D56" s="17">
        <f t="shared" ref="D56:D59" si="8">B56*C56</f>
        <v>3.88</v>
      </c>
      <c r="E56" s="22">
        <v>45394.0</v>
      </c>
      <c r="F56" s="16" t="s">
        <v>26</v>
      </c>
      <c r="G56" s="18"/>
      <c r="H56" s="16"/>
      <c r="I56" s="16"/>
      <c r="J56" s="16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2.0" customHeight="1">
      <c r="A57" s="15" t="s">
        <v>51</v>
      </c>
      <c r="B57" s="10">
        <v>2.28</v>
      </c>
      <c r="C57" s="16">
        <v>1.0</v>
      </c>
      <c r="D57" s="17">
        <f t="shared" si="8"/>
        <v>2.28</v>
      </c>
      <c r="E57" s="22">
        <v>45394.0</v>
      </c>
      <c r="F57" s="16" t="s">
        <v>26</v>
      </c>
      <c r="G57" s="18"/>
      <c r="H57" s="16"/>
      <c r="I57" s="16"/>
      <c r="J57" s="16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2.0" customHeight="1">
      <c r="A58" s="15" t="s">
        <v>82</v>
      </c>
      <c r="B58" s="10">
        <v>1.92</v>
      </c>
      <c r="C58" s="16">
        <v>1.0</v>
      </c>
      <c r="D58" s="17">
        <f t="shared" si="8"/>
        <v>1.92</v>
      </c>
      <c r="E58" s="22">
        <v>45394.0</v>
      </c>
      <c r="F58" s="16" t="s">
        <v>26</v>
      </c>
      <c r="G58" s="18"/>
      <c r="H58" s="16"/>
      <c r="I58" s="16"/>
      <c r="J58" s="16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2.0" customHeight="1">
      <c r="A59" s="15" t="s">
        <v>83</v>
      </c>
      <c r="B59" s="10">
        <v>9.99</v>
      </c>
      <c r="C59" s="16">
        <v>2.0</v>
      </c>
      <c r="D59" s="17">
        <f t="shared" si="8"/>
        <v>19.98</v>
      </c>
      <c r="E59" s="12">
        <v>45425.0</v>
      </c>
      <c r="F59" s="16" t="s">
        <v>49</v>
      </c>
      <c r="G59" s="14" t="s">
        <v>84</v>
      </c>
      <c r="H59" s="7" t="s">
        <v>85</v>
      </c>
      <c r="I59" s="7" t="s">
        <v>86</v>
      </c>
      <c r="J59" s="16" t="s">
        <v>87</v>
      </c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2.75" customHeight="1">
      <c r="A60" s="29"/>
      <c r="B60" s="10"/>
      <c r="C60" s="7"/>
      <c r="D60" s="11"/>
      <c r="E60" s="12"/>
      <c r="F60" s="13"/>
      <c r="G60" s="14"/>
      <c r="H60" s="22"/>
      <c r="I60" s="13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2.75" customHeight="1">
      <c r="A61" s="30" t="s">
        <v>88</v>
      </c>
      <c r="B61" s="4">
        <f>SUM(D62:D67)</f>
        <v>208.22</v>
      </c>
      <c r="C61" s="7"/>
      <c r="D61" s="11"/>
      <c r="E61" s="12"/>
      <c r="F61" s="13"/>
      <c r="G61" s="14"/>
      <c r="H61" s="22"/>
      <c r="I61" s="13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2.75" customHeight="1">
      <c r="A62" s="29" t="s">
        <v>89</v>
      </c>
      <c r="B62" s="10">
        <v>204.5</v>
      </c>
      <c r="C62" s="7">
        <v>1.0</v>
      </c>
      <c r="D62" s="11">
        <f t="shared" ref="D62:D65" si="9">C62*B62</f>
        <v>204.5</v>
      </c>
      <c r="E62" s="12">
        <v>45142.0</v>
      </c>
      <c r="F62" s="13" t="s">
        <v>76</v>
      </c>
      <c r="G62" s="14" t="s">
        <v>90</v>
      </c>
      <c r="H62" s="22"/>
      <c r="I62" s="13"/>
      <c r="J62" s="7" t="s">
        <v>45</v>
      </c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2.75" customHeight="1">
      <c r="A63" s="29" t="s">
        <v>91</v>
      </c>
      <c r="B63" s="10">
        <v>1.86</v>
      </c>
      <c r="C63" s="7">
        <v>2.0</v>
      </c>
      <c r="D63" s="11">
        <f t="shared" si="9"/>
        <v>3.72</v>
      </c>
      <c r="E63" s="22">
        <v>45394.0</v>
      </c>
      <c r="F63" s="13" t="s">
        <v>26</v>
      </c>
      <c r="G63" s="14"/>
      <c r="H63" s="22"/>
      <c r="I63" s="13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2.75" customHeight="1">
      <c r="A64" s="29" t="s">
        <v>92</v>
      </c>
      <c r="B64" s="10">
        <v>0.0</v>
      </c>
      <c r="C64" s="7">
        <v>2.0</v>
      </c>
      <c r="D64" s="11">
        <f t="shared" si="9"/>
        <v>0</v>
      </c>
      <c r="E64" s="12">
        <v>45142.0</v>
      </c>
      <c r="F64" s="13" t="s">
        <v>76</v>
      </c>
      <c r="G64" s="14" t="s">
        <v>93</v>
      </c>
      <c r="H64" s="22"/>
      <c r="I64" s="13"/>
      <c r="J64" s="7" t="s">
        <v>45</v>
      </c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2.75" customHeight="1">
      <c r="A65" s="29" t="s">
        <v>94</v>
      </c>
      <c r="B65" s="10">
        <v>0.0</v>
      </c>
      <c r="C65" s="7">
        <v>2.0</v>
      </c>
      <c r="D65" s="11">
        <f t="shared" si="9"/>
        <v>0</v>
      </c>
      <c r="E65" s="12">
        <v>45142.0</v>
      </c>
      <c r="F65" s="13" t="s">
        <v>76</v>
      </c>
      <c r="G65" s="14"/>
      <c r="H65" s="22"/>
      <c r="I65" s="13"/>
      <c r="J65" s="7" t="s">
        <v>45</v>
      </c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2.75" customHeight="1">
      <c r="A66" s="29"/>
      <c r="B66" s="10"/>
      <c r="C66" s="7"/>
      <c r="D66" s="11"/>
      <c r="E66" s="12"/>
      <c r="F66" s="13"/>
      <c r="G66" s="14"/>
      <c r="H66" s="22"/>
      <c r="I66" s="13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2.75" customHeight="1">
      <c r="A67" s="29"/>
      <c r="B67" s="10"/>
      <c r="C67" s="7"/>
      <c r="D67" s="11"/>
      <c r="E67" s="12"/>
      <c r="F67" s="13"/>
      <c r="G67" s="14"/>
      <c r="H67" s="22"/>
      <c r="I67" s="13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2.0" customHeight="1">
      <c r="A68" s="31" t="s">
        <v>95</v>
      </c>
      <c r="B68" s="4">
        <f>SUM(D69:D95)</f>
        <v>624.88</v>
      </c>
      <c r="C68" s="16"/>
      <c r="D68" s="11"/>
      <c r="E68" s="7"/>
      <c r="F68" s="16"/>
      <c r="G68" s="18"/>
      <c r="H68" s="16"/>
      <c r="I68" s="16"/>
      <c r="J68" s="16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2.0" customHeight="1">
      <c r="A69" s="15" t="s">
        <v>96</v>
      </c>
      <c r="B69" s="32">
        <v>24.18</v>
      </c>
      <c r="C69" s="16">
        <v>4.0</v>
      </c>
      <c r="D69" s="17">
        <f t="shared" ref="D69:D89" si="10">B69*C69</f>
        <v>96.72</v>
      </c>
      <c r="E69" s="22">
        <v>45394.0</v>
      </c>
      <c r="F69" s="16" t="s">
        <v>26</v>
      </c>
      <c r="G69" s="18"/>
      <c r="H69" s="16"/>
      <c r="I69" s="16"/>
      <c r="J69" s="16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2.0" customHeight="1">
      <c r="A70" s="15" t="s">
        <v>97</v>
      </c>
      <c r="B70" s="32">
        <v>5.36</v>
      </c>
      <c r="C70" s="16">
        <v>3.0</v>
      </c>
      <c r="D70" s="17">
        <f t="shared" si="10"/>
        <v>16.08</v>
      </c>
      <c r="E70" s="22">
        <v>45394.0</v>
      </c>
      <c r="F70" s="16" t="s">
        <v>26</v>
      </c>
      <c r="G70" s="18"/>
      <c r="H70" s="16"/>
      <c r="I70" s="16"/>
      <c r="J70" s="16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2.0" customHeight="1">
      <c r="A71" s="15" t="s">
        <v>67</v>
      </c>
      <c r="B71" s="32">
        <v>2.37</v>
      </c>
      <c r="C71" s="16">
        <v>3.0</v>
      </c>
      <c r="D71" s="17">
        <f t="shared" si="10"/>
        <v>7.11</v>
      </c>
      <c r="E71" s="22">
        <v>45394.0</v>
      </c>
      <c r="F71" s="16" t="s">
        <v>26</v>
      </c>
      <c r="G71" s="18"/>
      <c r="H71" s="16"/>
      <c r="I71" s="16"/>
      <c r="J71" s="16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2.0" customHeight="1">
      <c r="A72" s="15" t="s">
        <v>98</v>
      </c>
      <c r="B72" s="32">
        <v>2.12</v>
      </c>
      <c r="C72" s="16">
        <v>3.0</v>
      </c>
      <c r="D72" s="17">
        <f t="shared" si="10"/>
        <v>6.36</v>
      </c>
      <c r="E72" s="22">
        <v>45394.0</v>
      </c>
      <c r="F72" s="16" t="s">
        <v>26</v>
      </c>
      <c r="G72" s="18"/>
      <c r="H72" s="16"/>
      <c r="I72" s="16"/>
      <c r="J72" s="16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2.0" customHeight="1">
      <c r="A73" s="15" t="s">
        <v>99</v>
      </c>
      <c r="B73" s="10">
        <v>3.91</v>
      </c>
      <c r="C73" s="16">
        <v>1.0</v>
      </c>
      <c r="D73" s="17">
        <f t="shared" si="10"/>
        <v>3.91</v>
      </c>
      <c r="E73" s="22">
        <v>45394.0</v>
      </c>
      <c r="F73" s="16" t="s">
        <v>26</v>
      </c>
      <c r="G73" s="18"/>
      <c r="H73" s="16"/>
      <c r="I73" s="16"/>
      <c r="J73" s="16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2.0" customHeight="1">
      <c r="A74" s="15" t="s">
        <v>100</v>
      </c>
      <c r="B74" s="10">
        <v>2.91</v>
      </c>
      <c r="C74" s="16">
        <v>1.0</v>
      </c>
      <c r="D74" s="17">
        <f t="shared" si="10"/>
        <v>2.91</v>
      </c>
      <c r="E74" s="22">
        <v>45394.0</v>
      </c>
      <c r="F74" s="16" t="s">
        <v>49</v>
      </c>
      <c r="G74" s="18"/>
      <c r="H74" s="16"/>
      <c r="I74" s="16"/>
      <c r="J74" s="16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2.0" customHeight="1">
      <c r="A75" s="15" t="s">
        <v>101</v>
      </c>
      <c r="B75" s="10">
        <v>3.54</v>
      </c>
      <c r="C75" s="16">
        <v>1.0</v>
      </c>
      <c r="D75" s="17">
        <f t="shared" si="10"/>
        <v>3.54</v>
      </c>
      <c r="E75" s="22">
        <v>45394.0</v>
      </c>
      <c r="F75" s="16" t="s">
        <v>26</v>
      </c>
      <c r="G75" s="18"/>
      <c r="H75" s="16"/>
      <c r="I75" s="16"/>
      <c r="J75" s="16" t="s">
        <v>102</v>
      </c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2.0" customHeight="1">
      <c r="A76" s="15" t="s">
        <v>81</v>
      </c>
      <c r="B76" s="10">
        <v>3.88</v>
      </c>
      <c r="C76" s="16">
        <v>1.0</v>
      </c>
      <c r="D76" s="17">
        <f t="shared" si="10"/>
        <v>3.88</v>
      </c>
      <c r="E76" s="22">
        <v>45394.0</v>
      </c>
      <c r="F76" s="16" t="s">
        <v>26</v>
      </c>
      <c r="G76" s="18"/>
      <c r="H76" s="16"/>
      <c r="I76" s="16"/>
      <c r="J76" s="16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2.0" customHeight="1">
      <c r="A77" s="15" t="s">
        <v>69</v>
      </c>
      <c r="B77" s="10">
        <v>1.64</v>
      </c>
      <c r="C77" s="16">
        <v>1.0</v>
      </c>
      <c r="D77" s="17">
        <f t="shared" si="10"/>
        <v>1.64</v>
      </c>
      <c r="E77" s="22">
        <v>45394.0</v>
      </c>
      <c r="F77" s="16" t="s">
        <v>26</v>
      </c>
      <c r="G77" s="18"/>
      <c r="H77" s="16"/>
      <c r="I77" s="16"/>
      <c r="J77" s="16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2.0" customHeight="1">
      <c r="A78" s="15" t="s">
        <v>51</v>
      </c>
      <c r="B78" s="10">
        <v>2.28</v>
      </c>
      <c r="C78" s="16">
        <v>1.0</v>
      </c>
      <c r="D78" s="17">
        <f t="shared" si="10"/>
        <v>2.28</v>
      </c>
      <c r="E78" s="22">
        <v>45394.0</v>
      </c>
      <c r="F78" s="16" t="s">
        <v>26</v>
      </c>
      <c r="G78" s="18"/>
      <c r="H78" s="16"/>
      <c r="I78" s="16"/>
      <c r="J78" s="16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2.0" customHeight="1">
      <c r="A79" s="15" t="s">
        <v>103</v>
      </c>
      <c r="B79" s="10">
        <v>1.92</v>
      </c>
      <c r="C79" s="16">
        <v>3.0</v>
      </c>
      <c r="D79" s="17">
        <f t="shared" si="10"/>
        <v>5.76</v>
      </c>
      <c r="E79" s="22">
        <v>45394.0</v>
      </c>
      <c r="F79" s="16" t="s">
        <v>26</v>
      </c>
      <c r="G79" s="18"/>
      <c r="H79" s="16"/>
      <c r="I79" s="16"/>
      <c r="J79" s="16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2.0" customHeight="1">
      <c r="A80" s="15" t="s">
        <v>52</v>
      </c>
      <c r="B80" s="10">
        <v>2.24</v>
      </c>
      <c r="C80" s="16">
        <v>2.0</v>
      </c>
      <c r="D80" s="17">
        <f t="shared" si="10"/>
        <v>4.48</v>
      </c>
      <c r="E80" s="22">
        <v>45394.0</v>
      </c>
      <c r="F80" s="16" t="s">
        <v>26</v>
      </c>
      <c r="G80" s="18"/>
      <c r="H80" s="16"/>
      <c r="I80" s="16"/>
      <c r="J80" s="16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2.75" customHeight="1">
      <c r="A81" s="15" t="s">
        <v>104</v>
      </c>
      <c r="B81" s="10">
        <v>1.58</v>
      </c>
      <c r="C81" s="16">
        <v>3.0</v>
      </c>
      <c r="D81" s="17">
        <f t="shared" si="10"/>
        <v>4.74</v>
      </c>
      <c r="E81" s="22">
        <v>45394.0</v>
      </c>
      <c r="F81" s="16" t="s">
        <v>26</v>
      </c>
      <c r="G81" s="18"/>
      <c r="H81" s="16"/>
      <c r="I81" s="16"/>
      <c r="J81" s="16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2.75" customHeight="1">
      <c r="A82" s="15" t="s">
        <v>105</v>
      </c>
      <c r="B82" s="10">
        <v>1.89</v>
      </c>
      <c r="C82" s="16">
        <v>1.0</v>
      </c>
      <c r="D82" s="17">
        <f t="shared" si="10"/>
        <v>1.89</v>
      </c>
      <c r="E82" s="22">
        <v>45394.0</v>
      </c>
      <c r="F82" s="16" t="s">
        <v>26</v>
      </c>
      <c r="G82" s="18"/>
      <c r="H82" s="16"/>
      <c r="I82" s="16"/>
      <c r="J82" s="16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2.75" customHeight="1">
      <c r="A83" s="15" t="s">
        <v>106</v>
      </c>
      <c r="B83" s="10">
        <v>1.61</v>
      </c>
      <c r="C83" s="16">
        <v>1.0</v>
      </c>
      <c r="D83" s="17">
        <f t="shared" si="10"/>
        <v>1.61</v>
      </c>
      <c r="E83" s="22">
        <v>45394.0</v>
      </c>
      <c r="F83" s="16" t="s">
        <v>26</v>
      </c>
      <c r="G83" s="18"/>
      <c r="H83" s="16"/>
      <c r="I83" s="16"/>
      <c r="J83" s="16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2.75" customHeight="1">
      <c r="A84" s="15" t="s">
        <v>97</v>
      </c>
      <c r="B84" s="10">
        <v>5.31</v>
      </c>
      <c r="C84" s="16">
        <v>2.0</v>
      </c>
      <c r="D84" s="17">
        <f t="shared" si="10"/>
        <v>10.62</v>
      </c>
      <c r="E84" s="22">
        <v>45610.0</v>
      </c>
      <c r="F84" s="16" t="s">
        <v>26</v>
      </c>
      <c r="G84" s="18"/>
      <c r="H84" s="16"/>
      <c r="I84" s="16"/>
      <c r="J84" s="16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2.75" customHeight="1">
      <c r="A85" s="15" t="s">
        <v>98</v>
      </c>
      <c r="B85" s="10">
        <v>2.1</v>
      </c>
      <c r="C85" s="16">
        <v>2.0</v>
      </c>
      <c r="D85" s="17">
        <f t="shared" si="10"/>
        <v>4.2</v>
      </c>
      <c r="E85" s="22">
        <v>45610.0</v>
      </c>
      <c r="F85" s="16" t="s">
        <v>26</v>
      </c>
      <c r="G85" s="18"/>
      <c r="H85" s="16"/>
      <c r="I85" s="16"/>
      <c r="J85" s="16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2.75" customHeight="1">
      <c r="A86" s="15" t="s">
        <v>61</v>
      </c>
      <c r="B86" s="10">
        <v>2.99</v>
      </c>
      <c r="C86" s="16">
        <v>1.0</v>
      </c>
      <c r="D86" s="17">
        <f t="shared" si="10"/>
        <v>2.99</v>
      </c>
      <c r="E86" s="22">
        <v>45610.0</v>
      </c>
      <c r="F86" s="16" t="s">
        <v>26</v>
      </c>
      <c r="G86" s="18"/>
      <c r="H86" s="16"/>
      <c r="I86" s="16"/>
      <c r="J86" s="16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2.75" customHeight="1">
      <c r="A87" s="15" t="s">
        <v>105</v>
      </c>
      <c r="B87" s="10">
        <v>1.89</v>
      </c>
      <c r="C87" s="16">
        <v>1.0</v>
      </c>
      <c r="D87" s="17">
        <f t="shared" si="10"/>
        <v>1.89</v>
      </c>
      <c r="E87" s="22">
        <v>45610.0</v>
      </c>
      <c r="F87" s="16" t="s">
        <v>26</v>
      </c>
      <c r="G87" s="18"/>
      <c r="H87" s="16"/>
      <c r="I87" s="16"/>
      <c r="J87" s="16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2.75" customHeight="1">
      <c r="A88" s="7" t="s">
        <v>107</v>
      </c>
      <c r="B88" s="10">
        <v>1.94</v>
      </c>
      <c r="C88" s="16">
        <v>1.0</v>
      </c>
      <c r="D88" s="17">
        <f t="shared" si="10"/>
        <v>1.94</v>
      </c>
      <c r="E88" s="22">
        <v>45610.0</v>
      </c>
      <c r="F88" s="16" t="s">
        <v>26</v>
      </c>
      <c r="G88" s="18"/>
      <c r="H88" s="16"/>
      <c r="I88" s="16"/>
      <c r="J88" s="16" t="s">
        <v>108</v>
      </c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2.75" customHeight="1">
      <c r="A89" s="15" t="s">
        <v>109</v>
      </c>
      <c r="B89" s="10">
        <v>1.57</v>
      </c>
      <c r="C89" s="16">
        <v>1.0</v>
      </c>
      <c r="D89" s="17">
        <f t="shared" si="10"/>
        <v>1.57</v>
      </c>
      <c r="E89" s="22">
        <v>45644.0</v>
      </c>
      <c r="F89" s="16" t="s">
        <v>26</v>
      </c>
      <c r="G89" s="19" t="s">
        <v>110</v>
      </c>
      <c r="H89" s="7"/>
      <c r="I89" s="7"/>
      <c r="J89" s="16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2.0" customHeight="1">
      <c r="A90" s="15" t="s">
        <v>105</v>
      </c>
      <c r="B90" s="10">
        <v>1.69</v>
      </c>
      <c r="C90" s="16">
        <v>1.0</v>
      </c>
      <c r="D90" s="11">
        <f t="shared" ref="D90:D93" si="11">C90*B90</f>
        <v>1.69</v>
      </c>
      <c r="E90" s="22">
        <v>45706.0</v>
      </c>
      <c r="F90" s="7" t="s">
        <v>26</v>
      </c>
      <c r="G90" s="19" t="s">
        <v>111</v>
      </c>
      <c r="H90" s="16"/>
      <c r="I90" s="16"/>
      <c r="J90" s="16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2.75" customHeight="1">
      <c r="A91" s="33" t="s">
        <v>61</v>
      </c>
      <c r="B91" s="34">
        <v>3.0</v>
      </c>
      <c r="C91" s="33">
        <v>3.0</v>
      </c>
      <c r="D91" s="11">
        <f t="shared" si="11"/>
        <v>9</v>
      </c>
      <c r="E91" s="35">
        <v>46135.0</v>
      </c>
      <c r="F91" s="7" t="s">
        <v>26</v>
      </c>
      <c r="G91" s="36" t="s">
        <v>62</v>
      </c>
      <c r="H91" s="37" t="s">
        <v>112</v>
      </c>
      <c r="I91" s="36" t="s">
        <v>113</v>
      </c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2.75" customHeight="1">
      <c r="A92" s="33" t="s">
        <v>114</v>
      </c>
      <c r="B92" s="34">
        <v>134.85</v>
      </c>
      <c r="C92" s="33">
        <v>3.0</v>
      </c>
      <c r="D92" s="11">
        <f t="shared" si="11"/>
        <v>404.55</v>
      </c>
      <c r="E92" s="35">
        <v>46136.0</v>
      </c>
      <c r="F92" s="33" t="s">
        <v>76</v>
      </c>
      <c r="G92" s="38" t="s">
        <v>115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2.75" customHeight="1">
      <c r="A93" s="33" t="s">
        <v>116</v>
      </c>
      <c r="B93" s="39">
        <v>23.52</v>
      </c>
      <c r="C93" s="33">
        <v>1.0</v>
      </c>
      <c r="D93" s="11">
        <f t="shared" si="11"/>
        <v>23.52</v>
      </c>
      <c r="E93" s="35">
        <v>46137.0</v>
      </c>
      <c r="F93" s="33" t="s">
        <v>76</v>
      </c>
      <c r="G93" s="40" t="s">
        <v>117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2.75" customHeight="1">
      <c r="A94" s="15"/>
      <c r="B94" s="15"/>
      <c r="C94" s="15"/>
      <c r="D94" s="15"/>
      <c r="E94" s="15"/>
      <c r="F94" s="15"/>
      <c r="G94" s="41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2.75" customHeight="1">
      <c r="A95" s="15"/>
      <c r="B95" s="10"/>
      <c r="C95" s="16"/>
      <c r="D95" s="17"/>
      <c r="E95" s="7"/>
      <c r="F95" s="16"/>
      <c r="G95" s="18"/>
      <c r="H95" s="16"/>
      <c r="I95" s="16"/>
      <c r="J95" s="16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2.75" customHeight="1">
      <c r="A96" s="30" t="s">
        <v>118</v>
      </c>
      <c r="B96" s="4">
        <f>SUM(D97:D114)</f>
        <v>337.38</v>
      </c>
      <c r="C96" s="7"/>
      <c r="D96" s="11"/>
      <c r="E96" s="12"/>
      <c r="F96" s="13"/>
      <c r="G96" s="14"/>
      <c r="H96" s="22"/>
      <c r="I96" s="13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2.75" customHeight="1">
      <c r="A97" s="15" t="s">
        <v>119</v>
      </c>
      <c r="B97" s="10">
        <v>177.89</v>
      </c>
      <c r="C97" s="16">
        <v>1.0</v>
      </c>
      <c r="D97" s="11">
        <f t="shared" ref="D97:D113" si="12">C97*B97</f>
        <v>177.89</v>
      </c>
      <c r="E97" s="22">
        <v>45329.0</v>
      </c>
      <c r="F97" s="16" t="s">
        <v>49</v>
      </c>
      <c r="G97" s="18"/>
      <c r="H97" s="16" t="s">
        <v>120</v>
      </c>
      <c r="I97" s="16" t="s">
        <v>121</v>
      </c>
      <c r="J97" s="16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2.0" customHeight="1">
      <c r="A98" s="15" t="s">
        <v>122</v>
      </c>
      <c r="B98" s="10">
        <v>45.77</v>
      </c>
      <c r="C98" s="16">
        <v>1.0</v>
      </c>
      <c r="D98" s="11">
        <f t="shared" si="12"/>
        <v>45.77</v>
      </c>
      <c r="E98" s="22">
        <v>45394.0</v>
      </c>
      <c r="F98" s="16" t="s">
        <v>26</v>
      </c>
      <c r="G98" s="18"/>
      <c r="H98" s="16"/>
      <c r="I98" s="16"/>
      <c r="J98" s="16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2.0" customHeight="1">
      <c r="A99" s="15" t="s">
        <v>65</v>
      </c>
      <c r="B99" s="10">
        <v>6.02</v>
      </c>
      <c r="C99" s="16">
        <v>1.0</v>
      </c>
      <c r="D99" s="11">
        <f t="shared" si="12"/>
        <v>6.02</v>
      </c>
      <c r="E99" s="22">
        <v>45394.0</v>
      </c>
      <c r="F99" s="16" t="s">
        <v>49</v>
      </c>
      <c r="G99" s="18"/>
      <c r="H99" s="16"/>
      <c r="I99" s="16"/>
      <c r="J99" s="16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2.0" customHeight="1">
      <c r="A100" s="15" t="s">
        <v>98</v>
      </c>
      <c r="B100" s="10">
        <v>2.12</v>
      </c>
      <c r="C100" s="16">
        <v>1.0</v>
      </c>
      <c r="D100" s="11">
        <f t="shared" si="12"/>
        <v>2.12</v>
      </c>
      <c r="E100" s="22">
        <v>45394.0</v>
      </c>
      <c r="F100" s="16" t="s">
        <v>26</v>
      </c>
      <c r="G100" s="18"/>
      <c r="H100" s="16"/>
      <c r="I100" s="16"/>
      <c r="J100" s="16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2.0" customHeight="1">
      <c r="A101" s="15" t="s">
        <v>101</v>
      </c>
      <c r="B101" s="10">
        <v>3.54</v>
      </c>
      <c r="C101" s="16">
        <v>3.0</v>
      </c>
      <c r="D101" s="11">
        <f t="shared" si="12"/>
        <v>10.62</v>
      </c>
      <c r="E101" s="22">
        <v>45394.0</v>
      </c>
      <c r="F101" s="16" t="s">
        <v>26</v>
      </c>
      <c r="G101" s="18"/>
      <c r="H101" s="16"/>
      <c r="I101" s="16" t="s">
        <v>123</v>
      </c>
      <c r="J101" s="16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2.0" customHeight="1">
      <c r="A102" s="15" t="s">
        <v>52</v>
      </c>
      <c r="B102" s="10">
        <v>2.24</v>
      </c>
      <c r="C102" s="16">
        <v>2.0</v>
      </c>
      <c r="D102" s="11">
        <f t="shared" si="12"/>
        <v>4.48</v>
      </c>
      <c r="E102" s="22">
        <v>45394.0</v>
      </c>
      <c r="F102" s="16" t="s">
        <v>26</v>
      </c>
      <c r="G102" s="18"/>
      <c r="H102" s="16"/>
      <c r="I102" s="16" t="s">
        <v>123</v>
      </c>
      <c r="J102" s="16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2.0" customHeight="1">
      <c r="A103" s="15" t="s">
        <v>91</v>
      </c>
      <c r="B103" s="10">
        <v>1.86</v>
      </c>
      <c r="C103" s="16">
        <v>1.0</v>
      </c>
      <c r="D103" s="11">
        <f t="shared" si="12"/>
        <v>1.86</v>
      </c>
      <c r="E103" s="22">
        <v>45394.0</v>
      </c>
      <c r="F103" s="16" t="s">
        <v>26</v>
      </c>
      <c r="G103" s="18"/>
      <c r="H103" s="16"/>
      <c r="I103" s="16" t="s">
        <v>124</v>
      </c>
      <c r="J103" s="16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2.0" customHeight="1">
      <c r="A104" s="15" t="s">
        <v>105</v>
      </c>
      <c r="B104" s="10">
        <v>1.89</v>
      </c>
      <c r="C104" s="16">
        <v>1.0</v>
      </c>
      <c r="D104" s="11">
        <f t="shared" si="12"/>
        <v>1.89</v>
      </c>
      <c r="E104" s="22">
        <v>45394.0</v>
      </c>
      <c r="F104" s="7" t="s">
        <v>26</v>
      </c>
      <c r="G104" s="14"/>
      <c r="H104" s="16"/>
      <c r="I104" s="16"/>
      <c r="J104" s="16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2.0" customHeight="1">
      <c r="A105" s="15" t="s">
        <v>105</v>
      </c>
      <c r="B105" s="10">
        <v>1.89</v>
      </c>
      <c r="C105" s="16">
        <v>1.0</v>
      </c>
      <c r="D105" s="11">
        <f t="shared" si="12"/>
        <v>1.89</v>
      </c>
      <c r="E105" s="22">
        <v>45568.0</v>
      </c>
      <c r="F105" s="7" t="s">
        <v>26</v>
      </c>
      <c r="G105" s="14"/>
      <c r="H105" s="16"/>
      <c r="I105" s="16"/>
      <c r="J105" s="16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2.0" customHeight="1">
      <c r="A106" s="15" t="s">
        <v>125</v>
      </c>
      <c r="B106" s="10">
        <v>5.65</v>
      </c>
      <c r="C106" s="16">
        <v>1.0</v>
      </c>
      <c r="D106" s="11">
        <f t="shared" si="12"/>
        <v>5.65</v>
      </c>
      <c r="E106" s="22">
        <v>45394.0</v>
      </c>
      <c r="F106" s="16" t="s">
        <v>26</v>
      </c>
      <c r="G106" s="18"/>
      <c r="H106" s="16"/>
      <c r="I106" s="16"/>
      <c r="J106" s="16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2.0" customHeight="1">
      <c r="A107" s="15" t="s">
        <v>82</v>
      </c>
      <c r="B107" s="28">
        <v>1.92</v>
      </c>
      <c r="C107" s="16">
        <v>1.0</v>
      </c>
      <c r="D107" s="11">
        <f t="shared" si="12"/>
        <v>1.92</v>
      </c>
      <c r="E107" s="22">
        <v>45329.0</v>
      </c>
      <c r="F107" s="16" t="s">
        <v>26</v>
      </c>
      <c r="G107" s="18"/>
      <c r="H107" s="16"/>
      <c r="I107" s="16"/>
      <c r="J107" s="16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2.0" customHeight="1">
      <c r="A108" s="15" t="s">
        <v>126</v>
      </c>
      <c r="B108" s="28">
        <v>2.63</v>
      </c>
      <c r="C108" s="16">
        <v>1.0</v>
      </c>
      <c r="D108" s="11">
        <f t="shared" si="12"/>
        <v>2.63</v>
      </c>
      <c r="E108" s="22">
        <v>45568.0</v>
      </c>
      <c r="F108" s="16" t="s">
        <v>26</v>
      </c>
      <c r="G108" s="18"/>
      <c r="H108" s="16"/>
      <c r="I108" s="16"/>
      <c r="J108" s="16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2.0" customHeight="1">
      <c r="A109" s="15" t="s">
        <v>127</v>
      </c>
      <c r="B109" s="10">
        <v>5.26</v>
      </c>
      <c r="C109" s="16">
        <v>4.0</v>
      </c>
      <c r="D109" s="11">
        <f t="shared" si="12"/>
        <v>21.04</v>
      </c>
      <c r="E109" s="22">
        <v>45397.0</v>
      </c>
      <c r="F109" s="13" t="s">
        <v>128</v>
      </c>
      <c r="G109" s="14" t="s">
        <v>129</v>
      </c>
      <c r="H109" s="16"/>
      <c r="I109" s="16"/>
      <c r="J109" s="16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2.0" customHeight="1">
      <c r="A110" s="15" t="s">
        <v>130</v>
      </c>
      <c r="B110" s="10">
        <v>11.52</v>
      </c>
      <c r="C110" s="16">
        <v>1.0</v>
      </c>
      <c r="D110" s="11">
        <f t="shared" si="12"/>
        <v>11.52</v>
      </c>
      <c r="E110" s="22">
        <v>45397.0</v>
      </c>
      <c r="F110" s="13" t="s">
        <v>128</v>
      </c>
      <c r="G110" s="18" t="s">
        <v>131</v>
      </c>
      <c r="H110" s="16"/>
      <c r="I110" s="16"/>
      <c r="J110" s="16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2.0" customHeight="1">
      <c r="A111" s="15" t="s">
        <v>132</v>
      </c>
      <c r="B111" s="7">
        <v>12.87</v>
      </c>
      <c r="C111" s="16">
        <v>2.0</v>
      </c>
      <c r="D111" s="11">
        <f t="shared" si="12"/>
        <v>25.74</v>
      </c>
      <c r="E111" s="22">
        <v>45397.0</v>
      </c>
      <c r="F111" s="13" t="s">
        <v>128</v>
      </c>
      <c r="G111" s="18" t="s">
        <v>133</v>
      </c>
      <c r="H111" s="16"/>
      <c r="I111" s="16"/>
      <c r="J111" s="16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2.0" customHeight="1">
      <c r="A112" s="15" t="s">
        <v>134</v>
      </c>
      <c r="B112" s="7">
        <v>10.78</v>
      </c>
      <c r="C112" s="16">
        <v>1.0</v>
      </c>
      <c r="D112" s="11">
        <f t="shared" si="12"/>
        <v>10.78</v>
      </c>
      <c r="E112" s="12">
        <v>45670.0</v>
      </c>
      <c r="F112" s="13" t="s">
        <v>128</v>
      </c>
      <c r="G112" s="19" t="s">
        <v>135</v>
      </c>
      <c r="H112" s="16"/>
      <c r="I112" s="16"/>
      <c r="J112" s="16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2.0" customHeight="1">
      <c r="A113" s="15" t="s">
        <v>136</v>
      </c>
      <c r="B113" s="10">
        <v>5.56</v>
      </c>
      <c r="C113" s="16">
        <v>1.0</v>
      </c>
      <c r="D113" s="11">
        <f t="shared" si="12"/>
        <v>5.56</v>
      </c>
      <c r="E113" s="22">
        <v>45644.0</v>
      </c>
      <c r="F113" s="16" t="s">
        <v>26</v>
      </c>
      <c r="G113" s="18"/>
      <c r="H113" s="16"/>
      <c r="I113" s="16"/>
      <c r="J113" s="16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2.0" customHeight="1">
      <c r="A114" s="15"/>
      <c r="B114" s="10"/>
      <c r="C114" s="16"/>
      <c r="D114" s="11"/>
      <c r="E114" s="7"/>
      <c r="F114" s="16"/>
      <c r="G114" s="18"/>
      <c r="H114" s="16"/>
      <c r="I114" s="16"/>
      <c r="J114" s="16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2.0" customHeight="1">
      <c r="A115" s="31" t="s">
        <v>137</v>
      </c>
      <c r="B115" s="4">
        <f>SUM(D116:D125)</f>
        <v>59.17</v>
      </c>
      <c r="C115" s="16"/>
      <c r="D115" s="11"/>
      <c r="E115" s="7"/>
      <c r="F115" s="16"/>
      <c r="G115" s="18"/>
      <c r="H115" s="16"/>
      <c r="I115" s="16"/>
      <c r="J115" s="16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2.0" customHeight="1">
      <c r="A116" s="15" t="s">
        <v>138</v>
      </c>
      <c r="B116" s="32">
        <v>0.0</v>
      </c>
      <c r="C116" s="16">
        <v>1.0</v>
      </c>
      <c r="D116" s="17">
        <f t="shared" ref="D116:D124" si="13">B116*C116</f>
        <v>0</v>
      </c>
      <c r="E116" s="7"/>
      <c r="F116" s="16" t="s">
        <v>139</v>
      </c>
      <c r="G116" s="18"/>
      <c r="H116" s="16"/>
      <c r="I116" s="16"/>
      <c r="J116" s="16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2.75" customHeight="1">
      <c r="A117" s="15" t="s">
        <v>140</v>
      </c>
      <c r="B117" s="10">
        <v>2.78</v>
      </c>
      <c r="C117" s="16">
        <v>4.0</v>
      </c>
      <c r="D117" s="17">
        <f t="shared" si="13"/>
        <v>11.12</v>
      </c>
      <c r="E117" s="22">
        <v>45397.0</v>
      </c>
      <c r="F117" s="13" t="s">
        <v>128</v>
      </c>
      <c r="G117" s="14" t="s">
        <v>141</v>
      </c>
      <c r="H117" s="16"/>
      <c r="I117" s="7"/>
      <c r="J117" s="16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2.75" customHeight="1">
      <c r="A118" s="15" t="s">
        <v>142</v>
      </c>
      <c r="B118" s="10">
        <v>19.57</v>
      </c>
      <c r="C118" s="16">
        <v>1.0</v>
      </c>
      <c r="D118" s="17">
        <f t="shared" si="13"/>
        <v>19.57</v>
      </c>
      <c r="E118" s="22">
        <v>45405.0</v>
      </c>
      <c r="F118" s="7" t="s">
        <v>26</v>
      </c>
      <c r="G118" s="14" t="s">
        <v>143</v>
      </c>
      <c r="H118" s="16"/>
      <c r="I118" s="7"/>
      <c r="J118" s="16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2.75" customHeight="1">
      <c r="A119" s="15" t="s">
        <v>144</v>
      </c>
      <c r="B119" s="10">
        <v>1.1</v>
      </c>
      <c r="C119" s="16">
        <v>7.0</v>
      </c>
      <c r="D119" s="17">
        <f t="shared" si="13"/>
        <v>7.7</v>
      </c>
      <c r="E119" s="22">
        <v>45397.0</v>
      </c>
      <c r="F119" s="13" t="s">
        <v>128</v>
      </c>
      <c r="G119" s="14" t="s">
        <v>145</v>
      </c>
      <c r="H119" s="16"/>
      <c r="I119" s="7" t="s">
        <v>146</v>
      </c>
      <c r="J119" s="16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2.75" customHeight="1">
      <c r="A120" s="15" t="s">
        <v>147</v>
      </c>
      <c r="B120" s="10">
        <v>8.94</v>
      </c>
      <c r="C120" s="16">
        <v>1.0</v>
      </c>
      <c r="D120" s="17">
        <f t="shared" si="13"/>
        <v>8.94</v>
      </c>
      <c r="E120" s="22">
        <v>45397.0</v>
      </c>
      <c r="F120" s="13" t="s">
        <v>128</v>
      </c>
      <c r="G120" s="14" t="s">
        <v>148</v>
      </c>
      <c r="H120" s="16"/>
      <c r="I120" s="7"/>
      <c r="J120" s="16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2.75" customHeight="1">
      <c r="A121" s="15" t="s">
        <v>149</v>
      </c>
      <c r="B121" s="10">
        <v>0.11</v>
      </c>
      <c r="C121" s="16">
        <v>21.0</v>
      </c>
      <c r="D121" s="17">
        <f t="shared" si="13"/>
        <v>2.31</v>
      </c>
      <c r="E121" s="22">
        <v>45405.0</v>
      </c>
      <c r="F121" s="13" t="s">
        <v>150</v>
      </c>
      <c r="G121" s="14">
        <v>24049.0</v>
      </c>
      <c r="H121" s="16"/>
      <c r="I121" s="7"/>
      <c r="J121" s="16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2.75" customHeight="1">
      <c r="A122" s="15" t="s">
        <v>151</v>
      </c>
      <c r="B122" s="10">
        <v>1.16</v>
      </c>
      <c r="C122" s="16">
        <v>2.0</v>
      </c>
      <c r="D122" s="17">
        <f t="shared" si="13"/>
        <v>2.32</v>
      </c>
      <c r="E122" s="12">
        <v>45670.0</v>
      </c>
      <c r="F122" s="13" t="s">
        <v>128</v>
      </c>
      <c r="G122" s="14" t="s">
        <v>152</v>
      </c>
      <c r="H122" s="16"/>
      <c r="I122" s="7"/>
      <c r="J122" s="16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2.75" customHeight="1">
      <c r="A123" s="15" t="s">
        <v>153</v>
      </c>
      <c r="B123" s="10">
        <v>7.21</v>
      </c>
      <c r="C123" s="16">
        <v>1.0</v>
      </c>
      <c r="D123" s="17">
        <f t="shared" si="13"/>
        <v>7.21</v>
      </c>
      <c r="E123" s="12">
        <v>45670.0</v>
      </c>
      <c r="F123" s="13" t="s">
        <v>128</v>
      </c>
      <c r="G123" s="19" t="s">
        <v>154</v>
      </c>
      <c r="H123" s="16"/>
      <c r="I123" s="7"/>
      <c r="J123" s="16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2.75" customHeight="1">
      <c r="A124" s="15" t="s">
        <v>155</v>
      </c>
      <c r="B124" s="10">
        <v>0.0</v>
      </c>
      <c r="C124" s="16">
        <v>1.0</v>
      </c>
      <c r="D124" s="17">
        <f t="shared" si="13"/>
        <v>0</v>
      </c>
      <c r="E124" s="7"/>
      <c r="F124" s="13"/>
      <c r="G124" s="14"/>
      <c r="H124" s="16"/>
      <c r="I124" s="7"/>
      <c r="J124" s="16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2.75" customHeight="1">
      <c r="A125" s="15"/>
      <c r="B125" s="10"/>
      <c r="C125" s="16"/>
      <c r="D125" s="11"/>
      <c r="E125" s="7"/>
      <c r="F125" s="16"/>
      <c r="G125" s="18"/>
      <c r="H125" s="16"/>
      <c r="I125" s="16"/>
      <c r="J125" s="16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2.0" customHeight="1">
      <c r="A126" s="31" t="s">
        <v>156</v>
      </c>
      <c r="B126" s="4">
        <f>SUM(D127:D164)</f>
        <v>1194.8</v>
      </c>
      <c r="C126" s="16"/>
      <c r="D126" s="11"/>
      <c r="E126" s="7"/>
      <c r="F126" s="16"/>
      <c r="G126" s="18"/>
      <c r="H126" s="16"/>
      <c r="I126" s="16"/>
      <c r="J126" s="16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2.75" customHeight="1">
      <c r="A127" s="7" t="s">
        <v>157</v>
      </c>
      <c r="B127" s="28">
        <v>134.81</v>
      </c>
      <c r="C127" s="16">
        <v>1.0</v>
      </c>
      <c r="D127" s="17">
        <f t="shared" ref="D127:D163" si="14">B127*C127</f>
        <v>134.81</v>
      </c>
      <c r="E127" s="22">
        <v>45397.0</v>
      </c>
      <c r="F127" s="16" t="s">
        <v>128</v>
      </c>
      <c r="G127" s="14"/>
      <c r="H127" s="7"/>
      <c r="I127" s="7"/>
      <c r="J127" s="16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2.75" customHeight="1">
      <c r="A128" s="7" t="s">
        <v>158</v>
      </c>
      <c r="B128" s="28">
        <v>100.82</v>
      </c>
      <c r="C128" s="16">
        <v>1.0</v>
      </c>
      <c r="D128" s="17">
        <f t="shared" si="14"/>
        <v>100.82</v>
      </c>
      <c r="E128" s="22">
        <v>45397.0</v>
      </c>
      <c r="F128" s="16" t="s">
        <v>128</v>
      </c>
      <c r="G128" s="14"/>
      <c r="H128" s="7"/>
      <c r="I128" s="7"/>
      <c r="J128" s="16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2.75" customHeight="1">
      <c r="A129" s="7" t="s">
        <v>159</v>
      </c>
      <c r="B129" s="28">
        <v>54.55</v>
      </c>
      <c r="C129" s="16">
        <v>1.0</v>
      </c>
      <c r="D129" s="17">
        <f t="shared" si="14"/>
        <v>54.55</v>
      </c>
      <c r="E129" s="22">
        <v>45397.0</v>
      </c>
      <c r="F129" s="16" t="s">
        <v>160</v>
      </c>
      <c r="G129" s="14"/>
      <c r="H129" s="7"/>
      <c r="I129" s="7"/>
      <c r="J129" s="16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2.75" customHeight="1">
      <c r="A130" s="7" t="s">
        <v>159</v>
      </c>
      <c r="B130" s="7">
        <v>76.97</v>
      </c>
      <c r="C130" s="16">
        <v>1.0</v>
      </c>
      <c r="D130" s="17">
        <f t="shared" si="14"/>
        <v>76.97</v>
      </c>
      <c r="E130" s="22">
        <v>45567.0</v>
      </c>
      <c r="F130" s="16" t="s">
        <v>161</v>
      </c>
      <c r="G130" s="14"/>
      <c r="H130" s="7"/>
      <c r="I130" s="7"/>
      <c r="J130" s="7" t="s">
        <v>162</v>
      </c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2.75" customHeight="1">
      <c r="A131" s="7" t="s">
        <v>163</v>
      </c>
      <c r="B131" s="28">
        <v>74.32</v>
      </c>
      <c r="C131" s="16">
        <v>1.0</v>
      </c>
      <c r="D131" s="17">
        <f t="shared" si="14"/>
        <v>74.32</v>
      </c>
      <c r="E131" s="22">
        <v>45397.0</v>
      </c>
      <c r="F131" s="16" t="s">
        <v>160</v>
      </c>
      <c r="G131" s="14"/>
      <c r="H131" s="7"/>
      <c r="I131" s="7"/>
      <c r="J131" s="16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2.75" customHeight="1">
      <c r="A132" s="7" t="s">
        <v>164</v>
      </c>
      <c r="B132" s="28">
        <v>44.18</v>
      </c>
      <c r="C132" s="16">
        <v>1.0</v>
      </c>
      <c r="D132" s="17">
        <f t="shared" si="14"/>
        <v>44.18</v>
      </c>
      <c r="E132" s="22">
        <v>45406.0</v>
      </c>
      <c r="F132" s="16" t="s">
        <v>161</v>
      </c>
      <c r="G132" s="14"/>
      <c r="H132" s="7"/>
      <c r="I132" s="7"/>
      <c r="J132" s="16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2.75" customHeight="1">
      <c r="A133" s="7" t="s">
        <v>165</v>
      </c>
      <c r="B133" s="28">
        <v>18.33</v>
      </c>
      <c r="C133" s="16">
        <v>1.0</v>
      </c>
      <c r="D133" s="17">
        <f t="shared" si="14"/>
        <v>18.33</v>
      </c>
      <c r="E133" s="22">
        <v>45397.0</v>
      </c>
      <c r="F133" s="16" t="s">
        <v>160</v>
      </c>
      <c r="G133" s="14"/>
      <c r="H133" s="7"/>
      <c r="I133" s="7"/>
      <c r="J133" s="16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2.75" customHeight="1">
      <c r="A134" s="7" t="s">
        <v>166</v>
      </c>
      <c r="B134" s="28">
        <v>18.33</v>
      </c>
      <c r="C134" s="16">
        <v>1.0</v>
      </c>
      <c r="D134" s="17">
        <f t="shared" si="14"/>
        <v>18.33</v>
      </c>
      <c r="E134" s="22">
        <v>45397.0</v>
      </c>
      <c r="F134" s="16" t="s">
        <v>160</v>
      </c>
      <c r="G134" s="14"/>
      <c r="H134" s="7"/>
      <c r="I134" s="7"/>
      <c r="J134" s="16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2.75" customHeight="1">
      <c r="A135" s="7" t="s">
        <v>167</v>
      </c>
      <c r="B135" s="28">
        <v>12.85</v>
      </c>
      <c r="C135" s="16">
        <v>1.0</v>
      </c>
      <c r="D135" s="17">
        <f t="shared" si="14"/>
        <v>12.85</v>
      </c>
      <c r="E135" s="22">
        <v>45397.0</v>
      </c>
      <c r="F135" s="16" t="s">
        <v>160</v>
      </c>
      <c r="G135" s="14"/>
      <c r="H135" s="7"/>
      <c r="I135" s="7"/>
      <c r="J135" s="16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2.75" customHeight="1">
      <c r="A136" s="7" t="s">
        <v>168</v>
      </c>
      <c r="B136" s="28">
        <v>7.53</v>
      </c>
      <c r="C136" s="16">
        <v>1.0</v>
      </c>
      <c r="D136" s="17">
        <f t="shared" si="14"/>
        <v>7.53</v>
      </c>
      <c r="E136" s="22">
        <v>45397.0</v>
      </c>
      <c r="F136" s="16" t="s">
        <v>160</v>
      </c>
      <c r="G136" s="14"/>
      <c r="H136" s="7"/>
      <c r="I136" s="7"/>
      <c r="J136" s="16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2.75" customHeight="1">
      <c r="A137" s="7" t="s">
        <v>169</v>
      </c>
      <c r="B137" s="28">
        <v>23.03</v>
      </c>
      <c r="C137" s="16">
        <v>1.0</v>
      </c>
      <c r="D137" s="17">
        <f t="shared" si="14"/>
        <v>23.03</v>
      </c>
      <c r="E137" s="22">
        <v>45397.0</v>
      </c>
      <c r="F137" s="16" t="s">
        <v>160</v>
      </c>
      <c r="G137" s="14"/>
      <c r="H137" s="7"/>
      <c r="I137" s="7"/>
      <c r="J137" s="16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2.75" customHeight="1">
      <c r="A138" s="7" t="s">
        <v>169</v>
      </c>
      <c r="B138" s="7">
        <v>30.81</v>
      </c>
      <c r="C138" s="16">
        <v>1.0</v>
      </c>
      <c r="D138" s="17">
        <f t="shared" si="14"/>
        <v>30.81</v>
      </c>
      <c r="E138" s="22">
        <v>45567.0</v>
      </c>
      <c r="F138" s="16" t="s">
        <v>161</v>
      </c>
      <c r="G138" s="14"/>
      <c r="H138" s="7"/>
      <c r="I138" s="7"/>
      <c r="J138" s="7" t="s">
        <v>162</v>
      </c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2.75" customHeight="1">
      <c r="A139" s="7" t="s">
        <v>170</v>
      </c>
      <c r="B139" s="28">
        <v>13.5</v>
      </c>
      <c r="C139" s="16">
        <v>1.0</v>
      </c>
      <c r="D139" s="17">
        <f t="shared" si="14"/>
        <v>13.5</v>
      </c>
      <c r="E139" s="22">
        <v>45397.0</v>
      </c>
      <c r="F139" s="16" t="s">
        <v>160</v>
      </c>
      <c r="G139" s="14"/>
      <c r="H139" s="7"/>
      <c r="I139" s="7"/>
      <c r="J139" s="16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2.75" customHeight="1">
      <c r="A140" s="7" t="s">
        <v>171</v>
      </c>
      <c r="B140" s="28">
        <v>9.15</v>
      </c>
      <c r="C140" s="16">
        <v>1.0</v>
      </c>
      <c r="D140" s="17">
        <f t="shared" si="14"/>
        <v>9.15</v>
      </c>
      <c r="E140" s="22">
        <v>45397.0</v>
      </c>
      <c r="F140" s="16" t="s">
        <v>160</v>
      </c>
      <c r="G140" s="14"/>
      <c r="H140" s="7"/>
      <c r="I140" s="7"/>
      <c r="J140" s="16" t="s">
        <v>172</v>
      </c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2.75" customHeight="1">
      <c r="A141" s="7" t="s">
        <v>173</v>
      </c>
      <c r="B141" s="28">
        <v>32.47</v>
      </c>
      <c r="C141" s="16">
        <v>1.0</v>
      </c>
      <c r="D141" s="17">
        <f t="shared" si="14"/>
        <v>32.47</v>
      </c>
      <c r="E141" s="22">
        <v>45397.0</v>
      </c>
      <c r="F141" s="16" t="s">
        <v>160</v>
      </c>
      <c r="G141" s="14"/>
      <c r="H141" s="7"/>
      <c r="I141" s="7"/>
      <c r="J141" s="16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2.75" customHeight="1">
      <c r="A142" s="7" t="s">
        <v>174</v>
      </c>
      <c r="B142" s="28">
        <v>21.65</v>
      </c>
      <c r="C142" s="16">
        <v>2.0</v>
      </c>
      <c r="D142" s="17">
        <f t="shared" si="14"/>
        <v>43.3</v>
      </c>
      <c r="E142" s="22">
        <v>45397.0</v>
      </c>
      <c r="F142" s="16" t="s">
        <v>160</v>
      </c>
      <c r="G142" s="14"/>
      <c r="H142" s="7"/>
      <c r="I142" s="7"/>
      <c r="J142" s="16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2.75" customHeight="1">
      <c r="A143" s="7" t="s">
        <v>175</v>
      </c>
      <c r="B143" s="28">
        <v>23.7</v>
      </c>
      <c r="C143" s="16">
        <v>1.0</v>
      </c>
      <c r="D143" s="17">
        <f t="shared" si="14"/>
        <v>23.7</v>
      </c>
      <c r="E143" s="22">
        <v>45397.0</v>
      </c>
      <c r="F143" s="16" t="s">
        <v>160</v>
      </c>
      <c r="G143" s="14"/>
      <c r="H143" s="7"/>
      <c r="I143" s="7"/>
      <c r="J143" s="16" t="s">
        <v>176</v>
      </c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2.75" customHeight="1">
      <c r="A144" s="7" t="s">
        <v>177</v>
      </c>
      <c r="B144" s="10">
        <v>62.84</v>
      </c>
      <c r="C144" s="16">
        <v>1.0</v>
      </c>
      <c r="D144" s="17">
        <f t="shared" si="14"/>
        <v>62.84</v>
      </c>
      <c r="E144" s="22">
        <v>45615.0</v>
      </c>
      <c r="F144" s="16" t="s">
        <v>161</v>
      </c>
      <c r="G144" s="14"/>
      <c r="H144" s="7"/>
      <c r="I144" s="7"/>
      <c r="J144" s="16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2.75" customHeight="1">
      <c r="A145" s="7" t="s">
        <v>178</v>
      </c>
      <c r="B145" s="10">
        <v>31.64</v>
      </c>
      <c r="C145" s="16">
        <v>1.0</v>
      </c>
      <c r="D145" s="17">
        <f t="shared" si="14"/>
        <v>31.64</v>
      </c>
      <c r="E145" s="22">
        <v>45615.0</v>
      </c>
      <c r="F145" s="16" t="s">
        <v>161</v>
      </c>
      <c r="G145" s="14"/>
      <c r="H145" s="7"/>
      <c r="I145" s="7"/>
      <c r="J145" s="16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2.75" customHeight="1">
      <c r="A146" s="7" t="s">
        <v>179</v>
      </c>
      <c r="B146" s="28">
        <v>21.38</v>
      </c>
      <c r="C146" s="16">
        <v>1.0</v>
      </c>
      <c r="D146" s="17">
        <f t="shared" si="14"/>
        <v>21.38</v>
      </c>
      <c r="E146" s="12">
        <v>45670.0</v>
      </c>
      <c r="F146" s="13" t="s">
        <v>128</v>
      </c>
      <c r="G146" s="14" t="s">
        <v>117</v>
      </c>
      <c r="H146" s="7"/>
      <c r="I146" s="7"/>
      <c r="J146" s="16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2.75" customHeight="1">
      <c r="A147" s="7" t="s">
        <v>104</v>
      </c>
      <c r="B147" s="28">
        <v>1.58</v>
      </c>
      <c r="C147" s="16">
        <v>2.0</v>
      </c>
      <c r="D147" s="17">
        <f t="shared" si="14"/>
        <v>3.16</v>
      </c>
      <c r="E147" s="22">
        <v>45394.0</v>
      </c>
      <c r="F147" s="16" t="s">
        <v>26</v>
      </c>
      <c r="G147" s="14"/>
      <c r="H147" s="7"/>
      <c r="I147" s="7"/>
      <c r="J147" s="16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2.75" customHeight="1">
      <c r="A148" s="7" t="s">
        <v>98</v>
      </c>
      <c r="B148" s="28">
        <v>2.12</v>
      </c>
      <c r="C148" s="16">
        <v>1.0</v>
      </c>
      <c r="D148" s="17">
        <f t="shared" si="14"/>
        <v>2.12</v>
      </c>
      <c r="E148" s="22">
        <v>45394.0</v>
      </c>
      <c r="F148" s="16" t="s">
        <v>26</v>
      </c>
      <c r="G148" s="14"/>
      <c r="H148" s="7"/>
      <c r="I148" s="7"/>
      <c r="J148" s="16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2.75" customHeight="1">
      <c r="A149" s="7" t="s">
        <v>97</v>
      </c>
      <c r="B149" s="28">
        <v>5.36</v>
      </c>
      <c r="C149" s="16">
        <v>1.0</v>
      </c>
      <c r="D149" s="17">
        <f t="shared" si="14"/>
        <v>5.36</v>
      </c>
      <c r="E149" s="22">
        <v>45394.0</v>
      </c>
      <c r="F149" s="16" t="s">
        <v>26</v>
      </c>
      <c r="G149" s="14"/>
      <c r="H149" s="7"/>
      <c r="I149" s="7"/>
      <c r="J149" s="16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2.75" customHeight="1">
      <c r="A150" s="7" t="s">
        <v>107</v>
      </c>
      <c r="B150" s="28">
        <v>1.94</v>
      </c>
      <c r="C150" s="16">
        <v>1.0</v>
      </c>
      <c r="D150" s="17">
        <f t="shared" si="14"/>
        <v>1.94</v>
      </c>
      <c r="E150" s="22">
        <v>45394.0</v>
      </c>
      <c r="F150" s="16" t="s">
        <v>26</v>
      </c>
      <c r="G150" s="14"/>
      <c r="H150" s="7"/>
      <c r="I150" s="7"/>
      <c r="J150" s="16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2.75" customHeight="1">
      <c r="A151" s="7" t="s">
        <v>107</v>
      </c>
      <c r="B151" s="28">
        <v>1.94</v>
      </c>
      <c r="C151" s="16">
        <v>1.0</v>
      </c>
      <c r="D151" s="17">
        <f t="shared" si="14"/>
        <v>1.94</v>
      </c>
      <c r="E151" s="22">
        <v>45610.0</v>
      </c>
      <c r="F151" s="16" t="s">
        <v>26</v>
      </c>
      <c r="G151" s="14"/>
      <c r="H151" s="7"/>
      <c r="I151" s="7"/>
      <c r="J151" s="16" t="s">
        <v>108</v>
      </c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2.75" customHeight="1">
      <c r="A152" s="15" t="s">
        <v>109</v>
      </c>
      <c r="B152" s="10">
        <v>1.57</v>
      </c>
      <c r="C152" s="16">
        <v>1.0</v>
      </c>
      <c r="D152" s="17">
        <f t="shared" si="14"/>
        <v>1.57</v>
      </c>
      <c r="E152" s="22">
        <v>45644.0</v>
      </c>
      <c r="F152" s="16" t="s">
        <v>26</v>
      </c>
      <c r="G152" s="19" t="s">
        <v>110</v>
      </c>
      <c r="H152" s="7"/>
      <c r="I152" s="7"/>
      <c r="J152" s="16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2.75" customHeight="1">
      <c r="A153" s="7" t="s">
        <v>98</v>
      </c>
      <c r="B153" s="28">
        <v>2.1</v>
      </c>
      <c r="C153" s="16">
        <v>1.0</v>
      </c>
      <c r="D153" s="17">
        <f t="shared" si="14"/>
        <v>2.1</v>
      </c>
      <c r="E153" s="22">
        <v>45610.0</v>
      </c>
      <c r="F153" s="16" t="s">
        <v>26</v>
      </c>
      <c r="G153" s="14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2.75" customHeight="1">
      <c r="A154" s="7" t="s">
        <v>98</v>
      </c>
      <c r="B154" s="28">
        <v>1.89</v>
      </c>
      <c r="C154" s="16">
        <v>1.0</v>
      </c>
      <c r="D154" s="17">
        <f t="shared" si="14"/>
        <v>1.89</v>
      </c>
      <c r="E154" s="22">
        <v>45706.0</v>
      </c>
      <c r="F154" s="16" t="s">
        <v>26</v>
      </c>
      <c r="G154" s="19" t="s">
        <v>180</v>
      </c>
      <c r="H154" s="7"/>
      <c r="I154" s="7"/>
      <c r="J154" s="7" t="s">
        <v>181</v>
      </c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2.75" customHeight="1">
      <c r="A155" s="7" t="s">
        <v>97</v>
      </c>
      <c r="B155" s="28">
        <v>5.31</v>
      </c>
      <c r="C155" s="16">
        <v>1.0</v>
      </c>
      <c r="D155" s="17">
        <f t="shared" si="14"/>
        <v>5.31</v>
      </c>
      <c r="E155" s="22">
        <v>45610.0</v>
      </c>
      <c r="F155" s="16" t="s">
        <v>26</v>
      </c>
      <c r="G155" s="14"/>
      <c r="H155" s="7"/>
      <c r="I155" s="7"/>
      <c r="J155" s="16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2.75" customHeight="1">
      <c r="A156" s="7" t="s">
        <v>182</v>
      </c>
      <c r="B156" s="28">
        <v>6.94</v>
      </c>
      <c r="C156" s="16">
        <v>1.0</v>
      </c>
      <c r="D156" s="17">
        <f t="shared" si="14"/>
        <v>6.94</v>
      </c>
      <c r="E156" s="22">
        <v>45610.0</v>
      </c>
      <c r="F156" s="16" t="s">
        <v>49</v>
      </c>
      <c r="G156" s="14"/>
      <c r="H156" s="7"/>
      <c r="I156" s="7"/>
      <c r="J156" s="16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2.75" customHeight="1">
      <c r="A157" s="7" t="s">
        <v>105</v>
      </c>
      <c r="B157" s="28">
        <v>1.89</v>
      </c>
      <c r="C157" s="16">
        <v>1.0</v>
      </c>
      <c r="D157" s="17">
        <f t="shared" si="14"/>
        <v>1.89</v>
      </c>
      <c r="E157" s="22">
        <v>45610.0</v>
      </c>
      <c r="F157" s="16" t="s">
        <v>26</v>
      </c>
      <c r="G157" s="14"/>
      <c r="H157" s="7"/>
      <c r="I157" s="7"/>
      <c r="J157" s="16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2.75" customHeight="1">
      <c r="A158" s="42" t="s">
        <v>183</v>
      </c>
      <c r="B158" s="43">
        <v>93.91</v>
      </c>
      <c r="C158" s="25">
        <v>1.0</v>
      </c>
      <c r="D158" s="17">
        <f t="shared" si="14"/>
        <v>93.91</v>
      </c>
      <c r="E158" s="26">
        <v>46062.0</v>
      </c>
      <c r="F158" s="16" t="s">
        <v>161</v>
      </c>
      <c r="G158" s="14"/>
      <c r="H158" s="7"/>
      <c r="I158" s="7"/>
      <c r="J158" s="25" t="s">
        <v>184</v>
      </c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2.75" customHeight="1">
      <c r="A159" s="42" t="s">
        <v>185</v>
      </c>
      <c r="B159" s="43">
        <v>13.65</v>
      </c>
      <c r="C159" s="25">
        <v>1.0</v>
      </c>
      <c r="D159" s="17">
        <f t="shared" si="14"/>
        <v>13.65</v>
      </c>
      <c r="E159" s="26">
        <v>46063.0</v>
      </c>
      <c r="F159" s="16" t="s">
        <v>161</v>
      </c>
      <c r="G159" s="14"/>
      <c r="H159" s="7"/>
      <c r="I159" s="7"/>
      <c r="J159" s="25" t="s">
        <v>184</v>
      </c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2.75" customHeight="1">
      <c r="A160" s="42" t="s">
        <v>186</v>
      </c>
      <c r="B160" s="43">
        <v>88.84</v>
      </c>
      <c r="C160" s="25">
        <v>1.0</v>
      </c>
      <c r="D160" s="17">
        <f t="shared" si="14"/>
        <v>88.84</v>
      </c>
      <c r="E160" s="26">
        <v>46064.0</v>
      </c>
      <c r="F160" s="16" t="s">
        <v>161</v>
      </c>
      <c r="G160" s="14"/>
      <c r="H160" s="7"/>
      <c r="I160" s="7"/>
      <c r="J160" s="25" t="s">
        <v>184</v>
      </c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2.75" customHeight="1">
      <c r="A161" s="42" t="s">
        <v>187</v>
      </c>
      <c r="B161" s="43">
        <v>32.56</v>
      </c>
      <c r="C161" s="25">
        <v>1.0</v>
      </c>
      <c r="D161" s="17">
        <f t="shared" si="14"/>
        <v>32.56</v>
      </c>
      <c r="E161" s="26">
        <v>46065.0</v>
      </c>
      <c r="F161" s="16" t="s">
        <v>161</v>
      </c>
      <c r="G161" s="14"/>
      <c r="H161" s="7"/>
      <c r="I161" s="7"/>
      <c r="J161" s="25" t="s">
        <v>184</v>
      </c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2.75" customHeight="1">
      <c r="A162" s="42" t="s">
        <v>188</v>
      </c>
      <c r="B162" s="43">
        <v>20.23</v>
      </c>
      <c r="C162" s="25">
        <v>1.0</v>
      </c>
      <c r="D162" s="17">
        <f t="shared" si="14"/>
        <v>20.23</v>
      </c>
      <c r="E162" s="26">
        <v>46066.0</v>
      </c>
      <c r="F162" s="16" t="s">
        <v>161</v>
      </c>
      <c r="G162" s="14"/>
      <c r="H162" s="7"/>
      <c r="I162" s="7"/>
      <c r="J162" s="25" t="s">
        <v>184</v>
      </c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2.75" customHeight="1">
      <c r="A163" s="42" t="s">
        <v>189</v>
      </c>
      <c r="B163" s="43">
        <v>38.44</v>
      </c>
      <c r="C163" s="25">
        <v>2.0</v>
      </c>
      <c r="D163" s="17">
        <f t="shared" si="14"/>
        <v>76.88</v>
      </c>
      <c r="E163" s="26">
        <v>46067.0</v>
      </c>
      <c r="F163" s="16" t="s">
        <v>161</v>
      </c>
      <c r="G163" s="14"/>
      <c r="H163" s="7"/>
      <c r="I163" s="7"/>
      <c r="J163" s="25" t="s">
        <v>190</v>
      </c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2.75" customHeight="1">
      <c r="A164" s="15"/>
      <c r="B164" s="10"/>
      <c r="C164" s="16"/>
      <c r="D164" s="11"/>
      <c r="E164" s="7"/>
      <c r="F164" s="16"/>
      <c r="G164" s="18"/>
      <c r="H164" s="16"/>
      <c r="I164" s="16"/>
      <c r="J164" s="16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2.0" customHeight="1">
      <c r="A165" s="31" t="s">
        <v>191</v>
      </c>
      <c r="B165" s="4">
        <f>SUM(D166:D181)</f>
        <v>437.09</v>
      </c>
      <c r="C165" s="16"/>
      <c r="D165" s="11"/>
      <c r="E165" s="7"/>
      <c r="F165" s="16"/>
      <c r="G165" s="18"/>
      <c r="H165" s="16"/>
      <c r="I165" s="16"/>
      <c r="J165" s="16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2.75" customHeight="1">
      <c r="A166" s="7" t="s">
        <v>157</v>
      </c>
      <c r="B166" s="28">
        <v>134.81</v>
      </c>
      <c r="C166" s="16">
        <v>1.0</v>
      </c>
      <c r="D166" s="17">
        <f t="shared" ref="D166:D180" si="15">B166*C166</f>
        <v>134.81</v>
      </c>
      <c r="E166" s="22">
        <v>45397.0</v>
      </c>
      <c r="F166" s="16" t="s">
        <v>128</v>
      </c>
      <c r="G166" s="14"/>
      <c r="H166" s="7"/>
      <c r="I166" s="7"/>
      <c r="J166" s="16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2.75" customHeight="1">
      <c r="A167" s="7" t="s">
        <v>159</v>
      </c>
      <c r="B167" s="28">
        <v>54.55</v>
      </c>
      <c r="C167" s="16">
        <v>1.0</v>
      </c>
      <c r="D167" s="17">
        <f t="shared" si="15"/>
        <v>54.55</v>
      </c>
      <c r="E167" s="22">
        <v>45397.0</v>
      </c>
      <c r="F167" s="16" t="s">
        <v>160</v>
      </c>
      <c r="G167" s="14"/>
      <c r="H167" s="7"/>
      <c r="I167" s="7"/>
      <c r="J167" s="16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2.75" customHeight="1">
      <c r="A168" s="7" t="s">
        <v>164</v>
      </c>
      <c r="B168" s="28">
        <v>44.18</v>
      </c>
      <c r="C168" s="16">
        <v>1.0</v>
      </c>
      <c r="D168" s="17">
        <f t="shared" si="15"/>
        <v>44.18</v>
      </c>
      <c r="E168" s="22">
        <v>45406.0</v>
      </c>
      <c r="F168" s="16" t="s">
        <v>161</v>
      </c>
      <c r="G168" s="14"/>
      <c r="H168" s="7"/>
      <c r="I168" s="7"/>
      <c r="J168" s="16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2.75" customHeight="1">
      <c r="A169" s="7" t="s">
        <v>192</v>
      </c>
      <c r="B169" s="28">
        <v>11.8</v>
      </c>
      <c r="C169" s="16">
        <v>1.0</v>
      </c>
      <c r="D169" s="17">
        <f t="shared" si="15"/>
        <v>11.8</v>
      </c>
      <c r="E169" s="22">
        <v>45397.0</v>
      </c>
      <c r="F169" s="16" t="s">
        <v>160</v>
      </c>
      <c r="G169" s="14"/>
      <c r="H169" s="7"/>
      <c r="I169" s="7"/>
      <c r="J169" s="16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2.75" customHeight="1">
      <c r="A170" s="7" t="s">
        <v>169</v>
      </c>
      <c r="B170" s="28">
        <v>23.03</v>
      </c>
      <c r="C170" s="16">
        <v>1.0</v>
      </c>
      <c r="D170" s="17">
        <f t="shared" si="15"/>
        <v>23.03</v>
      </c>
      <c r="E170" s="22">
        <v>45397.0</v>
      </c>
      <c r="F170" s="16" t="s">
        <v>160</v>
      </c>
      <c r="G170" s="14"/>
      <c r="H170" s="7"/>
      <c r="I170" s="7"/>
      <c r="J170" s="16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2.75" customHeight="1">
      <c r="A171" s="7" t="s">
        <v>170</v>
      </c>
      <c r="B171" s="28">
        <v>13.5</v>
      </c>
      <c r="C171" s="16">
        <v>1.0</v>
      </c>
      <c r="D171" s="17">
        <f t="shared" si="15"/>
        <v>13.5</v>
      </c>
      <c r="E171" s="22">
        <v>45397.0</v>
      </c>
      <c r="F171" s="16" t="s">
        <v>160</v>
      </c>
      <c r="G171" s="14"/>
      <c r="H171" s="7"/>
      <c r="I171" s="7"/>
      <c r="J171" s="16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2.75" customHeight="1">
      <c r="A172" s="7" t="s">
        <v>171</v>
      </c>
      <c r="B172" s="28">
        <v>9.15</v>
      </c>
      <c r="C172" s="16">
        <v>1.0</v>
      </c>
      <c r="D172" s="17">
        <f t="shared" si="15"/>
        <v>9.15</v>
      </c>
      <c r="E172" s="22">
        <v>45397.0</v>
      </c>
      <c r="F172" s="16" t="s">
        <v>160</v>
      </c>
      <c r="G172" s="14"/>
      <c r="H172" s="7"/>
      <c r="I172" s="7"/>
      <c r="J172" s="16" t="s">
        <v>172</v>
      </c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2.75" customHeight="1">
      <c r="A173" s="7" t="s">
        <v>193</v>
      </c>
      <c r="B173" s="28">
        <v>11.68</v>
      </c>
      <c r="C173" s="16">
        <v>1.0</v>
      </c>
      <c r="D173" s="17">
        <f t="shared" si="15"/>
        <v>11.68</v>
      </c>
      <c r="E173" s="22">
        <v>45397.0</v>
      </c>
      <c r="F173" s="16" t="s">
        <v>160</v>
      </c>
      <c r="G173" s="14"/>
      <c r="H173" s="7"/>
      <c r="I173" s="7"/>
      <c r="J173" s="16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2.75" customHeight="1">
      <c r="A174" s="7" t="s">
        <v>194</v>
      </c>
      <c r="B174" s="28">
        <v>7.65</v>
      </c>
      <c r="C174" s="16">
        <v>1.0</v>
      </c>
      <c r="D174" s="17">
        <f t="shared" si="15"/>
        <v>7.65</v>
      </c>
      <c r="E174" s="22">
        <v>45397.0</v>
      </c>
      <c r="F174" s="16" t="s">
        <v>160</v>
      </c>
      <c r="G174" s="14"/>
      <c r="H174" s="7"/>
      <c r="I174" s="7"/>
      <c r="J174" s="16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2.75" customHeight="1">
      <c r="A175" s="7" t="s">
        <v>195</v>
      </c>
      <c r="B175" s="10">
        <v>25.53</v>
      </c>
      <c r="C175" s="16">
        <v>1.0</v>
      </c>
      <c r="D175" s="17">
        <f t="shared" si="15"/>
        <v>25.53</v>
      </c>
      <c r="E175" s="22">
        <v>45397.0</v>
      </c>
      <c r="F175" s="16" t="s">
        <v>160</v>
      </c>
      <c r="G175" s="14"/>
      <c r="H175" s="7"/>
      <c r="I175" s="7"/>
      <c r="J175" s="16" t="s">
        <v>196</v>
      </c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2.75" customHeight="1">
      <c r="A176" s="7" t="s">
        <v>177</v>
      </c>
      <c r="B176" s="10">
        <v>62.84</v>
      </c>
      <c r="C176" s="16">
        <v>1.0</v>
      </c>
      <c r="D176" s="17">
        <f t="shared" si="15"/>
        <v>62.84</v>
      </c>
      <c r="E176" s="22">
        <v>45615.0</v>
      </c>
      <c r="F176" s="16" t="s">
        <v>161</v>
      </c>
      <c r="G176" s="14"/>
      <c r="H176" s="7"/>
      <c r="I176" s="7"/>
      <c r="J176" s="16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2.75" customHeight="1">
      <c r="A177" s="7" t="s">
        <v>178</v>
      </c>
      <c r="B177" s="10">
        <v>31.64</v>
      </c>
      <c r="C177" s="16">
        <v>1.0</v>
      </c>
      <c r="D177" s="17">
        <f t="shared" si="15"/>
        <v>31.64</v>
      </c>
      <c r="E177" s="22">
        <v>45615.0</v>
      </c>
      <c r="F177" s="16" t="s">
        <v>161</v>
      </c>
      <c r="G177" s="14"/>
      <c r="H177" s="7"/>
      <c r="I177" s="7"/>
      <c r="J177" s="16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2.75" customHeight="1">
      <c r="A178" s="7" t="s">
        <v>197</v>
      </c>
      <c r="B178" s="10">
        <v>1.61</v>
      </c>
      <c r="C178" s="16">
        <v>2.0</v>
      </c>
      <c r="D178" s="17">
        <f t="shared" si="15"/>
        <v>3.22</v>
      </c>
      <c r="E178" s="22">
        <v>45394.0</v>
      </c>
      <c r="F178" s="16" t="s">
        <v>26</v>
      </c>
      <c r="G178" s="14"/>
      <c r="H178" s="7"/>
      <c r="I178" s="7"/>
      <c r="J178" s="16" t="s">
        <v>123</v>
      </c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2.75" customHeight="1">
      <c r="A179" s="15" t="s">
        <v>107</v>
      </c>
      <c r="B179" s="10">
        <v>1.94</v>
      </c>
      <c r="C179" s="16">
        <v>1.0</v>
      </c>
      <c r="D179" s="17">
        <f t="shared" si="15"/>
        <v>1.94</v>
      </c>
      <c r="E179" s="22">
        <v>45610.0</v>
      </c>
      <c r="F179" s="16" t="s">
        <v>26</v>
      </c>
      <c r="G179" s="14"/>
      <c r="H179" s="7"/>
      <c r="I179" s="7"/>
      <c r="J179" s="16" t="s">
        <v>108</v>
      </c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2.75" customHeight="1">
      <c r="A180" s="15" t="s">
        <v>109</v>
      </c>
      <c r="B180" s="10">
        <v>1.57</v>
      </c>
      <c r="C180" s="16">
        <v>1.0</v>
      </c>
      <c r="D180" s="17">
        <f t="shared" si="15"/>
        <v>1.57</v>
      </c>
      <c r="E180" s="22">
        <v>45644.0</v>
      </c>
      <c r="F180" s="16" t="s">
        <v>26</v>
      </c>
      <c r="G180" s="19" t="s">
        <v>110</v>
      </c>
      <c r="H180" s="7"/>
      <c r="I180" s="7"/>
      <c r="J180" s="16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2.75" customHeight="1">
      <c r="A181" s="15"/>
      <c r="B181" s="10"/>
      <c r="C181" s="16"/>
      <c r="D181" s="11"/>
      <c r="E181" s="7"/>
      <c r="F181" s="16"/>
      <c r="G181" s="18"/>
      <c r="H181" s="16"/>
      <c r="I181" s="16"/>
      <c r="J181" s="16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2.0" customHeight="1">
      <c r="A182" s="31" t="s">
        <v>198</v>
      </c>
      <c r="B182" s="4">
        <f>SUM(D183:D193)</f>
        <v>205.52</v>
      </c>
      <c r="C182" s="16"/>
      <c r="D182" s="11"/>
      <c r="E182" s="7"/>
      <c r="F182" s="16"/>
      <c r="G182" s="18"/>
      <c r="H182" s="16"/>
      <c r="I182" s="16"/>
      <c r="J182" s="16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2.0" customHeight="1">
      <c r="A183" s="7" t="s">
        <v>199</v>
      </c>
      <c r="B183" s="32">
        <v>66.9</v>
      </c>
      <c r="C183" s="16">
        <v>1.0</v>
      </c>
      <c r="D183" s="17">
        <f t="shared" ref="D183:D192" si="16">B183*C183</f>
        <v>66.9</v>
      </c>
      <c r="E183" s="22">
        <v>45397.0</v>
      </c>
      <c r="F183" s="16" t="s">
        <v>128</v>
      </c>
      <c r="G183" s="18"/>
      <c r="H183" s="16"/>
      <c r="I183" s="16"/>
      <c r="J183" s="16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2.75" customHeight="1">
      <c r="A184" s="7" t="s">
        <v>165</v>
      </c>
      <c r="B184" s="28">
        <v>18.33</v>
      </c>
      <c r="C184" s="16">
        <v>1.0</v>
      </c>
      <c r="D184" s="17">
        <f t="shared" si="16"/>
        <v>18.33</v>
      </c>
      <c r="E184" s="22">
        <v>45397.0</v>
      </c>
      <c r="F184" s="16" t="s">
        <v>160</v>
      </c>
      <c r="G184" s="14"/>
      <c r="H184" s="7"/>
      <c r="I184" s="7"/>
      <c r="J184" s="16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2.75" customHeight="1">
      <c r="A185" s="7" t="s">
        <v>165</v>
      </c>
      <c r="B185" s="7">
        <v>25.66</v>
      </c>
      <c r="C185" s="16">
        <v>1.0</v>
      </c>
      <c r="D185" s="17">
        <f t="shared" si="16"/>
        <v>25.66</v>
      </c>
      <c r="E185" s="22">
        <v>45567.0</v>
      </c>
      <c r="F185" s="16" t="s">
        <v>161</v>
      </c>
      <c r="G185" s="14"/>
      <c r="H185" s="7"/>
      <c r="I185" s="7"/>
      <c r="J185" s="7" t="s">
        <v>162</v>
      </c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2.75" customHeight="1">
      <c r="A186" s="7" t="s">
        <v>165</v>
      </c>
      <c r="B186" s="28">
        <v>22.47</v>
      </c>
      <c r="C186" s="16">
        <v>1.0</v>
      </c>
      <c r="D186" s="17">
        <f t="shared" si="16"/>
        <v>22.47</v>
      </c>
      <c r="E186" s="22">
        <v>45693.0</v>
      </c>
      <c r="F186" s="16" t="s">
        <v>200</v>
      </c>
      <c r="G186" s="14"/>
      <c r="H186" s="7"/>
      <c r="I186" s="7"/>
      <c r="J186" s="7" t="s">
        <v>201</v>
      </c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2.75" customHeight="1">
      <c r="A187" s="7" t="s">
        <v>168</v>
      </c>
      <c r="B187" s="28">
        <v>7.53</v>
      </c>
      <c r="C187" s="16">
        <v>1.0</v>
      </c>
      <c r="D187" s="17">
        <f t="shared" si="16"/>
        <v>7.53</v>
      </c>
      <c r="E187" s="22">
        <v>45397.0</v>
      </c>
      <c r="F187" s="16" t="s">
        <v>160</v>
      </c>
      <c r="G187" s="14"/>
      <c r="H187" s="7"/>
      <c r="I187" s="7"/>
      <c r="J187" s="16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2.75" customHeight="1">
      <c r="A188" s="7" t="s">
        <v>170</v>
      </c>
      <c r="B188" s="10">
        <v>13.5</v>
      </c>
      <c r="C188" s="16">
        <v>2.0</v>
      </c>
      <c r="D188" s="17">
        <f t="shared" si="16"/>
        <v>27</v>
      </c>
      <c r="E188" s="22">
        <v>45397.0</v>
      </c>
      <c r="F188" s="16" t="s">
        <v>160</v>
      </c>
      <c r="G188" s="18"/>
      <c r="H188" s="16"/>
      <c r="I188" s="16"/>
      <c r="J188" s="16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2.75" customHeight="1">
      <c r="A189" s="7" t="s">
        <v>202</v>
      </c>
      <c r="B189" s="10">
        <v>23.7</v>
      </c>
      <c r="C189" s="16">
        <v>1.0</v>
      </c>
      <c r="D189" s="17">
        <f t="shared" si="16"/>
        <v>23.7</v>
      </c>
      <c r="E189" s="22">
        <v>45397.0</v>
      </c>
      <c r="F189" s="16" t="s">
        <v>160</v>
      </c>
      <c r="G189" s="18"/>
      <c r="H189" s="16"/>
      <c r="I189" s="16"/>
      <c r="J189" s="16" t="s">
        <v>203</v>
      </c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2.75" customHeight="1">
      <c r="A190" s="7" t="s">
        <v>204</v>
      </c>
      <c r="B190" s="10">
        <v>7.65</v>
      </c>
      <c r="C190" s="16">
        <v>1.0</v>
      </c>
      <c r="D190" s="17">
        <f t="shared" si="16"/>
        <v>7.65</v>
      </c>
      <c r="E190" s="22">
        <v>45397.0</v>
      </c>
      <c r="F190" s="16" t="s">
        <v>160</v>
      </c>
      <c r="G190" s="18"/>
      <c r="H190" s="16"/>
      <c r="I190" s="16"/>
      <c r="J190" s="16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2.75" customHeight="1">
      <c r="A191" s="7" t="s">
        <v>205</v>
      </c>
      <c r="B191" s="10">
        <v>4.83</v>
      </c>
      <c r="C191" s="16">
        <v>1.0</v>
      </c>
      <c r="D191" s="17">
        <f t="shared" si="16"/>
        <v>4.83</v>
      </c>
      <c r="E191" s="22">
        <v>45394.0</v>
      </c>
      <c r="F191" s="16" t="s">
        <v>26</v>
      </c>
      <c r="G191" s="18"/>
      <c r="H191" s="16"/>
      <c r="I191" s="16"/>
      <c r="J191" s="16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2.75" customHeight="1">
      <c r="A192" s="7" t="s">
        <v>206</v>
      </c>
      <c r="B192" s="10">
        <v>1.45</v>
      </c>
      <c r="C192" s="16">
        <v>1.0</v>
      </c>
      <c r="D192" s="17">
        <f t="shared" si="16"/>
        <v>1.45</v>
      </c>
      <c r="E192" s="22">
        <v>45394.0</v>
      </c>
      <c r="F192" s="16" t="s">
        <v>26</v>
      </c>
      <c r="G192" s="18"/>
      <c r="H192" s="16"/>
      <c r="I192" s="16"/>
      <c r="J192" s="16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2.75" customHeight="1">
      <c r="A193" s="15"/>
      <c r="B193" s="10"/>
      <c r="C193" s="16"/>
      <c r="D193" s="17"/>
      <c r="E193" s="7"/>
      <c r="F193" s="16"/>
      <c r="G193" s="18"/>
      <c r="H193" s="16"/>
      <c r="I193" s="16"/>
      <c r="J193" s="16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2.0" customHeight="1">
      <c r="A194" s="31" t="s">
        <v>207</v>
      </c>
      <c r="B194" s="4">
        <f>SUM(D195:D202)</f>
        <v>85.21</v>
      </c>
      <c r="C194" s="16"/>
      <c r="D194" s="11"/>
      <c r="E194" s="7"/>
      <c r="F194" s="16"/>
      <c r="G194" s="18"/>
      <c r="H194" s="16"/>
      <c r="I194" s="16"/>
      <c r="J194" s="16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2.0" customHeight="1">
      <c r="A195" s="15" t="s">
        <v>138</v>
      </c>
      <c r="B195" s="32">
        <v>0.0</v>
      </c>
      <c r="C195" s="16">
        <v>1.0</v>
      </c>
      <c r="D195" s="17">
        <f t="shared" ref="D195:D201" si="17">B195*C195</f>
        <v>0</v>
      </c>
      <c r="E195" s="7"/>
      <c r="F195" s="16" t="s">
        <v>139</v>
      </c>
      <c r="G195" s="18"/>
      <c r="H195" s="16"/>
      <c r="I195" s="16"/>
      <c r="J195" s="16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2.0" customHeight="1">
      <c r="A196" s="15" t="s">
        <v>208</v>
      </c>
      <c r="B196" s="10">
        <v>3.5</v>
      </c>
      <c r="C196" s="16">
        <v>4.0</v>
      </c>
      <c r="D196" s="17">
        <f t="shared" si="17"/>
        <v>14</v>
      </c>
      <c r="E196" s="22">
        <v>45566.0</v>
      </c>
      <c r="F196" s="7" t="s">
        <v>128</v>
      </c>
      <c r="G196" s="18" t="s">
        <v>209</v>
      </c>
      <c r="H196" s="16"/>
      <c r="I196" s="16"/>
      <c r="J196" s="16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2.0" customHeight="1">
      <c r="A197" s="15" t="s">
        <v>210</v>
      </c>
      <c r="B197" s="10">
        <v>1.65</v>
      </c>
      <c r="C197" s="16">
        <v>2.0</v>
      </c>
      <c r="D197" s="17">
        <f t="shared" si="17"/>
        <v>3.3</v>
      </c>
      <c r="E197" s="22">
        <v>45566.0</v>
      </c>
      <c r="F197" s="7" t="s">
        <v>128</v>
      </c>
      <c r="G197" s="14" t="s">
        <v>211</v>
      </c>
      <c r="H197" s="16"/>
      <c r="I197" s="16"/>
      <c r="J197" s="16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2.0" customHeight="1">
      <c r="A198" s="15" t="s">
        <v>212</v>
      </c>
      <c r="B198" s="10">
        <v>3.15</v>
      </c>
      <c r="C198" s="16">
        <v>1.0</v>
      </c>
      <c r="D198" s="17">
        <f t="shared" si="17"/>
        <v>3.15</v>
      </c>
      <c r="E198" s="22">
        <v>45567.0</v>
      </c>
      <c r="F198" s="7" t="s">
        <v>26</v>
      </c>
      <c r="G198" s="14" t="s">
        <v>213</v>
      </c>
      <c r="H198" s="16"/>
      <c r="I198" s="16"/>
      <c r="J198" s="16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2.75" customHeight="1">
      <c r="A199" s="15" t="s">
        <v>214</v>
      </c>
      <c r="B199" s="10">
        <v>2.78</v>
      </c>
      <c r="C199" s="16">
        <v>4.0</v>
      </c>
      <c r="D199" s="17">
        <f t="shared" si="17"/>
        <v>11.12</v>
      </c>
      <c r="E199" s="22">
        <v>45397.0</v>
      </c>
      <c r="F199" s="13" t="s">
        <v>128</v>
      </c>
      <c r="G199" s="14" t="s">
        <v>141</v>
      </c>
      <c r="H199" s="16"/>
      <c r="I199" s="7"/>
      <c r="J199" s="16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2.75" customHeight="1">
      <c r="A200" s="15" t="s">
        <v>147</v>
      </c>
      <c r="B200" s="10">
        <v>8.94</v>
      </c>
      <c r="C200" s="16">
        <v>6.0</v>
      </c>
      <c r="D200" s="17">
        <f t="shared" si="17"/>
        <v>53.64</v>
      </c>
      <c r="E200" s="22">
        <v>45397.0</v>
      </c>
      <c r="F200" s="13" t="s">
        <v>128</v>
      </c>
      <c r="G200" s="14" t="s">
        <v>148</v>
      </c>
      <c r="H200" s="16"/>
      <c r="I200" s="7"/>
      <c r="J200" s="16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2.75" customHeight="1">
      <c r="A201" s="15" t="s">
        <v>215</v>
      </c>
      <c r="B201" s="10"/>
      <c r="C201" s="16">
        <v>4.0</v>
      </c>
      <c r="D201" s="17">
        <f t="shared" si="17"/>
        <v>0</v>
      </c>
      <c r="E201" s="7"/>
      <c r="F201" s="13"/>
      <c r="G201" s="14"/>
      <c r="H201" s="16"/>
      <c r="I201" s="7"/>
      <c r="J201" s="16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2.75" customHeight="1">
      <c r="A202" s="15"/>
      <c r="B202" s="10"/>
      <c r="C202" s="16"/>
      <c r="D202" s="11"/>
      <c r="E202" s="7"/>
      <c r="F202" s="16"/>
      <c r="G202" s="18"/>
      <c r="H202" s="16"/>
      <c r="I202" s="16"/>
      <c r="J202" s="16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2.75" customHeight="1">
      <c r="A203" s="44" t="s">
        <v>216</v>
      </c>
      <c r="B203" s="4">
        <f>SUM(D204:D215)</f>
        <v>4474.43</v>
      </c>
      <c r="C203" s="16"/>
      <c r="D203" s="7"/>
      <c r="E203" s="7"/>
      <c r="F203" s="16"/>
      <c r="G203" s="18"/>
      <c r="H203" s="16"/>
      <c r="I203" s="16"/>
      <c r="J203" s="16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2.75" customHeight="1">
      <c r="A204" s="45" t="s">
        <v>217</v>
      </c>
      <c r="B204" s="10">
        <v>1484.51</v>
      </c>
      <c r="C204" s="46">
        <v>1.0</v>
      </c>
      <c r="D204" s="11">
        <f t="shared" ref="D204:D208" si="18">C204*B204</f>
        <v>1484.51</v>
      </c>
      <c r="E204" s="12">
        <v>45142.0</v>
      </c>
      <c r="F204" s="7" t="s">
        <v>218</v>
      </c>
      <c r="G204" s="14" t="s">
        <v>219</v>
      </c>
      <c r="H204" s="7" t="s">
        <v>218</v>
      </c>
      <c r="I204" s="7" t="s">
        <v>220</v>
      </c>
      <c r="J204" s="7" t="s">
        <v>45</v>
      </c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2.75" customHeight="1">
      <c r="A205" s="45" t="s">
        <v>221</v>
      </c>
      <c r="B205" s="10">
        <v>1484.51</v>
      </c>
      <c r="C205" s="46">
        <v>1.0</v>
      </c>
      <c r="D205" s="11">
        <f t="shared" si="18"/>
        <v>1484.51</v>
      </c>
      <c r="E205" s="12">
        <v>45142.0</v>
      </c>
      <c r="F205" s="7" t="s">
        <v>218</v>
      </c>
      <c r="G205" s="14" t="s">
        <v>219</v>
      </c>
      <c r="H205" s="7" t="s">
        <v>218</v>
      </c>
      <c r="I205" s="7" t="s">
        <v>222</v>
      </c>
      <c r="J205" s="7" t="s">
        <v>45</v>
      </c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2.75" customHeight="1">
      <c r="A206" s="29" t="s">
        <v>223</v>
      </c>
      <c r="B206" s="10">
        <v>715.0</v>
      </c>
      <c r="C206" s="7">
        <v>1.0</v>
      </c>
      <c r="D206" s="11">
        <f t="shared" si="18"/>
        <v>715</v>
      </c>
      <c r="E206" s="12">
        <v>45142.0</v>
      </c>
      <c r="F206" s="13" t="s">
        <v>224</v>
      </c>
      <c r="G206" s="14" t="s">
        <v>225</v>
      </c>
      <c r="H206" s="7" t="s">
        <v>226</v>
      </c>
      <c r="I206" s="7" t="s">
        <v>227</v>
      </c>
      <c r="J206" s="7" t="s">
        <v>45</v>
      </c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2.75" customHeight="1">
      <c r="A207" s="29" t="s">
        <v>228</v>
      </c>
      <c r="B207" s="10">
        <v>523.0</v>
      </c>
      <c r="C207" s="7">
        <v>1.0</v>
      </c>
      <c r="D207" s="11">
        <f t="shared" si="18"/>
        <v>523</v>
      </c>
      <c r="E207" s="12">
        <v>45142.0</v>
      </c>
      <c r="F207" s="13" t="s">
        <v>224</v>
      </c>
      <c r="G207" s="14" t="s">
        <v>229</v>
      </c>
      <c r="H207" s="7" t="s">
        <v>230</v>
      </c>
      <c r="I207" s="7" t="s">
        <v>229</v>
      </c>
      <c r="J207" s="7" t="s">
        <v>45</v>
      </c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2.75" customHeight="1">
      <c r="A208" s="29" t="s">
        <v>231</v>
      </c>
      <c r="B208" s="10">
        <v>108.58</v>
      </c>
      <c r="C208" s="7">
        <v>1.0</v>
      </c>
      <c r="D208" s="11">
        <f t="shared" si="18"/>
        <v>108.58</v>
      </c>
      <c r="E208" s="12">
        <v>45425.0</v>
      </c>
      <c r="F208" s="13" t="s">
        <v>232</v>
      </c>
      <c r="G208" s="14">
        <v>1.00439639E8</v>
      </c>
      <c r="H208" s="7" t="s">
        <v>233</v>
      </c>
      <c r="I208" s="7" t="s">
        <v>234</v>
      </c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2.75" customHeight="1">
      <c r="A209" s="30" t="s">
        <v>235</v>
      </c>
      <c r="B209" s="10"/>
      <c r="C209" s="7"/>
      <c r="D209" s="11"/>
      <c r="E209" s="12"/>
      <c r="F209" s="13"/>
      <c r="G209" s="14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2.75" customHeight="1">
      <c r="A210" s="16" t="s">
        <v>236</v>
      </c>
      <c r="B210" s="28">
        <v>66.62</v>
      </c>
      <c r="C210" s="7">
        <v>1.0</v>
      </c>
      <c r="D210" s="11">
        <f>C210*B210</f>
        <v>66.62</v>
      </c>
      <c r="E210" s="22">
        <v>45406.0</v>
      </c>
      <c r="F210" s="16" t="s">
        <v>237</v>
      </c>
      <c r="G210" s="18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2.75" customHeight="1">
      <c r="A211" s="7" t="s">
        <v>175</v>
      </c>
      <c r="B211" s="28">
        <v>23.7</v>
      </c>
      <c r="C211" s="16">
        <v>1.0</v>
      </c>
      <c r="D211" s="17">
        <f>B211*C211</f>
        <v>23.7</v>
      </c>
      <c r="E211" s="22">
        <v>45397.0</v>
      </c>
      <c r="F211" s="16" t="s">
        <v>160</v>
      </c>
      <c r="G211" s="14"/>
      <c r="H211" s="7"/>
      <c r="I211" s="7"/>
      <c r="J211" s="16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2.75" customHeight="1">
      <c r="A212" s="31" t="s">
        <v>238</v>
      </c>
      <c r="B212" s="28"/>
      <c r="C212" s="7"/>
      <c r="D212" s="11"/>
      <c r="E212" s="12"/>
      <c r="F212" s="16"/>
      <c r="G212" s="14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2.75" customHeight="1">
      <c r="A213" s="16" t="s">
        <v>236</v>
      </c>
      <c r="B213" s="28">
        <v>66.62</v>
      </c>
      <c r="C213" s="7">
        <v>1.0</v>
      </c>
      <c r="D213" s="11">
        <f t="shared" ref="D213:D214" si="19">C213*B213</f>
        <v>66.62</v>
      </c>
      <c r="E213" s="22">
        <v>45406.0</v>
      </c>
      <c r="F213" s="16" t="s">
        <v>237</v>
      </c>
      <c r="G213" s="18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2.75" customHeight="1">
      <c r="A214" s="16" t="s">
        <v>105</v>
      </c>
      <c r="B214" s="28">
        <v>1.89</v>
      </c>
      <c r="C214" s="7">
        <v>1.0</v>
      </c>
      <c r="D214" s="11">
        <f t="shared" si="19"/>
        <v>1.89</v>
      </c>
      <c r="E214" s="22">
        <v>45394.0</v>
      </c>
      <c r="F214" s="16" t="s">
        <v>26</v>
      </c>
      <c r="G214" s="18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2.75" customHeight="1">
      <c r="A215" s="44"/>
      <c r="B215" s="10"/>
      <c r="C215" s="16"/>
      <c r="D215" s="11"/>
      <c r="E215" s="7"/>
      <c r="F215" s="16"/>
      <c r="G215" s="18"/>
      <c r="H215" s="16"/>
      <c r="I215" s="16"/>
      <c r="J215" s="16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2.75" customHeight="1">
      <c r="A216" s="44" t="s">
        <v>239</v>
      </c>
      <c r="B216" s="4">
        <f>SUM(D217:D229)</f>
        <v>4691.79</v>
      </c>
      <c r="C216" s="16"/>
      <c r="D216" s="7"/>
      <c r="E216" s="7"/>
      <c r="F216" s="16"/>
      <c r="G216" s="18"/>
      <c r="H216" s="16"/>
      <c r="I216" s="16"/>
      <c r="J216" s="16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2.75" customHeight="1">
      <c r="A217" s="45" t="s">
        <v>217</v>
      </c>
      <c r="B217" s="10">
        <v>1484.51</v>
      </c>
      <c r="C217" s="46">
        <v>1.0</v>
      </c>
      <c r="D217" s="11">
        <f t="shared" ref="D217:D221" si="20">C217*B217</f>
        <v>1484.51</v>
      </c>
      <c r="E217" s="12">
        <v>45142.0</v>
      </c>
      <c r="F217" s="7" t="s">
        <v>218</v>
      </c>
      <c r="G217" s="14" t="s">
        <v>219</v>
      </c>
      <c r="H217" s="7" t="s">
        <v>218</v>
      </c>
      <c r="I217" s="7" t="s">
        <v>240</v>
      </c>
      <c r="J217" s="7" t="s">
        <v>45</v>
      </c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2.75" customHeight="1">
      <c r="A218" s="29" t="s">
        <v>241</v>
      </c>
      <c r="B218" s="10">
        <v>582.5</v>
      </c>
      <c r="C218" s="7">
        <v>1.0</v>
      </c>
      <c r="D218" s="11">
        <f t="shared" si="20"/>
        <v>582.5</v>
      </c>
      <c r="E218" s="12">
        <v>45142.0</v>
      </c>
      <c r="F218" s="13" t="s">
        <v>224</v>
      </c>
      <c r="G218" s="14" t="s">
        <v>242</v>
      </c>
      <c r="H218" s="7" t="s">
        <v>243</v>
      </c>
      <c r="I218" s="7" t="s">
        <v>244</v>
      </c>
      <c r="J218" s="7" t="s">
        <v>45</v>
      </c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2.75" customHeight="1">
      <c r="A219" s="29" t="s">
        <v>245</v>
      </c>
      <c r="B219" s="10">
        <v>2187.5</v>
      </c>
      <c r="C219" s="7">
        <v>1.0</v>
      </c>
      <c r="D219" s="11">
        <f t="shared" si="20"/>
        <v>2187.5</v>
      </c>
      <c r="E219" s="12">
        <v>45142.0</v>
      </c>
      <c r="F219" s="13" t="s">
        <v>224</v>
      </c>
      <c r="G219" s="14" t="s">
        <v>246</v>
      </c>
      <c r="H219" s="7" t="s">
        <v>230</v>
      </c>
      <c r="I219" s="7" t="s">
        <v>247</v>
      </c>
      <c r="J219" s="7" t="s">
        <v>45</v>
      </c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2.75" customHeight="1">
      <c r="A220" s="29" t="s">
        <v>248</v>
      </c>
      <c r="B220" s="28">
        <v>0.0</v>
      </c>
      <c r="C220" s="7">
        <v>1.0</v>
      </c>
      <c r="D220" s="11">
        <f t="shared" si="20"/>
        <v>0</v>
      </c>
      <c r="E220" s="12"/>
      <c r="F220" s="13"/>
      <c r="G220" s="14"/>
      <c r="H220" s="7"/>
      <c r="I220" s="7"/>
      <c r="J220" s="7" t="s">
        <v>249</v>
      </c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2.75" customHeight="1">
      <c r="A221" s="16" t="s">
        <v>250</v>
      </c>
      <c r="B221" s="28">
        <v>9.38</v>
      </c>
      <c r="C221" s="7">
        <v>5.0</v>
      </c>
      <c r="D221" s="11">
        <f t="shared" si="20"/>
        <v>46.9</v>
      </c>
      <c r="E221" s="22">
        <v>45561.0</v>
      </c>
      <c r="F221" s="16" t="s">
        <v>26</v>
      </c>
      <c r="G221" s="18" t="s">
        <v>251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2.75" customHeight="1">
      <c r="A222" s="30" t="s">
        <v>235</v>
      </c>
      <c r="B222" s="10"/>
      <c r="C222" s="7"/>
      <c r="D222" s="11"/>
      <c r="E222" s="12"/>
      <c r="F222" s="13"/>
      <c r="G222" s="14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2.75" customHeight="1">
      <c r="A223" s="7" t="s">
        <v>252</v>
      </c>
      <c r="B223" s="28">
        <v>70.59</v>
      </c>
      <c r="C223" s="7">
        <v>1.0</v>
      </c>
      <c r="D223" s="11">
        <f>C223*B223</f>
        <v>70.59</v>
      </c>
      <c r="E223" s="22">
        <v>45406.0</v>
      </c>
      <c r="F223" s="16" t="s">
        <v>237</v>
      </c>
      <c r="G223" s="18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2.75" customHeight="1">
      <c r="A224" s="31" t="s">
        <v>238</v>
      </c>
      <c r="B224" s="28"/>
      <c r="C224" s="7"/>
      <c r="D224" s="11"/>
      <c r="E224" s="12"/>
      <c r="F224" s="16"/>
      <c r="G224" s="14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2.75" customHeight="1">
      <c r="A225" s="16" t="s">
        <v>236</v>
      </c>
      <c r="B225" s="28">
        <v>66.62</v>
      </c>
      <c r="C225" s="7">
        <v>1.0</v>
      </c>
      <c r="D225" s="11">
        <f t="shared" ref="D225:D227" si="21">C225*B225</f>
        <v>66.62</v>
      </c>
      <c r="E225" s="22">
        <v>45406.0</v>
      </c>
      <c r="F225" s="16" t="s">
        <v>237</v>
      </c>
      <c r="G225" s="18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2.75" customHeight="1">
      <c r="A226" s="16" t="s">
        <v>236</v>
      </c>
      <c r="B226" s="7">
        <v>30.96</v>
      </c>
      <c r="C226" s="7">
        <v>1.0</v>
      </c>
      <c r="D226" s="11">
        <f t="shared" si="21"/>
        <v>30.96</v>
      </c>
      <c r="E226" s="22">
        <v>45567.0</v>
      </c>
      <c r="F226" s="16" t="s">
        <v>237</v>
      </c>
      <c r="G226" s="14"/>
      <c r="H226" s="7"/>
      <c r="I226" s="7"/>
      <c r="J226" s="16" t="s">
        <v>253</v>
      </c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2.75" customHeight="1">
      <c r="A227" s="16" t="s">
        <v>105</v>
      </c>
      <c r="B227" s="28">
        <v>1.89</v>
      </c>
      <c r="C227" s="7">
        <v>1.0</v>
      </c>
      <c r="D227" s="11">
        <f t="shared" si="21"/>
        <v>1.89</v>
      </c>
      <c r="E227" s="22">
        <v>45394.0</v>
      </c>
      <c r="F227" s="16" t="s">
        <v>26</v>
      </c>
      <c r="G227" s="18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2.75" customHeight="1">
      <c r="A228" s="15" t="s">
        <v>254</v>
      </c>
      <c r="B228" s="10">
        <v>220.32</v>
      </c>
      <c r="C228" s="16">
        <v>1.0</v>
      </c>
      <c r="D228" s="17">
        <f>B228*C228</f>
        <v>220.32</v>
      </c>
      <c r="E228" s="22">
        <v>45693.0</v>
      </c>
      <c r="F228" s="16" t="s">
        <v>200</v>
      </c>
      <c r="G228" s="14"/>
      <c r="H228" s="16"/>
      <c r="I228" s="7"/>
      <c r="J228" s="16" t="s">
        <v>255</v>
      </c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2.75" customHeight="1">
      <c r="A229" s="44"/>
      <c r="B229" s="7"/>
      <c r="C229" s="16"/>
      <c r="D229" s="11"/>
      <c r="E229" s="7"/>
      <c r="F229" s="16"/>
      <c r="G229" s="18"/>
      <c r="H229" s="16"/>
      <c r="I229" s="16"/>
      <c r="J229" s="16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2.75" customHeight="1">
      <c r="A230" s="44" t="s">
        <v>256</v>
      </c>
      <c r="B230" s="4">
        <f>SUM(D231:D232)</f>
        <v>786</v>
      </c>
      <c r="C230" s="16"/>
      <c r="D230" s="7"/>
      <c r="E230" s="7"/>
      <c r="F230" s="16"/>
      <c r="G230" s="18"/>
      <c r="H230" s="16"/>
      <c r="I230" s="16"/>
      <c r="J230" s="16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2.75" customHeight="1">
      <c r="A231" s="15" t="s">
        <v>257</v>
      </c>
      <c r="B231" s="10">
        <v>786.0</v>
      </c>
      <c r="C231" s="16">
        <v>1.0</v>
      </c>
      <c r="D231" s="11">
        <f>C231*B231</f>
        <v>786</v>
      </c>
      <c r="E231" s="22">
        <v>45174.0</v>
      </c>
      <c r="F231" s="7" t="s">
        <v>258</v>
      </c>
      <c r="G231" s="14"/>
      <c r="H231" s="16" t="s">
        <v>259</v>
      </c>
      <c r="I231" s="16">
        <v>6.8514437937E10</v>
      </c>
      <c r="J231" s="47" t="s">
        <v>260</v>
      </c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2.75" customHeight="1">
      <c r="A232" s="44"/>
      <c r="B232" s="10"/>
      <c r="C232" s="16"/>
      <c r="D232" s="11"/>
      <c r="E232" s="7"/>
      <c r="F232" s="16"/>
      <c r="G232" s="18"/>
      <c r="H232" s="16"/>
      <c r="I232" s="16"/>
      <c r="J232" s="16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2.75" customHeight="1">
      <c r="A233" s="44" t="s">
        <v>261</v>
      </c>
      <c r="B233" s="4">
        <f>SUM(D234:D267)</f>
        <v>5932.05</v>
      </c>
      <c r="C233" s="16"/>
      <c r="D233" s="7"/>
      <c r="E233" s="22"/>
      <c r="F233" s="16"/>
      <c r="G233" s="18"/>
      <c r="H233" s="16"/>
      <c r="I233" s="16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2.75" customHeight="1">
      <c r="A234" s="15" t="s">
        <v>262</v>
      </c>
      <c r="B234" s="10">
        <v>525.0</v>
      </c>
      <c r="C234" s="16">
        <v>6.0</v>
      </c>
      <c r="D234" s="17">
        <f t="shared" ref="D234:D252" si="22">B234*C234</f>
        <v>3150</v>
      </c>
      <c r="E234" s="22">
        <v>45196.0</v>
      </c>
      <c r="F234" s="16" t="s">
        <v>263</v>
      </c>
      <c r="G234" s="18" t="s">
        <v>264</v>
      </c>
      <c r="H234" s="16" t="s">
        <v>263</v>
      </c>
      <c r="I234" s="16" t="s">
        <v>264</v>
      </c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2.75" customHeight="1">
      <c r="A235" s="15" t="s">
        <v>265</v>
      </c>
      <c r="B235" s="10">
        <v>234.99</v>
      </c>
      <c r="C235" s="16">
        <v>6.0</v>
      </c>
      <c r="D235" s="17">
        <f t="shared" si="22"/>
        <v>1409.94</v>
      </c>
      <c r="E235" s="22">
        <v>45191.0</v>
      </c>
      <c r="F235" s="16" t="s">
        <v>49</v>
      </c>
      <c r="G235" s="18"/>
      <c r="H235" s="16" t="s">
        <v>266</v>
      </c>
      <c r="I235" s="16" t="s">
        <v>267</v>
      </c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2.75" customHeight="1">
      <c r="A236" s="15" t="s">
        <v>208</v>
      </c>
      <c r="B236" s="10">
        <v>3.5</v>
      </c>
      <c r="C236" s="16">
        <v>12.0</v>
      </c>
      <c r="D236" s="17">
        <f t="shared" si="22"/>
        <v>42</v>
      </c>
      <c r="E236" s="22">
        <v>45369.0</v>
      </c>
      <c r="F236" s="7" t="s">
        <v>128</v>
      </c>
      <c r="G236" s="18" t="s">
        <v>209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2.75" customHeight="1">
      <c r="A237" s="15" t="s">
        <v>268</v>
      </c>
      <c r="B237" s="10">
        <v>24.33</v>
      </c>
      <c r="C237" s="16">
        <v>1.0</v>
      </c>
      <c r="D237" s="17">
        <f t="shared" si="22"/>
        <v>24.33</v>
      </c>
      <c r="E237" s="22">
        <v>45329.0</v>
      </c>
      <c r="F237" s="16" t="s">
        <v>26</v>
      </c>
      <c r="G237" s="18" t="s">
        <v>269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2.75" customHeight="1">
      <c r="A238" s="15" t="s">
        <v>270</v>
      </c>
      <c r="B238" s="10">
        <v>24.3</v>
      </c>
      <c r="C238" s="16">
        <v>2.0</v>
      </c>
      <c r="D238" s="17">
        <f t="shared" si="22"/>
        <v>48.6</v>
      </c>
      <c r="E238" s="22">
        <v>45397.0</v>
      </c>
      <c r="F238" s="16" t="s">
        <v>160</v>
      </c>
      <c r="G238" s="18"/>
      <c r="H238" s="16"/>
      <c r="I238" s="1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2.75" customHeight="1">
      <c r="A239" s="15" t="s">
        <v>271</v>
      </c>
      <c r="B239" s="10">
        <v>5.7</v>
      </c>
      <c r="C239" s="16">
        <v>4.0</v>
      </c>
      <c r="D239" s="17">
        <f t="shared" si="22"/>
        <v>22.8</v>
      </c>
      <c r="E239" s="22">
        <v>45397.0</v>
      </c>
      <c r="F239" s="16" t="s">
        <v>160</v>
      </c>
      <c r="G239" s="18"/>
      <c r="H239" s="16"/>
      <c r="I239" s="1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2.75" customHeight="1">
      <c r="A240" s="15" t="s">
        <v>272</v>
      </c>
      <c r="B240" s="10">
        <v>6.93</v>
      </c>
      <c r="C240" s="16">
        <v>4.0</v>
      </c>
      <c r="D240" s="17">
        <f t="shared" si="22"/>
        <v>27.72</v>
      </c>
      <c r="E240" s="22">
        <v>45397.0</v>
      </c>
      <c r="F240" s="16" t="s">
        <v>160</v>
      </c>
      <c r="G240" s="18"/>
      <c r="H240" s="16"/>
      <c r="I240" s="1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2.75" customHeight="1">
      <c r="A241" s="15" t="s">
        <v>273</v>
      </c>
      <c r="B241" s="10">
        <v>23.38</v>
      </c>
      <c r="C241" s="16">
        <v>4.0</v>
      </c>
      <c r="D241" s="17">
        <f t="shared" si="22"/>
        <v>93.52</v>
      </c>
      <c r="E241" s="22">
        <v>45397.0</v>
      </c>
      <c r="F241" s="16" t="s">
        <v>160</v>
      </c>
      <c r="G241" s="14"/>
      <c r="H241" s="16"/>
      <c r="I241" s="16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2.75" customHeight="1">
      <c r="A242" s="15" t="s">
        <v>274</v>
      </c>
      <c r="B242" s="10">
        <v>14.9</v>
      </c>
      <c r="C242" s="16">
        <v>4.0</v>
      </c>
      <c r="D242" s="17">
        <f t="shared" si="22"/>
        <v>59.6</v>
      </c>
      <c r="E242" s="22">
        <v>45397.0</v>
      </c>
      <c r="F242" s="16" t="s">
        <v>160</v>
      </c>
      <c r="G242" s="18"/>
      <c r="H242" s="16"/>
      <c r="I242" s="16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2.75" customHeight="1">
      <c r="A243" s="15" t="s">
        <v>275</v>
      </c>
      <c r="B243" s="10">
        <v>17.28</v>
      </c>
      <c r="C243" s="16">
        <v>2.0</v>
      </c>
      <c r="D243" s="17">
        <f t="shared" si="22"/>
        <v>34.56</v>
      </c>
      <c r="E243" s="22">
        <v>45397.0</v>
      </c>
      <c r="F243" s="16" t="s">
        <v>160</v>
      </c>
      <c r="G243" s="18"/>
      <c r="H243" s="16"/>
      <c r="I243" s="16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2.75" customHeight="1">
      <c r="A244" s="15" t="s">
        <v>276</v>
      </c>
      <c r="B244" s="10">
        <v>5.25</v>
      </c>
      <c r="C244" s="16">
        <v>6.0</v>
      </c>
      <c r="D244" s="17">
        <f t="shared" si="22"/>
        <v>31.5</v>
      </c>
      <c r="E244" s="22">
        <v>45329.0</v>
      </c>
      <c r="F244" s="16" t="s">
        <v>60</v>
      </c>
      <c r="G244" s="4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2.75" customHeight="1">
      <c r="A245" s="15" t="s">
        <v>277</v>
      </c>
      <c r="B245" s="10">
        <v>1.54</v>
      </c>
      <c r="C245" s="16">
        <v>6.0</v>
      </c>
      <c r="D245" s="17">
        <f t="shared" si="22"/>
        <v>9.24</v>
      </c>
      <c r="E245" s="22">
        <v>45329.0</v>
      </c>
      <c r="F245" s="16" t="s">
        <v>26</v>
      </c>
      <c r="G245" s="4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2.75" customHeight="1">
      <c r="A246" s="15" t="s">
        <v>278</v>
      </c>
      <c r="B246" s="10">
        <v>91.62</v>
      </c>
      <c r="C246" s="16">
        <v>1.0</v>
      </c>
      <c r="D246" s="17">
        <f t="shared" si="22"/>
        <v>91.62</v>
      </c>
      <c r="E246" s="22">
        <v>45693.0</v>
      </c>
      <c r="F246" s="16" t="s">
        <v>200</v>
      </c>
      <c r="G246" s="18"/>
      <c r="H246" s="16"/>
      <c r="I246" s="16"/>
      <c r="J246" s="7" t="s">
        <v>279</v>
      </c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2.75" customHeight="1">
      <c r="A247" s="15" t="s">
        <v>280</v>
      </c>
      <c r="B247" s="10">
        <v>180.84</v>
      </c>
      <c r="C247" s="16">
        <v>1.0</v>
      </c>
      <c r="D247" s="17">
        <f t="shared" si="22"/>
        <v>180.84</v>
      </c>
      <c r="E247" s="22">
        <v>45693.0</v>
      </c>
      <c r="F247" s="16" t="s">
        <v>200</v>
      </c>
      <c r="G247" s="18"/>
      <c r="H247" s="16"/>
      <c r="I247" s="16"/>
      <c r="J247" s="7" t="s">
        <v>281</v>
      </c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2.75" customHeight="1">
      <c r="A248" s="15" t="s">
        <v>282</v>
      </c>
      <c r="B248" s="10">
        <v>180.84</v>
      </c>
      <c r="C248" s="16">
        <v>1.0</v>
      </c>
      <c r="D248" s="17">
        <f t="shared" si="22"/>
        <v>180.84</v>
      </c>
      <c r="E248" s="22">
        <v>45693.0</v>
      </c>
      <c r="F248" s="16" t="s">
        <v>200</v>
      </c>
      <c r="G248" s="18"/>
      <c r="H248" s="16"/>
      <c r="I248" s="16"/>
      <c r="J248" s="7" t="s">
        <v>281</v>
      </c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2.75" customHeight="1">
      <c r="A249" s="15" t="s">
        <v>283</v>
      </c>
      <c r="B249" s="10">
        <v>179.69</v>
      </c>
      <c r="C249" s="16">
        <v>1.0</v>
      </c>
      <c r="D249" s="17">
        <f t="shared" si="22"/>
        <v>179.69</v>
      </c>
      <c r="E249" s="22">
        <v>45693.0</v>
      </c>
      <c r="F249" s="16" t="s">
        <v>200</v>
      </c>
      <c r="G249" s="14"/>
      <c r="H249" s="16"/>
      <c r="I249" s="7"/>
      <c r="J249" s="16" t="s">
        <v>284</v>
      </c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2.75" customHeight="1">
      <c r="A250" s="15" t="s">
        <v>285</v>
      </c>
      <c r="B250" s="10">
        <v>62.34</v>
      </c>
      <c r="C250" s="16">
        <v>2.0</v>
      </c>
      <c r="D250" s="17">
        <f t="shared" si="22"/>
        <v>124.68</v>
      </c>
      <c r="E250" s="22">
        <v>45693.0</v>
      </c>
      <c r="F250" s="16" t="s">
        <v>200</v>
      </c>
      <c r="G250" s="18"/>
      <c r="H250" s="16"/>
      <c r="I250" s="16"/>
      <c r="J250" s="7" t="s">
        <v>286</v>
      </c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2.75" customHeight="1">
      <c r="A251" s="15" t="s">
        <v>287</v>
      </c>
      <c r="B251" s="10">
        <v>63.84</v>
      </c>
      <c r="C251" s="16">
        <v>1.0</v>
      </c>
      <c r="D251" s="17">
        <f t="shared" si="22"/>
        <v>63.84</v>
      </c>
      <c r="E251" s="22">
        <v>45693.0</v>
      </c>
      <c r="F251" s="16" t="s">
        <v>200</v>
      </c>
      <c r="G251" s="18"/>
      <c r="H251" s="16"/>
      <c r="I251" s="16"/>
      <c r="J251" s="7" t="s">
        <v>288</v>
      </c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2.75" customHeight="1">
      <c r="A252" s="15" t="s">
        <v>289</v>
      </c>
      <c r="B252" s="10">
        <v>62.04</v>
      </c>
      <c r="C252" s="16">
        <v>1.0</v>
      </c>
      <c r="D252" s="17">
        <f t="shared" si="22"/>
        <v>62.04</v>
      </c>
      <c r="E252" s="22">
        <v>45693.0</v>
      </c>
      <c r="F252" s="16" t="s">
        <v>200</v>
      </c>
      <c r="G252" s="18"/>
      <c r="H252" s="16"/>
      <c r="I252" s="16"/>
      <c r="J252" s="7" t="s">
        <v>290</v>
      </c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2.75" customHeight="1">
      <c r="A253" s="15"/>
      <c r="B253" s="10"/>
      <c r="C253" s="16"/>
      <c r="D253" s="17"/>
      <c r="E253" s="22"/>
      <c r="F253" s="16"/>
      <c r="G253" s="18"/>
      <c r="H253" s="16"/>
      <c r="I253" s="1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2.75" customHeight="1">
      <c r="A254" s="31" t="s">
        <v>291</v>
      </c>
      <c r="B254" s="31"/>
      <c r="C254" s="31"/>
      <c r="D254" s="31"/>
      <c r="E254" s="31"/>
      <c r="F254" s="31"/>
      <c r="G254" s="48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12.75" customHeight="1">
      <c r="A255" s="15" t="s">
        <v>292</v>
      </c>
      <c r="B255" s="10">
        <v>35.45</v>
      </c>
      <c r="C255" s="16">
        <v>1.0</v>
      </c>
      <c r="D255" s="17">
        <f t="shared" ref="D255:D265" si="23">B255*C255</f>
        <v>35.45</v>
      </c>
      <c r="E255" s="22">
        <v>45329.0</v>
      </c>
      <c r="F255" s="16" t="s">
        <v>60</v>
      </c>
      <c r="G255" s="41"/>
      <c r="H255" s="16"/>
      <c r="I255" s="1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2.75" customHeight="1">
      <c r="A256" s="15" t="s">
        <v>293</v>
      </c>
      <c r="B256" s="10">
        <v>18.09</v>
      </c>
      <c r="C256" s="16">
        <v>1.0</v>
      </c>
      <c r="D256" s="17">
        <f t="shared" si="23"/>
        <v>18.09</v>
      </c>
      <c r="E256" s="22">
        <v>45329.0</v>
      </c>
      <c r="F256" s="16" t="s">
        <v>26</v>
      </c>
      <c r="G256" s="4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2.75" customHeight="1">
      <c r="A257" s="15" t="s">
        <v>101</v>
      </c>
      <c r="B257" s="10">
        <v>3.54</v>
      </c>
      <c r="C257" s="16">
        <v>1.0</v>
      </c>
      <c r="D257" s="17">
        <f t="shared" si="23"/>
        <v>3.54</v>
      </c>
      <c r="E257" s="22">
        <v>45329.0</v>
      </c>
      <c r="F257" s="16" t="s">
        <v>26</v>
      </c>
      <c r="G257" s="4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2.75" customHeight="1">
      <c r="A258" s="15" t="s">
        <v>103</v>
      </c>
      <c r="B258" s="10">
        <v>1.92</v>
      </c>
      <c r="C258" s="16">
        <v>1.0</v>
      </c>
      <c r="D258" s="17">
        <f t="shared" si="23"/>
        <v>1.92</v>
      </c>
      <c r="E258" s="22">
        <v>45394.0</v>
      </c>
      <c r="F258" s="16" t="s">
        <v>26</v>
      </c>
      <c r="G258" s="4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2.75" customHeight="1">
      <c r="A259" s="15" t="s">
        <v>294</v>
      </c>
      <c r="B259" s="10">
        <v>2.06</v>
      </c>
      <c r="C259" s="16">
        <v>2.0</v>
      </c>
      <c r="D259" s="17">
        <f t="shared" si="23"/>
        <v>4.12</v>
      </c>
      <c r="E259" s="22">
        <v>45329.0</v>
      </c>
      <c r="F259" s="16" t="s">
        <v>26</v>
      </c>
      <c r="G259" s="4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2.75" customHeight="1">
      <c r="A260" s="15" t="s">
        <v>295</v>
      </c>
      <c r="B260" s="10">
        <v>4.89</v>
      </c>
      <c r="C260" s="16">
        <v>2.0</v>
      </c>
      <c r="D260" s="17">
        <f t="shared" si="23"/>
        <v>9.78</v>
      </c>
      <c r="E260" s="22">
        <v>45329.0</v>
      </c>
      <c r="F260" s="16" t="s">
        <v>26</v>
      </c>
      <c r="G260" s="4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2.75" customHeight="1">
      <c r="A261" s="15" t="s">
        <v>104</v>
      </c>
      <c r="B261" s="15">
        <v>1.58</v>
      </c>
      <c r="C261" s="15">
        <v>1.0</v>
      </c>
      <c r="D261" s="15">
        <f t="shared" si="23"/>
        <v>1.58</v>
      </c>
      <c r="E261" s="22">
        <v>45394.0</v>
      </c>
      <c r="F261" s="15" t="s">
        <v>26</v>
      </c>
      <c r="G261" s="41"/>
      <c r="H261" s="15"/>
      <c r="I261" s="15"/>
      <c r="J261" s="15" t="s">
        <v>296</v>
      </c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2.75" customHeight="1">
      <c r="A262" s="15" t="s">
        <v>297</v>
      </c>
      <c r="B262" s="10">
        <v>1.46</v>
      </c>
      <c r="C262" s="16">
        <v>2.0</v>
      </c>
      <c r="D262" s="17">
        <f t="shared" si="23"/>
        <v>2.92</v>
      </c>
      <c r="E262" s="22">
        <v>45329.0</v>
      </c>
      <c r="F262" s="16" t="s">
        <v>26</v>
      </c>
      <c r="G262" s="4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2.75" customHeight="1">
      <c r="A263" s="15" t="s">
        <v>106</v>
      </c>
      <c r="B263" s="10">
        <v>1.61</v>
      </c>
      <c r="C263" s="16">
        <v>4.0</v>
      </c>
      <c r="D263" s="17">
        <f t="shared" si="23"/>
        <v>6.44</v>
      </c>
      <c r="E263" s="22">
        <v>45329.0</v>
      </c>
      <c r="F263" s="16" t="s">
        <v>26</v>
      </c>
      <c r="G263" s="4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2.75" customHeight="1">
      <c r="A264" s="15" t="s">
        <v>57</v>
      </c>
      <c r="B264" s="10">
        <v>4.2</v>
      </c>
      <c r="C264" s="16">
        <v>2.0</v>
      </c>
      <c r="D264" s="17">
        <f t="shared" si="23"/>
        <v>8.4</v>
      </c>
      <c r="E264" s="22">
        <v>45329.0</v>
      </c>
      <c r="F264" s="16" t="s">
        <v>26</v>
      </c>
      <c r="G264" s="41"/>
      <c r="H264" s="11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2.75" customHeight="1">
      <c r="A265" s="15" t="s">
        <v>298</v>
      </c>
      <c r="B265" s="10">
        <v>2.45</v>
      </c>
      <c r="C265" s="16">
        <v>1.0</v>
      </c>
      <c r="D265" s="17">
        <f t="shared" si="23"/>
        <v>2.45</v>
      </c>
      <c r="E265" s="22">
        <v>45329.0</v>
      </c>
      <c r="F265" s="16" t="s">
        <v>60</v>
      </c>
      <c r="G265" s="4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2.75" customHeight="1">
      <c r="A266" s="15"/>
      <c r="B266" s="10"/>
      <c r="C266" s="16"/>
      <c r="D266" s="17"/>
      <c r="E266" s="22"/>
      <c r="F266" s="16"/>
      <c r="G266" s="4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2.75" customHeight="1">
      <c r="A267" s="15"/>
      <c r="B267" s="10"/>
      <c r="C267" s="16"/>
      <c r="D267" s="17"/>
      <c r="E267" s="7"/>
      <c r="F267" s="7"/>
      <c r="G267" s="14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2.75" customHeight="1">
      <c r="A268" s="44" t="s">
        <v>299</v>
      </c>
      <c r="B268" s="4">
        <f>SUM(D269:D282)</f>
        <v>2601.83</v>
      </c>
      <c r="C268" s="16"/>
      <c r="D268" s="7"/>
      <c r="E268" s="7"/>
      <c r="F268" s="7"/>
      <c r="G268" s="14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2.75" customHeight="1">
      <c r="A269" s="29" t="s">
        <v>300</v>
      </c>
      <c r="B269" s="10">
        <v>2031.5</v>
      </c>
      <c r="C269" s="7">
        <v>1.0</v>
      </c>
      <c r="D269" s="11">
        <f t="shared" ref="D269:D274" si="24">C269*B269</f>
        <v>2031.5</v>
      </c>
      <c r="E269" s="12">
        <v>45142.0</v>
      </c>
      <c r="F269" s="13" t="s">
        <v>301</v>
      </c>
      <c r="G269" s="14" t="s">
        <v>302</v>
      </c>
      <c r="H269" s="7" t="s">
        <v>303</v>
      </c>
      <c r="I269" s="7" t="s">
        <v>302</v>
      </c>
      <c r="J269" s="7" t="s">
        <v>45</v>
      </c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2.75" customHeight="1">
      <c r="A270" s="29" t="s">
        <v>304</v>
      </c>
      <c r="B270" s="10">
        <v>455.5</v>
      </c>
      <c r="C270" s="7">
        <v>1.0</v>
      </c>
      <c r="D270" s="11">
        <f t="shared" si="24"/>
        <v>455.5</v>
      </c>
      <c r="E270" s="12">
        <v>45142.0</v>
      </c>
      <c r="F270" s="13" t="s">
        <v>224</v>
      </c>
      <c r="G270" s="14" t="s">
        <v>305</v>
      </c>
      <c r="H270" s="7" t="s">
        <v>306</v>
      </c>
      <c r="I270" s="13" t="s">
        <v>305</v>
      </c>
      <c r="J270" s="16" t="s">
        <v>307</v>
      </c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2.75" customHeight="1">
      <c r="A271" s="15" t="s">
        <v>308</v>
      </c>
      <c r="B271" s="10">
        <v>18.09</v>
      </c>
      <c r="C271" s="16">
        <v>1.0</v>
      </c>
      <c r="D271" s="11">
        <f t="shared" si="24"/>
        <v>18.09</v>
      </c>
      <c r="E271" s="22">
        <v>45329.0</v>
      </c>
      <c r="F271" s="16" t="s">
        <v>26</v>
      </c>
      <c r="G271" s="18"/>
      <c r="H271" s="16" t="s">
        <v>112</v>
      </c>
      <c r="I271" s="16" t="s">
        <v>80</v>
      </c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2.75" customHeight="1">
      <c r="A272" s="15" t="s">
        <v>309</v>
      </c>
      <c r="B272" s="10">
        <v>2.48</v>
      </c>
      <c r="C272" s="16">
        <v>1.0</v>
      </c>
      <c r="D272" s="11">
        <f t="shared" si="24"/>
        <v>2.48</v>
      </c>
      <c r="E272" s="22">
        <v>45329.0</v>
      </c>
      <c r="F272" s="16" t="s">
        <v>60</v>
      </c>
      <c r="G272" s="4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2.75" customHeight="1">
      <c r="A273" s="15" t="s">
        <v>310</v>
      </c>
      <c r="B273" s="10">
        <v>2.3</v>
      </c>
      <c r="C273" s="7">
        <v>1.0</v>
      </c>
      <c r="D273" s="11">
        <f t="shared" si="24"/>
        <v>2.3</v>
      </c>
      <c r="E273" s="22">
        <v>45394.0</v>
      </c>
      <c r="F273" s="13" t="s">
        <v>26</v>
      </c>
      <c r="G273" s="14"/>
      <c r="H273" s="7"/>
      <c r="I273" s="13"/>
      <c r="J273" s="16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2.75" customHeight="1">
      <c r="A274" s="15" t="s">
        <v>51</v>
      </c>
      <c r="B274" s="10">
        <v>2.28</v>
      </c>
      <c r="C274" s="7">
        <v>1.0</v>
      </c>
      <c r="D274" s="11">
        <f t="shared" si="24"/>
        <v>2.28</v>
      </c>
      <c r="E274" s="22">
        <v>45394.0</v>
      </c>
      <c r="F274" s="13" t="s">
        <v>26</v>
      </c>
      <c r="G274" s="14"/>
      <c r="H274" s="7"/>
      <c r="I274" s="13"/>
      <c r="J274" s="16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2.75" customHeight="1">
      <c r="A275" s="31" t="s">
        <v>311</v>
      </c>
      <c r="B275" s="10"/>
      <c r="C275" s="7"/>
      <c r="D275" s="11"/>
      <c r="E275" s="22"/>
      <c r="F275" s="13"/>
      <c r="G275" s="14"/>
      <c r="H275" s="7"/>
      <c r="I275" s="13"/>
      <c r="J275" s="16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2.75" customHeight="1">
      <c r="A276" s="29" t="s">
        <v>312</v>
      </c>
      <c r="B276" s="10">
        <v>5.45</v>
      </c>
      <c r="C276" s="7">
        <v>2.0</v>
      </c>
      <c r="D276" s="17">
        <f t="shared" ref="D276:D281" si="25">B276*C276</f>
        <v>10.9</v>
      </c>
      <c r="E276" s="22">
        <v>45632.0</v>
      </c>
      <c r="F276" s="13" t="s">
        <v>26</v>
      </c>
      <c r="G276" s="14" t="s">
        <v>313</v>
      </c>
      <c r="H276" s="7"/>
      <c r="I276" s="13"/>
      <c r="J276" s="16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2.75" customHeight="1">
      <c r="A277" s="15" t="s">
        <v>314</v>
      </c>
      <c r="B277" s="10">
        <v>11.35</v>
      </c>
      <c r="C277" s="7">
        <v>2.0</v>
      </c>
      <c r="D277" s="17">
        <f t="shared" si="25"/>
        <v>22.7</v>
      </c>
      <c r="E277" s="22">
        <v>45632.0</v>
      </c>
      <c r="F277" s="13" t="s">
        <v>26</v>
      </c>
      <c r="G277" s="14" t="s">
        <v>315</v>
      </c>
      <c r="H277" s="7"/>
      <c r="I277" s="13"/>
      <c r="J277" s="16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2.75" customHeight="1">
      <c r="A278" s="15" t="s">
        <v>316</v>
      </c>
      <c r="B278" s="10">
        <v>4.61</v>
      </c>
      <c r="C278" s="16">
        <v>3.0</v>
      </c>
      <c r="D278" s="17">
        <f t="shared" si="25"/>
        <v>13.83</v>
      </c>
      <c r="E278" s="22">
        <v>45632.0</v>
      </c>
      <c r="F278" s="13" t="s">
        <v>26</v>
      </c>
      <c r="G278" s="14" t="s">
        <v>317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2.75" customHeight="1">
      <c r="A279" s="15" t="s">
        <v>318</v>
      </c>
      <c r="B279" s="10">
        <v>7.23</v>
      </c>
      <c r="C279" s="16">
        <v>1.0</v>
      </c>
      <c r="D279" s="17">
        <f t="shared" si="25"/>
        <v>7.23</v>
      </c>
      <c r="E279" s="22">
        <v>45632.0</v>
      </c>
      <c r="F279" s="13" t="s">
        <v>26</v>
      </c>
      <c r="G279" s="14" t="s">
        <v>319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2.75" customHeight="1">
      <c r="A280" s="10" t="s">
        <v>320</v>
      </c>
      <c r="B280" s="10">
        <v>5.13</v>
      </c>
      <c r="C280" s="16">
        <v>1.0</v>
      </c>
      <c r="D280" s="17">
        <f t="shared" si="25"/>
        <v>5.13</v>
      </c>
      <c r="E280" s="22">
        <v>45632.0</v>
      </c>
      <c r="F280" s="13" t="s">
        <v>26</v>
      </c>
      <c r="G280" s="14" t="s">
        <v>321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2.75" customHeight="1">
      <c r="A281" s="15" t="s">
        <v>322</v>
      </c>
      <c r="B281" s="10">
        <v>29.89</v>
      </c>
      <c r="C281" s="16">
        <v>1.0</v>
      </c>
      <c r="D281" s="17">
        <f t="shared" si="25"/>
        <v>29.89</v>
      </c>
      <c r="E281" s="22">
        <v>45632.0</v>
      </c>
      <c r="F281" s="13" t="s">
        <v>26</v>
      </c>
      <c r="G281" s="14" t="s">
        <v>323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2.75" customHeight="1">
      <c r="A282" s="15"/>
      <c r="B282" s="10"/>
      <c r="C282" s="16"/>
      <c r="D282" s="17"/>
      <c r="E282" s="7"/>
      <c r="F282" s="7"/>
      <c r="G282" s="14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2.75" customHeight="1">
      <c r="A283" s="44" t="s">
        <v>324</v>
      </c>
      <c r="B283" s="4">
        <f>SUM(D284:D289)</f>
        <v>4045.27</v>
      </c>
      <c r="C283" s="16"/>
      <c r="D283" s="7"/>
      <c r="E283" s="7"/>
      <c r="F283" s="7"/>
      <c r="G283" s="14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2.75" customHeight="1">
      <c r="A284" s="15" t="s">
        <v>325</v>
      </c>
      <c r="B284" s="10">
        <v>99.0</v>
      </c>
      <c r="C284" s="16">
        <v>7.0</v>
      </c>
      <c r="D284" s="11">
        <f t="shared" ref="D284:D288" si="26">C284*B284</f>
        <v>693</v>
      </c>
      <c r="E284" s="22">
        <v>45222.0</v>
      </c>
      <c r="F284" s="7" t="s">
        <v>326</v>
      </c>
      <c r="G284" s="18"/>
      <c r="H284" s="16" t="s">
        <v>327</v>
      </c>
      <c r="I284" s="16" t="s">
        <v>328</v>
      </c>
      <c r="J284" s="16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2.75" customHeight="1">
      <c r="A285" s="15" t="s">
        <v>329</v>
      </c>
      <c r="B285" s="10">
        <v>75.0</v>
      </c>
      <c r="C285" s="16">
        <v>2.0</v>
      </c>
      <c r="D285" s="11">
        <f t="shared" si="26"/>
        <v>150</v>
      </c>
      <c r="E285" s="22">
        <v>45222.0</v>
      </c>
      <c r="F285" s="7" t="s">
        <v>326</v>
      </c>
      <c r="G285" s="14"/>
      <c r="H285" s="16" t="s">
        <v>330</v>
      </c>
      <c r="I285" s="16" t="s">
        <v>331</v>
      </c>
      <c r="J285" s="49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2.75" customHeight="1">
      <c r="A286" s="15" t="s">
        <v>332</v>
      </c>
      <c r="B286" s="11">
        <v>1373.0</v>
      </c>
      <c r="C286" s="16">
        <v>2.0</v>
      </c>
      <c r="D286" s="11">
        <f t="shared" si="26"/>
        <v>2746</v>
      </c>
      <c r="E286" s="22">
        <v>45615.0</v>
      </c>
      <c r="F286" s="16" t="s">
        <v>333</v>
      </c>
      <c r="G286" s="14"/>
      <c r="H286" s="16"/>
      <c r="I286" s="16"/>
      <c r="J286" s="49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2.75" customHeight="1">
      <c r="A287" s="15" t="s">
        <v>334</v>
      </c>
      <c r="B287" s="11">
        <v>358.0</v>
      </c>
      <c r="C287" s="16">
        <v>1.0</v>
      </c>
      <c r="D287" s="11">
        <f t="shared" si="26"/>
        <v>358</v>
      </c>
      <c r="E287" s="22">
        <v>45615.0</v>
      </c>
      <c r="F287" s="16" t="s">
        <v>333</v>
      </c>
      <c r="G287" s="18"/>
      <c r="H287" s="16"/>
      <c r="I287" s="16"/>
      <c r="J287" s="16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2.75" customHeight="1">
      <c r="A288" s="15" t="s">
        <v>325</v>
      </c>
      <c r="B288" s="50">
        <v>98.27</v>
      </c>
      <c r="C288" s="25">
        <v>1.0</v>
      </c>
      <c r="D288" s="11">
        <f t="shared" si="26"/>
        <v>98.27</v>
      </c>
      <c r="E288" s="26">
        <v>46063.0</v>
      </c>
      <c r="F288" s="13" t="s">
        <v>26</v>
      </c>
      <c r="G288" s="51" t="s">
        <v>335</v>
      </c>
      <c r="H288" s="16" t="s">
        <v>327</v>
      </c>
      <c r="I288" s="52" t="s">
        <v>328</v>
      </c>
      <c r="J288" s="25" t="s">
        <v>336</v>
      </c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2.75" customHeight="1">
      <c r="A289" s="15"/>
      <c r="B289" s="10"/>
      <c r="C289" s="16"/>
      <c r="D289" s="17"/>
      <c r="E289" s="7"/>
      <c r="F289" s="7"/>
      <c r="G289" s="14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2.75" customHeight="1">
      <c r="A290" s="44" t="s">
        <v>337</v>
      </c>
      <c r="B290" s="4">
        <f>SUM(D291:D292)</f>
        <v>712</v>
      </c>
      <c r="C290" s="16"/>
      <c r="D290" s="7"/>
      <c r="E290" s="7"/>
      <c r="F290" s="7"/>
      <c r="G290" s="14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2.75" customHeight="1">
      <c r="A291" s="29" t="s">
        <v>338</v>
      </c>
      <c r="B291" s="10">
        <v>356.0</v>
      </c>
      <c r="C291" s="7">
        <v>2.0</v>
      </c>
      <c r="D291" s="11">
        <f>C291*B291</f>
        <v>712</v>
      </c>
      <c r="E291" s="12">
        <v>45142.0</v>
      </c>
      <c r="F291" s="13" t="s">
        <v>17</v>
      </c>
      <c r="G291" s="14" t="s">
        <v>339</v>
      </c>
      <c r="H291" s="22" t="s">
        <v>340</v>
      </c>
      <c r="I291" s="13" t="s">
        <v>341</v>
      </c>
      <c r="J291" s="7" t="s">
        <v>342</v>
      </c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2.75" customHeight="1">
      <c r="A292" s="15"/>
      <c r="B292" s="10"/>
      <c r="C292" s="16"/>
      <c r="D292" s="17"/>
      <c r="E292" s="7"/>
      <c r="F292" s="7"/>
      <c r="G292" s="14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0" customHeight="1">
      <c r="A293" s="44" t="s">
        <v>343</v>
      </c>
      <c r="B293" s="4">
        <f>SUM(D294:D320)</f>
        <v>12230.52</v>
      </c>
      <c r="C293" s="7"/>
      <c r="D293" s="7"/>
      <c r="E293" s="7"/>
      <c r="F293" s="7"/>
      <c r="G293" s="14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2.75" customHeight="1">
      <c r="A294" s="29" t="s">
        <v>344</v>
      </c>
      <c r="B294" s="10">
        <v>1215.0</v>
      </c>
      <c r="C294" s="7">
        <v>1.0</v>
      </c>
      <c r="D294" s="11">
        <f t="shared" ref="D294:D297" si="27">C294*B294</f>
        <v>1215</v>
      </c>
      <c r="E294" s="12">
        <v>45142.0</v>
      </c>
      <c r="F294" s="13" t="s">
        <v>345</v>
      </c>
      <c r="G294" s="14" t="s">
        <v>346</v>
      </c>
      <c r="H294" s="13" t="s">
        <v>345</v>
      </c>
      <c r="I294" s="7" t="s">
        <v>346</v>
      </c>
      <c r="J294" s="7" t="s">
        <v>45</v>
      </c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2.75" customHeight="1">
      <c r="A295" s="29" t="s">
        <v>347</v>
      </c>
      <c r="B295" s="10">
        <v>1053.0</v>
      </c>
      <c r="C295" s="7">
        <v>1.0</v>
      </c>
      <c r="D295" s="11">
        <f t="shared" si="27"/>
        <v>1053</v>
      </c>
      <c r="E295" s="12">
        <v>45142.0</v>
      </c>
      <c r="F295" s="13" t="s">
        <v>345</v>
      </c>
      <c r="G295" s="14" t="s">
        <v>348</v>
      </c>
      <c r="H295" s="13" t="s">
        <v>345</v>
      </c>
      <c r="I295" s="7" t="s">
        <v>348</v>
      </c>
      <c r="J295" s="7" t="s">
        <v>45</v>
      </c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2.75" customHeight="1">
      <c r="A296" s="29" t="s">
        <v>349</v>
      </c>
      <c r="B296" s="10">
        <v>943.0</v>
      </c>
      <c r="C296" s="7">
        <v>1.0</v>
      </c>
      <c r="D296" s="11">
        <f t="shared" si="27"/>
        <v>943</v>
      </c>
      <c r="E296" s="12">
        <v>45142.0</v>
      </c>
      <c r="F296" s="13" t="s">
        <v>345</v>
      </c>
      <c r="G296" s="14" t="s">
        <v>350</v>
      </c>
      <c r="H296" s="13" t="s">
        <v>345</v>
      </c>
      <c r="I296" s="7" t="s">
        <v>350</v>
      </c>
      <c r="J296" s="7" t="s">
        <v>45</v>
      </c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2.75" customHeight="1">
      <c r="A297" s="29" t="s">
        <v>351</v>
      </c>
      <c r="B297" s="10">
        <v>718.0</v>
      </c>
      <c r="C297" s="7">
        <v>1.0</v>
      </c>
      <c r="D297" s="11">
        <f t="shared" si="27"/>
        <v>718</v>
      </c>
      <c r="E297" s="12">
        <v>45142.0</v>
      </c>
      <c r="F297" s="13" t="s">
        <v>345</v>
      </c>
      <c r="G297" s="14" t="s">
        <v>352</v>
      </c>
      <c r="H297" s="13" t="s">
        <v>345</v>
      </c>
      <c r="I297" s="7" t="s">
        <v>352</v>
      </c>
      <c r="J297" s="7" t="s">
        <v>45</v>
      </c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2.75" customHeight="1">
      <c r="A298" s="15" t="s">
        <v>353</v>
      </c>
      <c r="B298" s="10">
        <v>2385.0</v>
      </c>
      <c r="C298" s="16">
        <v>2.0</v>
      </c>
      <c r="D298" s="17">
        <f t="shared" ref="D298:D319" si="28">B298*C298</f>
        <v>4770</v>
      </c>
      <c r="E298" s="22">
        <v>45215.0</v>
      </c>
      <c r="F298" s="16" t="s">
        <v>354</v>
      </c>
      <c r="G298" s="18" t="s">
        <v>355</v>
      </c>
      <c r="H298" s="16" t="s">
        <v>354</v>
      </c>
      <c r="I298" s="16" t="s">
        <v>355</v>
      </c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2.75" customHeight="1">
      <c r="A299" s="15" t="s">
        <v>356</v>
      </c>
      <c r="B299" s="10">
        <v>1885.0</v>
      </c>
      <c r="C299" s="16">
        <v>1.0</v>
      </c>
      <c r="D299" s="17">
        <f t="shared" si="28"/>
        <v>1885</v>
      </c>
      <c r="E299" s="22">
        <v>45215.0</v>
      </c>
      <c r="F299" s="16" t="s">
        <v>354</v>
      </c>
      <c r="G299" s="18" t="s">
        <v>357</v>
      </c>
      <c r="H299" s="16" t="s">
        <v>354</v>
      </c>
      <c r="I299" s="16" t="s">
        <v>357</v>
      </c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2.75" customHeight="1">
      <c r="A300" s="15" t="s">
        <v>358</v>
      </c>
      <c r="B300" s="10">
        <v>78.0</v>
      </c>
      <c r="C300" s="16">
        <v>3.0</v>
      </c>
      <c r="D300" s="17">
        <f t="shared" si="28"/>
        <v>234</v>
      </c>
      <c r="E300" s="22">
        <v>45329.0</v>
      </c>
      <c r="F300" s="16" t="s">
        <v>354</v>
      </c>
      <c r="G300" s="18" t="s">
        <v>359</v>
      </c>
      <c r="H300" s="16" t="s">
        <v>354</v>
      </c>
      <c r="I300" s="16" t="s">
        <v>359</v>
      </c>
      <c r="J300" s="16" t="s">
        <v>360</v>
      </c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2.75" customHeight="1">
      <c r="A301" s="15" t="s">
        <v>361</v>
      </c>
      <c r="B301" s="10">
        <v>50.0</v>
      </c>
      <c r="C301" s="16">
        <v>7.0</v>
      </c>
      <c r="D301" s="17">
        <f t="shared" si="28"/>
        <v>350</v>
      </c>
      <c r="E301" s="22">
        <v>45329.0</v>
      </c>
      <c r="F301" s="16" t="s">
        <v>354</v>
      </c>
      <c r="G301" s="18" t="s">
        <v>362</v>
      </c>
      <c r="H301" s="16" t="s">
        <v>354</v>
      </c>
      <c r="I301" s="16" t="s">
        <v>362</v>
      </c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2.75" customHeight="1">
      <c r="A302" s="15" t="s">
        <v>358</v>
      </c>
      <c r="B302" s="10">
        <v>0.0</v>
      </c>
      <c r="C302" s="16">
        <v>2.0</v>
      </c>
      <c r="D302" s="17">
        <f t="shared" si="28"/>
        <v>0</v>
      </c>
      <c r="E302" s="12">
        <v>45142.0</v>
      </c>
      <c r="F302" s="13" t="s">
        <v>47</v>
      </c>
      <c r="G302" s="18" t="s">
        <v>359</v>
      </c>
      <c r="H302" s="16" t="s">
        <v>354</v>
      </c>
      <c r="I302" s="16" t="s">
        <v>359</v>
      </c>
      <c r="J302" s="7" t="s">
        <v>45</v>
      </c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2.75" customHeight="1">
      <c r="A303" s="15" t="s">
        <v>361</v>
      </c>
      <c r="B303" s="10">
        <v>0.0</v>
      </c>
      <c r="C303" s="16">
        <v>2.0</v>
      </c>
      <c r="D303" s="17">
        <f t="shared" si="28"/>
        <v>0</v>
      </c>
      <c r="E303" s="12">
        <v>45142.0</v>
      </c>
      <c r="F303" s="13" t="s">
        <v>47</v>
      </c>
      <c r="G303" s="18" t="s">
        <v>362</v>
      </c>
      <c r="H303" s="16" t="s">
        <v>354</v>
      </c>
      <c r="I303" s="16" t="s">
        <v>362</v>
      </c>
      <c r="J303" s="7" t="s">
        <v>45</v>
      </c>
      <c r="K303" s="7"/>
      <c r="L303" s="7"/>
      <c r="M303" s="7"/>
      <c r="N303" s="16" t="s">
        <v>363</v>
      </c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2.75" customHeight="1">
      <c r="A304" s="15" t="s">
        <v>364</v>
      </c>
      <c r="B304" s="10">
        <v>0.0</v>
      </c>
      <c r="C304" s="16">
        <v>2.0</v>
      </c>
      <c r="D304" s="17">
        <f t="shared" si="28"/>
        <v>0</v>
      </c>
      <c r="E304" s="12">
        <v>45142.0</v>
      </c>
      <c r="F304" s="13" t="s">
        <v>47</v>
      </c>
      <c r="G304" s="18" t="s">
        <v>365</v>
      </c>
      <c r="H304" s="16" t="s">
        <v>354</v>
      </c>
      <c r="I304" s="16" t="s">
        <v>365</v>
      </c>
      <c r="J304" s="7" t="s">
        <v>45</v>
      </c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2.75" customHeight="1">
      <c r="A305" s="15" t="s">
        <v>366</v>
      </c>
      <c r="B305" s="10">
        <v>0.0</v>
      </c>
      <c r="C305" s="16">
        <v>2.0</v>
      </c>
      <c r="D305" s="17">
        <f t="shared" si="28"/>
        <v>0</v>
      </c>
      <c r="E305" s="12">
        <v>45142.0</v>
      </c>
      <c r="F305" s="13" t="s">
        <v>47</v>
      </c>
      <c r="G305" s="18" t="s">
        <v>367</v>
      </c>
      <c r="H305" s="16" t="s">
        <v>354</v>
      </c>
      <c r="I305" s="16" t="s">
        <v>367</v>
      </c>
      <c r="J305" s="7" t="s">
        <v>45</v>
      </c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2.75" customHeight="1">
      <c r="A306" s="15" t="s">
        <v>368</v>
      </c>
      <c r="B306" s="10">
        <v>116.99</v>
      </c>
      <c r="C306" s="16">
        <v>3.0</v>
      </c>
      <c r="D306" s="17">
        <f t="shared" si="28"/>
        <v>350.97</v>
      </c>
      <c r="E306" s="22">
        <v>45369.0</v>
      </c>
      <c r="F306" s="16" t="s">
        <v>128</v>
      </c>
      <c r="G306" s="18" t="s">
        <v>369</v>
      </c>
      <c r="H306" s="16"/>
      <c r="I306" s="16" t="s">
        <v>370</v>
      </c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2.75" customHeight="1">
      <c r="A307" s="15" t="s">
        <v>371</v>
      </c>
      <c r="B307" s="10">
        <v>0.0</v>
      </c>
      <c r="C307" s="16">
        <v>1.0</v>
      </c>
      <c r="D307" s="17">
        <f t="shared" si="28"/>
        <v>0</v>
      </c>
      <c r="E307" s="12">
        <v>45142.0</v>
      </c>
      <c r="F307" s="13" t="s">
        <v>47</v>
      </c>
      <c r="G307" s="14"/>
      <c r="H307" s="16"/>
      <c r="I307" s="7"/>
      <c r="J307" s="7" t="s">
        <v>372</v>
      </c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0" customHeight="1">
      <c r="A308" s="7" t="s">
        <v>373</v>
      </c>
      <c r="B308" s="10">
        <v>23.03</v>
      </c>
      <c r="C308" s="16">
        <v>1.0</v>
      </c>
      <c r="D308" s="17">
        <f t="shared" si="28"/>
        <v>23.03</v>
      </c>
      <c r="E308" s="22">
        <v>45397.0</v>
      </c>
      <c r="F308" s="16" t="s">
        <v>160</v>
      </c>
      <c r="G308" s="14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2.75" customHeight="1">
      <c r="A309" s="15" t="s">
        <v>374</v>
      </c>
      <c r="B309" s="10">
        <v>23.03</v>
      </c>
      <c r="C309" s="16">
        <v>3.0</v>
      </c>
      <c r="D309" s="17">
        <f t="shared" si="28"/>
        <v>69.09</v>
      </c>
      <c r="E309" s="22">
        <v>45397.0</v>
      </c>
      <c r="F309" s="16" t="s">
        <v>160</v>
      </c>
      <c r="G309" s="18"/>
      <c r="H309" s="16"/>
      <c r="I309" s="16" t="s">
        <v>375</v>
      </c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2.75" customHeight="1">
      <c r="A310" s="7" t="s">
        <v>376</v>
      </c>
      <c r="B310" s="10">
        <v>25.53</v>
      </c>
      <c r="C310" s="16">
        <v>3.0</v>
      </c>
      <c r="D310" s="17">
        <f t="shared" si="28"/>
        <v>76.59</v>
      </c>
      <c r="E310" s="22">
        <v>45397.0</v>
      </c>
      <c r="F310" s="16" t="s">
        <v>160</v>
      </c>
      <c r="G310" s="18"/>
      <c r="H310" s="16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0" customHeight="1">
      <c r="A311" s="7" t="s">
        <v>377</v>
      </c>
      <c r="B311" s="10">
        <v>44.68</v>
      </c>
      <c r="C311" s="16">
        <v>1.0</v>
      </c>
      <c r="D311" s="17">
        <f t="shared" si="28"/>
        <v>44.68</v>
      </c>
      <c r="E311" s="22">
        <v>45397.0</v>
      </c>
      <c r="F311" s="16" t="s">
        <v>160</v>
      </c>
      <c r="G311" s="14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0" customHeight="1">
      <c r="A312" s="7" t="s">
        <v>378</v>
      </c>
      <c r="B312" s="10">
        <v>3.95</v>
      </c>
      <c r="C312" s="16">
        <v>2.0</v>
      </c>
      <c r="D312" s="17">
        <f t="shared" si="28"/>
        <v>7.9</v>
      </c>
      <c r="E312" s="22">
        <v>45394.0</v>
      </c>
      <c r="F312" s="16" t="s">
        <v>26</v>
      </c>
      <c r="G312" s="14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0" customHeight="1">
      <c r="A313" s="7" t="s">
        <v>379</v>
      </c>
      <c r="B313" s="10">
        <v>3.43</v>
      </c>
      <c r="C313" s="16">
        <v>2.0</v>
      </c>
      <c r="D313" s="17">
        <f t="shared" si="28"/>
        <v>6.86</v>
      </c>
      <c r="E313" s="22">
        <v>45394.0</v>
      </c>
      <c r="F313" s="16" t="s">
        <v>26</v>
      </c>
      <c r="G313" s="14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0" customHeight="1">
      <c r="A314" s="7" t="s">
        <v>380</v>
      </c>
      <c r="B314" s="10">
        <v>2.38</v>
      </c>
      <c r="C314" s="16">
        <v>1.0</v>
      </c>
      <c r="D314" s="17">
        <f t="shared" si="28"/>
        <v>2.38</v>
      </c>
      <c r="E314" s="22">
        <v>45394.0</v>
      </c>
      <c r="F314" s="16" t="s">
        <v>26</v>
      </c>
      <c r="G314" s="14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0" customHeight="1">
      <c r="A315" s="7" t="s">
        <v>105</v>
      </c>
      <c r="B315" s="10">
        <v>1.89</v>
      </c>
      <c r="C315" s="16">
        <v>2.0</v>
      </c>
      <c r="D315" s="17">
        <f t="shared" si="28"/>
        <v>3.78</v>
      </c>
      <c r="E315" s="22">
        <v>45394.0</v>
      </c>
      <c r="F315" s="16" t="s">
        <v>26</v>
      </c>
      <c r="G315" s="14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2.75" customHeight="1">
      <c r="A316" s="15" t="s">
        <v>381</v>
      </c>
      <c r="B316" s="10">
        <v>138.06</v>
      </c>
      <c r="C316" s="16">
        <v>1.0</v>
      </c>
      <c r="D316" s="17">
        <f t="shared" si="28"/>
        <v>138.06</v>
      </c>
      <c r="E316" s="22">
        <v>45693.0</v>
      </c>
      <c r="F316" s="16" t="s">
        <v>200</v>
      </c>
      <c r="G316" s="14"/>
      <c r="H316" s="16"/>
      <c r="I316" s="7"/>
      <c r="J316" s="16" t="s">
        <v>382</v>
      </c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2.75" customHeight="1">
      <c r="A317" s="15" t="s">
        <v>383</v>
      </c>
      <c r="B317" s="10">
        <v>114.46</v>
      </c>
      <c r="C317" s="16">
        <v>1.0</v>
      </c>
      <c r="D317" s="17">
        <f t="shared" si="28"/>
        <v>114.46</v>
      </c>
      <c r="E317" s="22">
        <v>45693.0</v>
      </c>
      <c r="F317" s="16" t="s">
        <v>200</v>
      </c>
      <c r="G317" s="14"/>
      <c r="H317" s="16"/>
      <c r="I317" s="7"/>
      <c r="J317" s="16" t="s">
        <v>384</v>
      </c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2.75" customHeight="1">
      <c r="A318" s="15" t="s">
        <v>385</v>
      </c>
      <c r="B318" s="10">
        <v>112.99</v>
      </c>
      <c r="C318" s="16">
        <v>1.0</v>
      </c>
      <c r="D318" s="17">
        <f t="shared" si="28"/>
        <v>112.99</v>
      </c>
      <c r="E318" s="22">
        <v>45693.0</v>
      </c>
      <c r="F318" s="16" t="s">
        <v>200</v>
      </c>
      <c r="G318" s="14"/>
      <c r="H318" s="16"/>
      <c r="I318" s="7"/>
      <c r="J318" s="16" t="s">
        <v>386</v>
      </c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2.75" customHeight="1">
      <c r="A319" s="15" t="s">
        <v>387</v>
      </c>
      <c r="B319" s="10">
        <v>111.73</v>
      </c>
      <c r="C319" s="16">
        <v>1.0</v>
      </c>
      <c r="D319" s="17">
        <f t="shared" si="28"/>
        <v>111.73</v>
      </c>
      <c r="E319" s="22">
        <v>45693.0</v>
      </c>
      <c r="F319" s="16" t="s">
        <v>200</v>
      </c>
      <c r="G319" s="14"/>
      <c r="H319" s="16"/>
      <c r="I319" s="7"/>
      <c r="J319" s="16" t="s">
        <v>279</v>
      </c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0" customHeight="1">
      <c r="A320" s="7"/>
      <c r="B320" s="10"/>
      <c r="C320" s="16"/>
      <c r="D320" s="17"/>
      <c r="E320" s="7"/>
      <c r="F320" s="16"/>
      <c r="G320" s="14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2.75" customHeight="1">
      <c r="A321" s="44" t="s">
        <v>388</v>
      </c>
      <c r="B321" s="4">
        <f>SUM(D321:D357)</f>
        <v>1047.42</v>
      </c>
      <c r="C321" s="16"/>
      <c r="D321" s="17"/>
      <c r="E321" s="7"/>
      <c r="F321" s="13"/>
      <c r="G321" s="14"/>
      <c r="H321" s="16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2.75" customHeight="1">
      <c r="A322" s="31" t="s">
        <v>389</v>
      </c>
      <c r="B322" s="4">
        <f>SUM(D323:D334)</f>
        <v>508.88</v>
      </c>
      <c r="C322" s="16"/>
      <c r="D322" s="7"/>
      <c r="E322" s="7"/>
      <c r="F322" s="13"/>
      <c r="G322" s="14"/>
      <c r="H322" s="16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2.75" customHeight="1">
      <c r="A323" s="15" t="s">
        <v>390</v>
      </c>
      <c r="B323" s="10">
        <v>56.26</v>
      </c>
      <c r="C323" s="16">
        <v>4.0</v>
      </c>
      <c r="D323" s="17">
        <f t="shared" ref="D323:D333" si="29">B323*C323</f>
        <v>225.04</v>
      </c>
      <c r="E323" s="22">
        <v>45366.0</v>
      </c>
      <c r="F323" s="13" t="s">
        <v>26</v>
      </c>
      <c r="G323" s="14" t="s">
        <v>391</v>
      </c>
      <c r="H323" s="16"/>
      <c r="I323" s="7"/>
      <c r="J323" s="7" t="s">
        <v>392</v>
      </c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2.75" customHeight="1">
      <c r="A324" s="15" t="s">
        <v>393</v>
      </c>
      <c r="B324" s="10">
        <v>12.78</v>
      </c>
      <c r="C324" s="16">
        <v>1.0</v>
      </c>
      <c r="D324" s="17">
        <f t="shared" si="29"/>
        <v>12.78</v>
      </c>
      <c r="E324" s="22">
        <v>45366.0</v>
      </c>
      <c r="F324" s="13" t="s">
        <v>26</v>
      </c>
      <c r="G324" s="18"/>
      <c r="H324" s="16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2.75" customHeight="1">
      <c r="A325" s="15" t="s">
        <v>394</v>
      </c>
      <c r="B325" s="10">
        <v>4.28</v>
      </c>
      <c r="C325" s="16">
        <v>8.0</v>
      </c>
      <c r="D325" s="17">
        <f t="shared" si="29"/>
        <v>34.24</v>
      </c>
      <c r="E325" s="22">
        <v>45369.0</v>
      </c>
      <c r="F325" s="13" t="s">
        <v>128</v>
      </c>
      <c r="G325" s="18" t="s">
        <v>395</v>
      </c>
      <c r="H325" s="16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2.75" customHeight="1">
      <c r="A326" s="15" t="s">
        <v>396</v>
      </c>
      <c r="B326" s="10">
        <v>5.26</v>
      </c>
      <c r="C326" s="16">
        <v>8.0</v>
      </c>
      <c r="D326" s="17">
        <f t="shared" si="29"/>
        <v>42.08</v>
      </c>
      <c r="E326" s="22">
        <v>45369.0</v>
      </c>
      <c r="F326" s="13" t="s">
        <v>128</v>
      </c>
      <c r="G326" s="18" t="s">
        <v>397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2.75" customHeight="1">
      <c r="A327" s="15" t="s">
        <v>398</v>
      </c>
      <c r="B327" s="10">
        <v>3.35</v>
      </c>
      <c r="C327" s="16">
        <v>5.0</v>
      </c>
      <c r="D327" s="17">
        <f t="shared" si="29"/>
        <v>16.75</v>
      </c>
      <c r="E327" s="22">
        <v>45369.0</v>
      </c>
      <c r="F327" s="13" t="s">
        <v>128</v>
      </c>
      <c r="G327" s="18" t="s">
        <v>399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2.75" customHeight="1">
      <c r="A328" s="15" t="s">
        <v>400</v>
      </c>
      <c r="B328" s="10">
        <v>84.33</v>
      </c>
      <c r="C328" s="16">
        <v>1.0</v>
      </c>
      <c r="D328" s="17">
        <f t="shared" si="29"/>
        <v>84.33</v>
      </c>
      <c r="E328" s="22">
        <v>45369.0</v>
      </c>
      <c r="F328" s="13" t="s">
        <v>401</v>
      </c>
      <c r="G328" s="14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2.75" customHeight="1">
      <c r="A329" s="15" t="s">
        <v>402</v>
      </c>
      <c r="B329" s="10">
        <v>18.09</v>
      </c>
      <c r="C329" s="16">
        <v>3.0</v>
      </c>
      <c r="D329" s="17">
        <f t="shared" si="29"/>
        <v>54.27</v>
      </c>
      <c r="E329" s="22">
        <v>45366.0</v>
      </c>
      <c r="F329" s="13" t="s">
        <v>401</v>
      </c>
      <c r="G329" s="14"/>
      <c r="H329" s="7"/>
      <c r="I329" s="7"/>
      <c r="J329" s="7" t="s">
        <v>403</v>
      </c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2.75" customHeight="1">
      <c r="A330" s="15" t="s">
        <v>404</v>
      </c>
      <c r="B330" s="10">
        <v>22.86</v>
      </c>
      <c r="C330" s="16">
        <v>1.0</v>
      </c>
      <c r="D330" s="17">
        <f t="shared" si="29"/>
        <v>22.86</v>
      </c>
      <c r="E330" s="22">
        <v>45369.0</v>
      </c>
      <c r="F330" s="16" t="s">
        <v>128</v>
      </c>
      <c r="G330" s="18" t="s">
        <v>405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2.75" customHeight="1">
      <c r="A331" s="15" t="s">
        <v>406</v>
      </c>
      <c r="B331" s="10">
        <v>16.53</v>
      </c>
      <c r="C331" s="16">
        <v>1.0</v>
      </c>
      <c r="D331" s="17">
        <f t="shared" si="29"/>
        <v>16.53</v>
      </c>
      <c r="E331" s="22">
        <v>45366.0</v>
      </c>
      <c r="F331" s="13" t="s">
        <v>26</v>
      </c>
      <c r="G331" s="18" t="s">
        <v>407</v>
      </c>
      <c r="H331" s="7"/>
      <c r="I331" s="7"/>
      <c r="J331" s="7" t="s">
        <v>408</v>
      </c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2.75" customHeight="1">
      <c r="A332" s="29" t="s">
        <v>409</v>
      </c>
      <c r="B332" s="10">
        <v>0.0</v>
      </c>
      <c r="C332" s="7">
        <v>1.0</v>
      </c>
      <c r="D332" s="17">
        <f t="shared" si="29"/>
        <v>0</v>
      </c>
      <c r="E332" s="12">
        <v>45142.0</v>
      </c>
      <c r="F332" s="13" t="s">
        <v>76</v>
      </c>
      <c r="G332" s="14" t="s">
        <v>410</v>
      </c>
      <c r="H332" s="22"/>
      <c r="I332" s="13"/>
      <c r="J332" s="7" t="s">
        <v>45</v>
      </c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2.75" customHeight="1">
      <c r="A333" s="29" t="s">
        <v>94</v>
      </c>
      <c r="B333" s="10">
        <v>0.0</v>
      </c>
      <c r="C333" s="7">
        <v>1.0</v>
      </c>
      <c r="D333" s="17">
        <f t="shared" si="29"/>
        <v>0</v>
      </c>
      <c r="E333" s="12">
        <v>45142.0</v>
      </c>
      <c r="F333" s="13" t="s">
        <v>76</v>
      </c>
      <c r="G333" s="14"/>
      <c r="H333" s="22"/>
      <c r="I333" s="13"/>
      <c r="J333" s="7" t="s">
        <v>45</v>
      </c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2.75" customHeight="1">
      <c r="A334" s="15"/>
      <c r="B334" s="10"/>
      <c r="C334" s="16"/>
      <c r="D334" s="17"/>
      <c r="E334" s="7"/>
      <c r="F334" s="13"/>
      <c r="G334" s="14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2.75" customHeight="1">
      <c r="A335" s="31" t="s">
        <v>411</v>
      </c>
      <c r="B335" s="4">
        <f>SUM(D336:D347)</f>
        <v>374.14</v>
      </c>
      <c r="C335" s="16"/>
      <c r="D335" s="7"/>
      <c r="E335" s="7"/>
      <c r="F335" s="13"/>
      <c r="G335" s="14"/>
      <c r="H335" s="16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2.75" customHeight="1">
      <c r="A336" s="15" t="s">
        <v>390</v>
      </c>
      <c r="B336" s="10">
        <v>56.26</v>
      </c>
      <c r="C336" s="16">
        <v>3.0</v>
      </c>
      <c r="D336" s="17">
        <f t="shared" ref="D336:D346" si="30">B336*C336</f>
        <v>168.78</v>
      </c>
      <c r="E336" s="22">
        <v>45366.0</v>
      </c>
      <c r="F336" s="13" t="s">
        <v>26</v>
      </c>
      <c r="G336" s="14" t="s">
        <v>391</v>
      </c>
      <c r="H336" s="16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2.75" customHeight="1">
      <c r="A337" s="15" t="s">
        <v>412</v>
      </c>
      <c r="B337" s="10">
        <v>41.01</v>
      </c>
      <c r="C337" s="16">
        <v>1.0</v>
      </c>
      <c r="D337" s="17">
        <f t="shared" si="30"/>
        <v>41.01</v>
      </c>
      <c r="E337" s="22">
        <v>45567.0</v>
      </c>
      <c r="F337" s="13" t="s">
        <v>26</v>
      </c>
      <c r="G337" s="14" t="s">
        <v>413</v>
      </c>
      <c r="H337" s="1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2.75" customHeight="1">
      <c r="A338" s="15" t="s">
        <v>394</v>
      </c>
      <c r="B338" s="10">
        <v>4.28</v>
      </c>
      <c r="C338" s="16">
        <v>2.0</v>
      </c>
      <c r="D338" s="17">
        <f t="shared" si="30"/>
        <v>8.56</v>
      </c>
      <c r="E338" s="22">
        <v>45369.0</v>
      </c>
      <c r="F338" s="13" t="s">
        <v>128</v>
      </c>
      <c r="G338" s="18" t="s">
        <v>395</v>
      </c>
      <c r="H338" s="1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2.75" customHeight="1">
      <c r="A339" s="15" t="s">
        <v>396</v>
      </c>
      <c r="B339" s="10">
        <v>5.26</v>
      </c>
      <c r="C339" s="16">
        <v>2.0</v>
      </c>
      <c r="D339" s="17">
        <f t="shared" si="30"/>
        <v>10.52</v>
      </c>
      <c r="E339" s="22">
        <v>45369.0</v>
      </c>
      <c r="F339" s="13" t="s">
        <v>128</v>
      </c>
      <c r="G339" s="18" t="s">
        <v>397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2.75" customHeight="1">
      <c r="A340" s="15" t="s">
        <v>398</v>
      </c>
      <c r="B340" s="10">
        <v>3.35</v>
      </c>
      <c r="C340" s="16">
        <v>3.0</v>
      </c>
      <c r="D340" s="17">
        <f t="shared" si="30"/>
        <v>10.05</v>
      </c>
      <c r="E340" s="22">
        <v>45369.0</v>
      </c>
      <c r="F340" s="13" t="s">
        <v>128</v>
      </c>
      <c r="G340" s="18" t="s">
        <v>399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2.75" customHeight="1">
      <c r="A341" s="15" t="s">
        <v>147</v>
      </c>
      <c r="B341" s="10">
        <v>8.89</v>
      </c>
      <c r="C341" s="16">
        <v>4.0</v>
      </c>
      <c r="D341" s="17">
        <f t="shared" si="30"/>
        <v>35.56</v>
      </c>
      <c r="E341" s="22">
        <v>45566.0</v>
      </c>
      <c r="F341" s="13" t="s">
        <v>128</v>
      </c>
      <c r="G341" s="18" t="s">
        <v>414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2.75" customHeight="1">
      <c r="A342" s="15" t="s">
        <v>398</v>
      </c>
      <c r="B342" s="10">
        <v>3.7</v>
      </c>
      <c r="C342" s="16">
        <v>6.0</v>
      </c>
      <c r="D342" s="17">
        <f t="shared" si="30"/>
        <v>22.2</v>
      </c>
      <c r="E342" s="22">
        <v>45566.0</v>
      </c>
      <c r="F342" s="13" t="s">
        <v>128</v>
      </c>
      <c r="G342" s="18" t="s">
        <v>399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2.75" customHeight="1">
      <c r="A343" s="15" t="s">
        <v>415</v>
      </c>
      <c r="B343" s="10">
        <v>38.07</v>
      </c>
      <c r="C343" s="16">
        <v>1.0</v>
      </c>
      <c r="D343" s="17">
        <f t="shared" si="30"/>
        <v>38.07</v>
      </c>
      <c r="E343" s="22">
        <v>45369.0</v>
      </c>
      <c r="F343" s="13" t="s">
        <v>401</v>
      </c>
      <c r="G343" s="14"/>
      <c r="H343" s="7"/>
      <c r="I343" s="7"/>
      <c r="J343" s="7" t="s">
        <v>416</v>
      </c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2.75" customHeight="1">
      <c r="A344" s="15" t="s">
        <v>417</v>
      </c>
      <c r="B344" s="10">
        <v>0.0</v>
      </c>
      <c r="C344" s="16">
        <v>0.0</v>
      </c>
      <c r="D344" s="17">
        <f t="shared" si="30"/>
        <v>0</v>
      </c>
      <c r="E344" s="22">
        <v>45369.0</v>
      </c>
      <c r="F344" s="13" t="s">
        <v>401</v>
      </c>
      <c r="G344" s="14"/>
      <c r="H344" s="7"/>
      <c r="I344" s="7"/>
      <c r="J344" s="7" t="s">
        <v>418</v>
      </c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2.75" customHeight="1">
      <c r="A345" s="15" t="s">
        <v>404</v>
      </c>
      <c r="B345" s="10">
        <v>22.86</v>
      </c>
      <c r="C345" s="16">
        <v>1.0</v>
      </c>
      <c r="D345" s="17">
        <f t="shared" si="30"/>
        <v>22.86</v>
      </c>
      <c r="E345" s="22">
        <v>45369.0</v>
      </c>
      <c r="F345" s="16" t="s">
        <v>128</v>
      </c>
      <c r="G345" s="18" t="s">
        <v>405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2.75" customHeight="1">
      <c r="A346" s="15" t="s">
        <v>406</v>
      </c>
      <c r="B346" s="10">
        <v>16.53</v>
      </c>
      <c r="C346" s="16">
        <v>1.0</v>
      </c>
      <c r="D346" s="17">
        <f t="shared" si="30"/>
        <v>16.53</v>
      </c>
      <c r="E346" s="22">
        <v>45366.0</v>
      </c>
      <c r="F346" s="13" t="s">
        <v>26</v>
      </c>
      <c r="G346" s="18" t="s">
        <v>407</v>
      </c>
      <c r="H346" s="7"/>
      <c r="I346" s="7"/>
      <c r="J346" s="7" t="s">
        <v>408</v>
      </c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2.75" customHeight="1">
      <c r="A347" s="15"/>
      <c r="B347" s="10"/>
      <c r="C347" s="16"/>
      <c r="D347" s="17"/>
      <c r="E347" s="22"/>
      <c r="F347" s="13"/>
      <c r="G347" s="18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2.75" customHeight="1">
      <c r="A348" s="31" t="s">
        <v>419</v>
      </c>
      <c r="B348" s="4">
        <f>SUM(D349:D357)</f>
        <v>164.4</v>
      </c>
      <c r="C348" s="16"/>
      <c r="D348" s="17"/>
      <c r="E348" s="22"/>
      <c r="F348" s="13"/>
      <c r="G348" s="18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2.75" customHeight="1">
      <c r="A349" s="15" t="s">
        <v>420</v>
      </c>
      <c r="B349" s="10">
        <v>34.16</v>
      </c>
      <c r="C349" s="16">
        <v>1.0</v>
      </c>
      <c r="D349" s="17">
        <f t="shared" ref="D349:D356" si="31">B349*C349</f>
        <v>34.16</v>
      </c>
      <c r="E349" s="22">
        <v>45366.0</v>
      </c>
      <c r="F349" s="13" t="s">
        <v>26</v>
      </c>
      <c r="G349" s="18" t="s">
        <v>421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2.75" customHeight="1">
      <c r="A350" s="15" t="s">
        <v>322</v>
      </c>
      <c r="B350" s="10">
        <v>29.89</v>
      </c>
      <c r="C350" s="16">
        <v>1.0</v>
      </c>
      <c r="D350" s="17">
        <f t="shared" si="31"/>
        <v>29.89</v>
      </c>
      <c r="E350" s="22">
        <v>45567.0</v>
      </c>
      <c r="F350" s="13" t="s">
        <v>26</v>
      </c>
      <c r="G350" s="14" t="s">
        <v>323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2.75" customHeight="1">
      <c r="A351" s="15" t="s">
        <v>316</v>
      </c>
      <c r="B351" s="10">
        <v>3.8</v>
      </c>
      <c r="C351" s="16">
        <v>7.0</v>
      </c>
      <c r="D351" s="17">
        <f t="shared" si="31"/>
        <v>26.6</v>
      </c>
      <c r="E351" s="22">
        <v>45405.0</v>
      </c>
      <c r="F351" s="13" t="s">
        <v>26</v>
      </c>
      <c r="G351" s="14" t="s">
        <v>317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2.75" customHeight="1">
      <c r="A352" s="15" t="s">
        <v>316</v>
      </c>
      <c r="B352" s="10">
        <v>4.61</v>
      </c>
      <c r="C352" s="16">
        <v>2.0</v>
      </c>
      <c r="D352" s="17">
        <f t="shared" si="31"/>
        <v>9.22</v>
      </c>
      <c r="E352" s="22">
        <v>45559.0</v>
      </c>
      <c r="F352" s="13" t="s">
        <v>26</v>
      </c>
      <c r="G352" s="14" t="s">
        <v>317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2.75" customHeight="1">
      <c r="A353" s="15" t="s">
        <v>422</v>
      </c>
      <c r="B353" s="10">
        <v>4.67</v>
      </c>
      <c r="C353" s="16">
        <v>7.0</v>
      </c>
      <c r="D353" s="17">
        <f t="shared" si="31"/>
        <v>32.69</v>
      </c>
      <c r="E353" s="22">
        <v>45405.0</v>
      </c>
      <c r="F353" s="13" t="s">
        <v>26</v>
      </c>
      <c r="G353" s="14" t="s">
        <v>423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2.75" customHeight="1">
      <c r="A354" s="15" t="s">
        <v>318</v>
      </c>
      <c r="B354" s="10">
        <v>6.84</v>
      </c>
      <c r="C354" s="16">
        <v>1.0</v>
      </c>
      <c r="D354" s="17">
        <f t="shared" si="31"/>
        <v>6.84</v>
      </c>
      <c r="E354" s="22">
        <v>45405.0</v>
      </c>
      <c r="F354" s="13" t="s">
        <v>26</v>
      </c>
      <c r="G354" s="14" t="s">
        <v>319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2.75" customHeight="1">
      <c r="A355" s="15" t="s">
        <v>424</v>
      </c>
      <c r="B355" s="10">
        <v>0.28</v>
      </c>
      <c r="C355" s="16">
        <v>9.0</v>
      </c>
      <c r="D355" s="17">
        <f t="shared" si="31"/>
        <v>2.52</v>
      </c>
      <c r="E355" s="22">
        <v>45405.0</v>
      </c>
      <c r="F355" s="13" t="s">
        <v>150</v>
      </c>
      <c r="G355" s="14">
        <v>36410.0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2.75" customHeight="1">
      <c r="A356" s="10" t="s">
        <v>320</v>
      </c>
      <c r="B356" s="10">
        <v>2.81</v>
      </c>
      <c r="C356" s="16">
        <v>8.0</v>
      </c>
      <c r="D356" s="17">
        <f t="shared" si="31"/>
        <v>22.48</v>
      </c>
      <c r="E356" s="22">
        <v>45405.0</v>
      </c>
      <c r="F356" s="13" t="s">
        <v>26</v>
      </c>
      <c r="G356" s="14" t="s">
        <v>425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2.75" customHeight="1">
      <c r="A357" s="15"/>
      <c r="B357" s="10"/>
      <c r="C357" s="16"/>
      <c r="D357" s="17"/>
      <c r="E357" s="7"/>
      <c r="F357" s="13"/>
      <c r="G357" s="14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2.75" customHeight="1">
      <c r="A358" s="44" t="s">
        <v>426</v>
      </c>
      <c r="B358" s="4">
        <f>SUM(D359:D370)</f>
        <v>1687.78</v>
      </c>
      <c r="C358" s="16"/>
      <c r="D358" s="7"/>
      <c r="E358" s="7"/>
      <c r="F358" s="13"/>
      <c r="G358" s="14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2.75" customHeight="1">
      <c r="A359" s="15" t="s">
        <v>427</v>
      </c>
      <c r="B359" s="10">
        <v>1152.24</v>
      </c>
      <c r="C359" s="16">
        <v>1.0</v>
      </c>
      <c r="D359" s="11">
        <f>C359*B359</f>
        <v>1152.24</v>
      </c>
      <c r="E359" s="22">
        <v>45302.0</v>
      </c>
      <c r="F359" s="16" t="s">
        <v>160</v>
      </c>
      <c r="G359" s="18">
        <v>216143.0</v>
      </c>
      <c r="H359" s="7" t="s">
        <v>428</v>
      </c>
      <c r="I359" s="7"/>
      <c r="J359" s="7" t="s">
        <v>429</v>
      </c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2.75" customHeight="1">
      <c r="A360" s="15" t="s">
        <v>430</v>
      </c>
      <c r="B360" s="10">
        <v>287.16</v>
      </c>
      <c r="C360" s="16">
        <v>1.0</v>
      </c>
      <c r="D360" s="17">
        <f t="shared" ref="D360:D369" si="32">B360*C360</f>
        <v>287.16</v>
      </c>
      <c r="E360" s="22">
        <v>45369.0</v>
      </c>
      <c r="F360" s="13" t="s">
        <v>401</v>
      </c>
      <c r="G360" s="14"/>
      <c r="H360" s="7"/>
      <c r="I360" s="7"/>
      <c r="J360" s="7" t="s">
        <v>431</v>
      </c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2.75" customHeight="1">
      <c r="A361" s="15" t="s">
        <v>432</v>
      </c>
      <c r="B361" s="10">
        <v>36.74</v>
      </c>
      <c r="C361" s="16">
        <v>1.0</v>
      </c>
      <c r="D361" s="17">
        <f t="shared" si="32"/>
        <v>36.74</v>
      </c>
      <c r="E361" s="22">
        <v>45369.0</v>
      </c>
      <c r="F361" s="13" t="s">
        <v>401</v>
      </c>
      <c r="G361" s="14"/>
      <c r="H361" s="7"/>
      <c r="I361" s="7"/>
      <c r="J361" s="7" t="s">
        <v>433</v>
      </c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2.75" customHeight="1">
      <c r="A362" s="15" t="s">
        <v>434</v>
      </c>
      <c r="B362" s="10">
        <v>2.35</v>
      </c>
      <c r="C362" s="16">
        <v>8.0</v>
      </c>
      <c r="D362" s="17">
        <f t="shared" si="32"/>
        <v>18.8</v>
      </c>
      <c r="E362" s="22">
        <v>45397.0</v>
      </c>
      <c r="F362" s="16" t="s">
        <v>150</v>
      </c>
      <c r="G362" s="18">
        <v>23916.0</v>
      </c>
      <c r="H362" s="7"/>
      <c r="I362" s="7"/>
      <c r="J362" s="7" t="s">
        <v>435</v>
      </c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2.75" customHeight="1">
      <c r="A363" s="15" t="s">
        <v>436</v>
      </c>
      <c r="B363" s="10">
        <v>0.25</v>
      </c>
      <c r="C363" s="16">
        <v>8.0</v>
      </c>
      <c r="D363" s="17">
        <f t="shared" si="32"/>
        <v>2</v>
      </c>
      <c r="E363" s="22">
        <v>45397.0</v>
      </c>
      <c r="F363" s="16" t="s">
        <v>150</v>
      </c>
      <c r="G363" s="18">
        <v>33819.0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2.75" customHeight="1">
      <c r="A364" s="15" t="s">
        <v>437</v>
      </c>
      <c r="B364" s="10">
        <v>17.85</v>
      </c>
      <c r="C364" s="16">
        <v>1.0</v>
      </c>
      <c r="D364" s="17">
        <f t="shared" si="32"/>
        <v>17.85</v>
      </c>
      <c r="E364" s="22">
        <v>45397.0</v>
      </c>
      <c r="F364" s="16" t="s">
        <v>128</v>
      </c>
      <c r="G364" s="14" t="s">
        <v>438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2.75" customHeight="1">
      <c r="A365" s="15" t="s">
        <v>439</v>
      </c>
      <c r="B365" s="10">
        <v>119.0</v>
      </c>
      <c r="C365" s="16">
        <v>1.0</v>
      </c>
      <c r="D365" s="17">
        <f t="shared" si="32"/>
        <v>119</v>
      </c>
      <c r="E365" s="22">
        <v>45329.0</v>
      </c>
      <c r="F365" s="16" t="s">
        <v>49</v>
      </c>
      <c r="G365" s="14"/>
      <c r="H365" s="16" t="s">
        <v>440</v>
      </c>
      <c r="I365" s="7" t="s">
        <v>441</v>
      </c>
      <c r="J365" s="7" t="s">
        <v>442</v>
      </c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2.75" customHeight="1">
      <c r="A366" s="15" t="s">
        <v>443</v>
      </c>
      <c r="B366" s="10">
        <v>0.0</v>
      </c>
      <c r="C366" s="16">
        <v>2.0</v>
      </c>
      <c r="D366" s="17">
        <f t="shared" si="32"/>
        <v>0</v>
      </c>
      <c r="E366" s="7"/>
      <c r="F366" s="16" t="s">
        <v>139</v>
      </c>
      <c r="G366" s="14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2.75" customHeight="1">
      <c r="A367" s="10" t="s">
        <v>444</v>
      </c>
      <c r="B367" s="10">
        <v>12.76</v>
      </c>
      <c r="C367" s="16">
        <v>1.0</v>
      </c>
      <c r="D367" s="17">
        <f t="shared" si="32"/>
        <v>12.76</v>
      </c>
      <c r="E367" s="22">
        <v>45400.0</v>
      </c>
      <c r="F367" s="13" t="s">
        <v>150</v>
      </c>
      <c r="G367" s="14">
        <v>1133817.0</v>
      </c>
      <c r="H367" s="7"/>
      <c r="I367" s="7"/>
      <c r="J367" s="7" t="s">
        <v>445</v>
      </c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2.75" customHeight="1">
      <c r="A368" s="7" t="s">
        <v>446</v>
      </c>
      <c r="B368" s="10">
        <v>3.5</v>
      </c>
      <c r="C368" s="16">
        <v>2.0</v>
      </c>
      <c r="D368" s="17">
        <f t="shared" si="32"/>
        <v>7</v>
      </c>
      <c r="E368" s="22">
        <v>45400.0</v>
      </c>
      <c r="F368" s="13" t="s">
        <v>150</v>
      </c>
      <c r="G368" s="14">
        <v>2123424.0</v>
      </c>
      <c r="H368" s="7"/>
      <c r="I368" s="7"/>
      <c r="J368" s="7" t="s">
        <v>447</v>
      </c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2.75" customHeight="1">
      <c r="A369" s="42" t="s">
        <v>448</v>
      </c>
      <c r="B369" s="53">
        <v>34.23</v>
      </c>
      <c r="C369" s="25">
        <v>1.0</v>
      </c>
      <c r="D369" s="17">
        <f t="shared" si="32"/>
        <v>34.23</v>
      </c>
      <c r="E369" s="26">
        <v>46031.0</v>
      </c>
      <c r="F369" s="54" t="s">
        <v>449</v>
      </c>
      <c r="G369" s="55" t="s">
        <v>450</v>
      </c>
      <c r="H369" s="42" t="s">
        <v>451</v>
      </c>
      <c r="I369" s="56" t="s">
        <v>452</v>
      </c>
      <c r="J369" s="42" t="s">
        <v>453</v>
      </c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2.75" customHeight="1">
      <c r="A370" s="15"/>
      <c r="B370" s="28"/>
      <c r="C370" s="7"/>
      <c r="D370" s="17"/>
      <c r="E370" s="7"/>
      <c r="F370" s="7"/>
      <c r="G370" s="14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0" customHeight="1">
      <c r="A371" s="44" t="s">
        <v>454</v>
      </c>
      <c r="B371" s="4">
        <f>SUM(D372:D388)</f>
        <v>12984.49</v>
      </c>
      <c r="C371" s="7"/>
      <c r="D371" s="7"/>
      <c r="E371" s="7"/>
      <c r="F371" s="7"/>
      <c r="G371" s="14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2.75" customHeight="1">
      <c r="A372" s="15" t="s">
        <v>455</v>
      </c>
      <c r="B372" s="10">
        <v>9706.93</v>
      </c>
      <c r="C372" s="16">
        <v>1.0</v>
      </c>
      <c r="D372" s="11">
        <f t="shared" ref="D372:D373" si="33">C372*B372</f>
        <v>9706.93</v>
      </c>
      <c r="E372" s="22">
        <v>45302.0</v>
      </c>
      <c r="F372" s="16" t="s">
        <v>160</v>
      </c>
      <c r="G372" s="14" t="s">
        <v>456</v>
      </c>
      <c r="H372" s="16" t="s">
        <v>160</v>
      </c>
      <c r="I372" s="7"/>
      <c r="J372" s="7" t="s">
        <v>457</v>
      </c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2.75" customHeight="1">
      <c r="A373" s="15" t="s">
        <v>458</v>
      </c>
      <c r="B373" s="10">
        <v>2353.54</v>
      </c>
      <c r="C373" s="16">
        <v>1.0</v>
      </c>
      <c r="D373" s="11">
        <f t="shared" si="33"/>
        <v>2353.54</v>
      </c>
      <c r="E373" s="22" t="s">
        <v>459</v>
      </c>
      <c r="F373" s="16" t="s">
        <v>160</v>
      </c>
      <c r="G373" s="14"/>
      <c r="H373" s="16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2.75" customHeight="1">
      <c r="A374" s="15" t="s">
        <v>460</v>
      </c>
      <c r="B374" s="10">
        <v>2.82</v>
      </c>
      <c r="C374" s="16">
        <v>8.0</v>
      </c>
      <c r="D374" s="17">
        <f t="shared" ref="D374:D378" si="34">B374*C374</f>
        <v>22.56</v>
      </c>
      <c r="E374" s="22">
        <v>45397.0</v>
      </c>
      <c r="F374" s="16" t="s">
        <v>150</v>
      </c>
      <c r="G374" s="18">
        <v>23918.0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2.75" customHeight="1">
      <c r="A375" s="15" t="s">
        <v>461</v>
      </c>
      <c r="B375" s="10">
        <v>17.82</v>
      </c>
      <c r="C375" s="16">
        <v>2.0</v>
      </c>
      <c r="D375" s="17">
        <f t="shared" si="34"/>
        <v>35.64</v>
      </c>
      <c r="E375" s="22" t="s">
        <v>462</v>
      </c>
      <c r="F375" s="16" t="s">
        <v>150</v>
      </c>
      <c r="G375" s="18">
        <v>9.25205457E8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2.75" customHeight="1">
      <c r="A376" s="15" t="s">
        <v>463</v>
      </c>
      <c r="B376" s="10">
        <v>23.22</v>
      </c>
      <c r="C376" s="16">
        <v>2.0</v>
      </c>
      <c r="D376" s="17">
        <f t="shared" si="34"/>
        <v>46.44</v>
      </c>
      <c r="E376" s="22" t="s">
        <v>464</v>
      </c>
      <c r="F376" s="16" t="s">
        <v>17</v>
      </c>
      <c r="G376" s="18" t="s">
        <v>465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2.75" customHeight="1">
      <c r="A377" s="15" t="s">
        <v>436</v>
      </c>
      <c r="B377" s="10">
        <v>0.25</v>
      </c>
      <c r="C377" s="16">
        <v>8.0</v>
      </c>
      <c r="D377" s="17">
        <f t="shared" si="34"/>
        <v>2</v>
      </c>
      <c r="E377" s="22">
        <v>45397.0</v>
      </c>
      <c r="F377" s="16" t="s">
        <v>150</v>
      </c>
      <c r="G377" s="18">
        <v>33819.0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2.75" customHeight="1">
      <c r="A378" s="15" t="s">
        <v>466</v>
      </c>
      <c r="B378" s="10">
        <v>7.46</v>
      </c>
      <c r="C378" s="16">
        <v>1.0</v>
      </c>
      <c r="D378" s="17">
        <f t="shared" si="34"/>
        <v>7.46</v>
      </c>
      <c r="E378" s="22" t="s">
        <v>462</v>
      </c>
      <c r="F378" s="16" t="s">
        <v>150</v>
      </c>
      <c r="G378" s="18">
        <v>1133819.0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2.75" customHeight="1">
      <c r="A379" s="15"/>
      <c r="B379" s="10"/>
      <c r="C379" s="16"/>
      <c r="D379" s="17"/>
      <c r="E379" s="22"/>
      <c r="F379" s="16"/>
      <c r="G379" s="18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2.75" customHeight="1">
      <c r="A380" s="15" t="s">
        <v>467</v>
      </c>
      <c r="B380" s="16">
        <v>23.07</v>
      </c>
      <c r="C380" s="16">
        <v>1.0</v>
      </c>
      <c r="D380" s="17">
        <f t="shared" ref="D380:D387" si="35">B380*C380</f>
        <v>23.07</v>
      </c>
      <c r="E380" s="22">
        <v>45369.0</v>
      </c>
      <c r="F380" s="16" t="s">
        <v>17</v>
      </c>
      <c r="G380" s="18" t="s">
        <v>468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2.75" customHeight="1">
      <c r="A381" s="15" t="s">
        <v>469</v>
      </c>
      <c r="B381" s="16">
        <v>287.16</v>
      </c>
      <c r="C381" s="16">
        <v>1.0</v>
      </c>
      <c r="D381" s="17">
        <f t="shared" si="35"/>
        <v>287.16</v>
      </c>
      <c r="E381" s="22">
        <v>45366.0</v>
      </c>
      <c r="F381" s="13" t="s">
        <v>401</v>
      </c>
      <c r="G381" s="14"/>
      <c r="H381" s="7"/>
      <c r="I381" s="7"/>
      <c r="J381" s="16" t="s">
        <v>470</v>
      </c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2.75" customHeight="1">
      <c r="A382" s="15" t="s">
        <v>471</v>
      </c>
      <c r="B382" s="16">
        <v>2.74</v>
      </c>
      <c r="C382" s="16">
        <v>1.0</v>
      </c>
      <c r="D382" s="17">
        <f t="shared" si="35"/>
        <v>2.74</v>
      </c>
      <c r="E382" s="22">
        <v>45434.0</v>
      </c>
      <c r="F382" s="16" t="s">
        <v>26</v>
      </c>
      <c r="G382" s="14" t="s">
        <v>472</v>
      </c>
      <c r="H382" s="7"/>
      <c r="I382" s="7"/>
      <c r="J382" s="16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2.75" customHeight="1">
      <c r="A383" s="7" t="s">
        <v>473</v>
      </c>
      <c r="B383" s="28">
        <v>60.67</v>
      </c>
      <c r="C383" s="16">
        <v>2.0</v>
      </c>
      <c r="D383" s="17">
        <f t="shared" si="35"/>
        <v>121.34</v>
      </c>
      <c r="E383" s="22">
        <v>45397.0</v>
      </c>
      <c r="F383" s="16" t="s">
        <v>160</v>
      </c>
      <c r="G383" s="18"/>
      <c r="H383" s="7"/>
      <c r="I383" s="7"/>
      <c r="J383" s="20" t="s">
        <v>474</v>
      </c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2.75" customHeight="1">
      <c r="A384" s="7" t="s">
        <v>475</v>
      </c>
      <c r="B384" s="28">
        <v>27.21</v>
      </c>
      <c r="C384" s="16">
        <v>2.0</v>
      </c>
      <c r="D384" s="17">
        <f t="shared" si="35"/>
        <v>54.42</v>
      </c>
      <c r="E384" s="22">
        <v>45617.0</v>
      </c>
      <c r="F384" s="16" t="s">
        <v>237</v>
      </c>
      <c r="G384" s="18"/>
      <c r="H384" s="7"/>
      <c r="I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2.75" customHeight="1">
      <c r="A385" s="7" t="s">
        <v>476</v>
      </c>
      <c r="B385" s="28">
        <v>43.23</v>
      </c>
      <c r="C385" s="16">
        <v>2.0</v>
      </c>
      <c r="D385" s="17">
        <f t="shared" si="35"/>
        <v>86.46</v>
      </c>
      <c r="E385" s="22">
        <v>45617.0</v>
      </c>
      <c r="F385" s="16" t="s">
        <v>237</v>
      </c>
      <c r="G385" s="18"/>
      <c r="H385" s="7"/>
      <c r="I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2.75" customHeight="1">
      <c r="A386" s="7" t="s">
        <v>477</v>
      </c>
      <c r="B386" s="7">
        <v>100.87</v>
      </c>
      <c r="C386" s="16">
        <v>2.0</v>
      </c>
      <c r="D386" s="17">
        <f t="shared" si="35"/>
        <v>201.74</v>
      </c>
      <c r="E386" s="22">
        <v>45617.0</v>
      </c>
      <c r="F386" s="16" t="s">
        <v>17</v>
      </c>
      <c r="G386" s="14" t="s">
        <v>478</v>
      </c>
      <c r="H386" s="7"/>
      <c r="I386" s="7"/>
      <c r="J386" s="7" t="s">
        <v>479</v>
      </c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2.75" customHeight="1">
      <c r="A387" s="7" t="s">
        <v>480</v>
      </c>
      <c r="B387" s="28">
        <v>32.99</v>
      </c>
      <c r="C387" s="16">
        <v>1.0</v>
      </c>
      <c r="D387" s="17">
        <f t="shared" si="35"/>
        <v>32.99</v>
      </c>
      <c r="E387" s="22">
        <v>45617.0</v>
      </c>
      <c r="F387" s="16" t="s">
        <v>237</v>
      </c>
      <c r="G387" s="14"/>
      <c r="H387" s="7"/>
      <c r="I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2.75" customHeight="1">
      <c r="A388" s="15"/>
      <c r="B388" s="57"/>
      <c r="C388" s="16"/>
      <c r="D388" s="17"/>
      <c r="E388" s="7"/>
      <c r="F388" s="7"/>
      <c r="G388" s="14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44" t="s">
        <v>481</v>
      </c>
      <c r="B389" s="4">
        <f>SUM(D390:D405)</f>
        <v>2957.44</v>
      </c>
      <c r="C389" s="7"/>
      <c r="D389" s="7"/>
      <c r="E389" s="7"/>
      <c r="F389" s="7"/>
      <c r="G389" s="14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2.75" customHeight="1">
      <c r="A390" s="15" t="s">
        <v>482</v>
      </c>
      <c r="B390" s="10">
        <v>304.0</v>
      </c>
      <c r="C390" s="16">
        <v>4.0</v>
      </c>
      <c r="D390" s="11">
        <f>C390*B390</f>
        <v>1216</v>
      </c>
      <c r="E390" s="22">
        <v>45222.0</v>
      </c>
      <c r="F390" s="16" t="s">
        <v>326</v>
      </c>
      <c r="G390" s="14"/>
      <c r="H390" s="16" t="s">
        <v>330</v>
      </c>
      <c r="I390" s="16" t="s">
        <v>483</v>
      </c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2.75" customHeight="1">
      <c r="A391" s="15" t="s">
        <v>214</v>
      </c>
      <c r="B391" s="10">
        <v>2.78</v>
      </c>
      <c r="C391" s="16">
        <v>4.0</v>
      </c>
      <c r="D391" s="17">
        <f t="shared" ref="D391:D404" si="36">B391*C391</f>
        <v>11.12</v>
      </c>
      <c r="E391" s="22">
        <v>45397.0</v>
      </c>
      <c r="F391" s="13" t="s">
        <v>128</v>
      </c>
      <c r="G391" s="14" t="s">
        <v>141</v>
      </c>
      <c r="H391" s="16"/>
      <c r="I391" s="7"/>
      <c r="J391" s="16" t="s">
        <v>296</v>
      </c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2.75" customHeight="1">
      <c r="A392" s="7" t="s">
        <v>157</v>
      </c>
      <c r="B392" s="28">
        <v>134.81</v>
      </c>
      <c r="C392" s="16">
        <v>2.0</v>
      </c>
      <c r="D392" s="17">
        <f t="shared" si="36"/>
        <v>269.62</v>
      </c>
      <c r="E392" s="22">
        <v>45397.0</v>
      </c>
      <c r="F392" s="16" t="s">
        <v>128</v>
      </c>
      <c r="G392" s="14"/>
      <c r="H392" s="7"/>
      <c r="I392" s="7"/>
      <c r="J392" s="16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2.75" customHeight="1">
      <c r="A393" s="7" t="s">
        <v>484</v>
      </c>
      <c r="B393" s="28">
        <v>33.85</v>
      </c>
      <c r="C393" s="16">
        <v>2.0</v>
      </c>
      <c r="D393" s="17">
        <f t="shared" si="36"/>
        <v>67.7</v>
      </c>
      <c r="E393" s="22">
        <v>45397.0</v>
      </c>
      <c r="F393" s="16" t="s">
        <v>160</v>
      </c>
      <c r="G393" s="14"/>
      <c r="H393" s="7"/>
      <c r="I393" s="7"/>
      <c r="J393" s="16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2.75" customHeight="1">
      <c r="A394" s="7" t="s">
        <v>485</v>
      </c>
      <c r="B394" s="28">
        <v>106.02</v>
      </c>
      <c r="C394" s="16">
        <v>4.0</v>
      </c>
      <c r="D394" s="17">
        <f t="shared" si="36"/>
        <v>424.08</v>
      </c>
      <c r="E394" s="22">
        <v>45397.0</v>
      </c>
      <c r="F394" s="16" t="s">
        <v>160</v>
      </c>
      <c r="G394" s="14"/>
      <c r="H394" s="7"/>
      <c r="I394" s="7"/>
      <c r="J394" s="16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2.75" customHeight="1">
      <c r="A395" s="15" t="s">
        <v>486</v>
      </c>
      <c r="B395" s="28">
        <v>93.84</v>
      </c>
      <c r="C395" s="16">
        <v>1.0</v>
      </c>
      <c r="D395" s="17">
        <f t="shared" si="36"/>
        <v>93.84</v>
      </c>
      <c r="E395" s="22">
        <v>45397.0</v>
      </c>
      <c r="F395" s="16" t="s">
        <v>128</v>
      </c>
      <c r="G395" s="14"/>
      <c r="H395" s="7"/>
      <c r="I395" s="7"/>
      <c r="J395" s="16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2.75" customHeight="1">
      <c r="A396" s="7" t="s">
        <v>171</v>
      </c>
      <c r="B396" s="28">
        <v>9.15</v>
      </c>
      <c r="C396" s="16">
        <v>2.0</v>
      </c>
      <c r="D396" s="17">
        <f t="shared" si="36"/>
        <v>18.3</v>
      </c>
      <c r="E396" s="22">
        <v>45397.0</v>
      </c>
      <c r="F396" s="16" t="s">
        <v>160</v>
      </c>
      <c r="G396" s="14"/>
      <c r="H396" s="7"/>
      <c r="I396" s="7"/>
      <c r="J396" s="16" t="s">
        <v>172</v>
      </c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2.75" customHeight="1">
      <c r="A397" s="7" t="s">
        <v>171</v>
      </c>
      <c r="B397" s="28">
        <v>23.05</v>
      </c>
      <c r="C397" s="16">
        <v>1.0</v>
      </c>
      <c r="D397" s="17">
        <f t="shared" si="36"/>
        <v>23.05</v>
      </c>
      <c r="E397" s="12" t="s">
        <v>487</v>
      </c>
      <c r="F397" s="16" t="s">
        <v>17</v>
      </c>
      <c r="G397" s="14" t="s">
        <v>488</v>
      </c>
      <c r="H397" s="7"/>
      <c r="I397" s="7"/>
      <c r="J397" s="16" t="s">
        <v>489</v>
      </c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2.75" customHeight="1">
      <c r="A398" s="7" t="s">
        <v>490</v>
      </c>
      <c r="B398" s="28">
        <v>186.38</v>
      </c>
      <c r="C398" s="16">
        <v>2.0</v>
      </c>
      <c r="D398" s="17">
        <f t="shared" si="36"/>
        <v>372.76</v>
      </c>
      <c r="E398" s="22">
        <v>45617.0</v>
      </c>
      <c r="F398" s="16" t="s">
        <v>17</v>
      </c>
      <c r="G398" s="14" t="s">
        <v>491</v>
      </c>
      <c r="H398" s="7"/>
      <c r="I398" s="7"/>
      <c r="J398" s="7" t="s">
        <v>479</v>
      </c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2.75" customHeight="1">
      <c r="A399" s="7" t="s">
        <v>492</v>
      </c>
      <c r="B399" s="7">
        <v>79.05</v>
      </c>
      <c r="C399" s="16">
        <v>2.0</v>
      </c>
      <c r="D399" s="17">
        <f t="shared" si="36"/>
        <v>158.1</v>
      </c>
      <c r="E399" s="22">
        <v>45617.0</v>
      </c>
      <c r="F399" s="16" t="s">
        <v>17</v>
      </c>
      <c r="G399" s="14" t="s">
        <v>493</v>
      </c>
      <c r="H399" s="7"/>
      <c r="I399" s="7"/>
      <c r="J399" s="7" t="s">
        <v>479</v>
      </c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2.75" customHeight="1">
      <c r="A400" s="15" t="s">
        <v>65</v>
      </c>
      <c r="B400" s="28">
        <v>6.02</v>
      </c>
      <c r="C400" s="16">
        <v>1.0</v>
      </c>
      <c r="D400" s="17">
        <f t="shared" si="36"/>
        <v>6.02</v>
      </c>
      <c r="E400" s="22">
        <v>45394.0</v>
      </c>
      <c r="F400" s="16" t="s">
        <v>49</v>
      </c>
      <c r="G400" s="14"/>
      <c r="H400" s="7"/>
      <c r="I400" s="7"/>
      <c r="J400" s="16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2.75" customHeight="1">
      <c r="A401" s="15" t="s">
        <v>67</v>
      </c>
      <c r="B401" s="28">
        <v>2.37</v>
      </c>
      <c r="C401" s="16">
        <v>1.0</v>
      </c>
      <c r="D401" s="17">
        <f t="shared" si="36"/>
        <v>2.37</v>
      </c>
      <c r="E401" s="22">
        <v>45394.0</v>
      </c>
      <c r="F401" s="16" t="s">
        <v>26</v>
      </c>
      <c r="G401" s="14"/>
      <c r="H401" s="7"/>
      <c r="I401" s="7"/>
      <c r="J401" s="16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2.75" customHeight="1">
      <c r="A402" s="15" t="s">
        <v>494</v>
      </c>
      <c r="B402" s="28">
        <v>9.26</v>
      </c>
      <c r="C402" s="16">
        <v>1.0</v>
      </c>
      <c r="D402" s="17">
        <f t="shared" si="36"/>
        <v>9.26</v>
      </c>
      <c r="E402" s="22">
        <v>45394.0</v>
      </c>
      <c r="F402" s="16" t="s">
        <v>49</v>
      </c>
      <c r="G402" s="14"/>
      <c r="H402" s="7"/>
      <c r="I402" s="7"/>
      <c r="J402" s="16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2.75" customHeight="1">
      <c r="A403" s="15" t="s">
        <v>69</v>
      </c>
      <c r="B403" s="28">
        <v>1.64</v>
      </c>
      <c r="C403" s="16">
        <v>3.0</v>
      </c>
      <c r="D403" s="17">
        <f t="shared" si="36"/>
        <v>4.92</v>
      </c>
      <c r="E403" s="22">
        <v>45394.0</v>
      </c>
      <c r="F403" s="16" t="s">
        <v>26</v>
      </c>
      <c r="G403" s="14"/>
      <c r="H403" s="7"/>
      <c r="I403" s="7"/>
      <c r="J403" s="16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2.75" customHeight="1">
      <c r="A404" s="15" t="s">
        <v>495</v>
      </c>
      <c r="B404" s="10">
        <v>280.3</v>
      </c>
      <c r="C404" s="16">
        <v>1.0</v>
      </c>
      <c r="D404" s="17">
        <f t="shared" si="36"/>
        <v>280.3</v>
      </c>
      <c r="E404" s="22">
        <v>45693.0</v>
      </c>
      <c r="F404" s="16" t="s">
        <v>200</v>
      </c>
      <c r="G404" s="14"/>
      <c r="H404" s="16"/>
      <c r="I404" s="7"/>
      <c r="J404" s="16" t="s">
        <v>496</v>
      </c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2.75" customHeight="1">
      <c r="A405" s="15"/>
      <c r="B405" s="10"/>
      <c r="C405" s="16"/>
      <c r="D405" s="11"/>
      <c r="E405" s="7"/>
      <c r="F405" s="7"/>
      <c r="G405" s="14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2.75" customHeight="1">
      <c r="A406" s="44" t="s">
        <v>497</v>
      </c>
      <c r="B406" s="4">
        <f>SUM(D407:D420)</f>
        <v>3930.33</v>
      </c>
      <c r="C406" s="16"/>
      <c r="D406" s="7"/>
      <c r="E406" s="7"/>
      <c r="F406" s="7"/>
      <c r="G406" s="14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2.75" customHeight="1">
      <c r="A407" s="15" t="s">
        <v>498</v>
      </c>
      <c r="B407" s="10">
        <v>1281.0</v>
      </c>
      <c r="C407" s="16">
        <v>2.0</v>
      </c>
      <c r="D407" s="11">
        <f t="shared" ref="D407:D408" si="37">C407*B407</f>
        <v>2562</v>
      </c>
      <c r="E407" s="22">
        <v>45222.0</v>
      </c>
      <c r="F407" s="16" t="s">
        <v>326</v>
      </c>
      <c r="G407" s="14"/>
      <c r="H407" s="16" t="s">
        <v>499</v>
      </c>
      <c r="I407" s="16" t="s">
        <v>500</v>
      </c>
      <c r="J407" s="16" t="s">
        <v>501</v>
      </c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2.75" customHeight="1">
      <c r="A408" s="15" t="s">
        <v>502</v>
      </c>
      <c r="B408" s="10">
        <v>289.0</v>
      </c>
      <c r="C408" s="16">
        <v>2.0</v>
      </c>
      <c r="D408" s="11">
        <f t="shared" si="37"/>
        <v>578</v>
      </c>
      <c r="E408" s="22">
        <v>45222.0</v>
      </c>
      <c r="F408" s="16" t="s">
        <v>326</v>
      </c>
      <c r="G408" s="14"/>
      <c r="H408" s="16" t="s">
        <v>330</v>
      </c>
      <c r="I408" s="16" t="s">
        <v>503</v>
      </c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2.75" customHeight="1">
      <c r="A409" s="7" t="s">
        <v>504</v>
      </c>
      <c r="B409" s="28">
        <v>69.65</v>
      </c>
      <c r="C409" s="16">
        <v>2.0</v>
      </c>
      <c r="D409" s="17">
        <f t="shared" ref="D409:D418" si="38">B409*C409</f>
        <v>139.3</v>
      </c>
      <c r="E409" s="22">
        <v>45397.0</v>
      </c>
      <c r="F409" s="16" t="s">
        <v>160</v>
      </c>
      <c r="G409" s="14"/>
      <c r="H409" s="7"/>
      <c r="I409" s="7"/>
      <c r="J409" s="16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2.75" customHeight="1">
      <c r="A410" s="7" t="s">
        <v>504</v>
      </c>
      <c r="B410" s="28">
        <v>77.22</v>
      </c>
      <c r="C410" s="16">
        <v>1.0</v>
      </c>
      <c r="D410" s="17">
        <f t="shared" si="38"/>
        <v>77.22</v>
      </c>
      <c r="E410" s="12" t="s">
        <v>487</v>
      </c>
      <c r="F410" s="16" t="s">
        <v>128</v>
      </c>
      <c r="G410" s="14" t="s">
        <v>505</v>
      </c>
      <c r="H410" s="7"/>
      <c r="I410" s="7"/>
      <c r="J410" s="16" t="s">
        <v>489</v>
      </c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2.75" customHeight="1">
      <c r="A411" s="15" t="s">
        <v>192</v>
      </c>
      <c r="B411" s="28">
        <v>11.8</v>
      </c>
      <c r="C411" s="16">
        <v>4.0</v>
      </c>
      <c r="D411" s="17">
        <f t="shared" si="38"/>
        <v>47.2</v>
      </c>
      <c r="E411" s="22">
        <v>45397.0</v>
      </c>
      <c r="F411" s="16" t="s">
        <v>160</v>
      </c>
      <c r="G411" s="14"/>
      <c r="H411" s="7"/>
      <c r="I411" s="7"/>
      <c r="J411" s="16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2.75" customHeight="1">
      <c r="A412" s="15" t="s">
        <v>506</v>
      </c>
      <c r="B412" s="28">
        <v>28.45</v>
      </c>
      <c r="C412" s="16">
        <v>2.0</v>
      </c>
      <c r="D412" s="17">
        <f t="shared" si="38"/>
        <v>56.9</v>
      </c>
      <c r="E412" s="22">
        <v>45397.0</v>
      </c>
      <c r="F412" s="16" t="s">
        <v>160</v>
      </c>
      <c r="G412" s="14"/>
      <c r="H412" s="7"/>
      <c r="I412" s="7"/>
      <c r="J412" s="16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2.75" customHeight="1">
      <c r="A413" s="15" t="s">
        <v>506</v>
      </c>
      <c r="B413" s="28">
        <v>64.76</v>
      </c>
      <c r="C413" s="16">
        <v>1.0</v>
      </c>
      <c r="D413" s="17">
        <f t="shared" si="38"/>
        <v>64.76</v>
      </c>
      <c r="E413" s="12" t="s">
        <v>487</v>
      </c>
      <c r="F413" s="16" t="s">
        <v>128</v>
      </c>
      <c r="G413" s="14" t="s">
        <v>507</v>
      </c>
      <c r="H413" s="7"/>
      <c r="I413" s="7"/>
      <c r="J413" s="16" t="s">
        <v>489</v>
      </c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2.75" customHeight="1">
      <c r="A414" s="7" t="s">
        <v>169</v>
      </c>
      <c r="B414" s="28">
        <v>23.03</v>
      </c>
      <c r="C414" s="16">
        <v>2.0</v>
      </c>
      <c r="D414" s="17">
        <f t="shared" si="38"/>
        <v>46.06</v>
      </c>
      <c r="E414" s="22">
        <v>45397.0</v>
      </c>
      <c r="F414" s="16" t="s">
        <v>160</v>
      </c>
      <c r="G414" s="14"/>
      <c r="H414" s="7"/>
      <c r="I414" s="7"/>
      <c r="J414" s="16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2.75" customHeight="1">
      <c r="A415" s="15" t="s">
        <v>179</v>
      </c>
      <c r="B415" s="28">
        <v>13.5</v>
      </c>
      <c r="C415" s="16">
        <v>2.0</v>
      </c>
      <c r="D415" s="17">
        <f t="shared" si="38"/>
        <v>27</v>
      </c>
      <c r="E415" s="22">
        <v>45397.0</v>
      </c>
      <c r="F415" s="16" t="s">
        <v>160</v>
      </c>
      <c r="G415" s="14"/>
      <c r="H415" s="7"/>
      <c r="I415" s="7"/>
      <c r="J415" s="16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2.75" customHeight="1">
      <c r="A416" s="7" t="s">
        <v>175</v>
      </c>
      <c r="B416" s="28">
        <v>23.7</v>
      </c>
      <c r="C416" s="16">
        <v>2.0</v>
      </c>
      <c r="D416" s="17">
        <f t="shared" si="38"/>
        <v>47.4</v>
      </c>
      <c r="E416" s="22">
        <v>45397.0</v>
      </c>
      <c r="F416" s="16" t="s">
        <v>160</v>
      </c>
      <c r="G416" s="14"/>
      <c r="H416" s="7"/>
      <c r="I416" s="7"/>
      <c r="J416" s="16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2.75" customHeight="1">
      <c r="A417" s="15" t="s">
        <v>508</v>
      </c>
      <c r="B417" s="28">
        <v>141.72</v>
      </c>
      <c r="C417" s="16">
        <v>1.0</v>
      </c>
      <c r="D417" s="17">
        <f t="shared" si="38"/>
        <v>141.72</v>
      </c>
      <c r="E417" s="22">
        <v>45693.0</v>
      </c>
      <c r="F417" s="16" t="s">
        <v>200</v>
      </c>
      <c r="G417" s="14"/>
      <c r="H417" s="7"/>
      <c r="I417" s="7"/>
      <c r="J417" s="16" t="s">
        <v>509</v>
      </c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2.75" customHeight="1">
      <c r="A418" s="15" t="s">
        <v>510</v>
      </c>
      <c r="B418" s="28">
        <v>142.77</v>
      </c>
      <c r="C418" s="16">
        <v>1.0</v>
      </c>
      <c r="D418" s="17">
        <f t="shared" si="38"/>
        <v>142.77</v>
      </c>
      <c r="E418" s="22">
        <v>45693.0</v>
      </c>
      <c r="F418" s="16" t="s">
        <v>200</v>
      </c>
      <c r="G418" s="14"/>
      <c r="H418" s="7"/>
      <c r="I418" s="7"/>
      <c r="J418" s="16" t="s">
        <v>511</v>
      </c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2.75" customHeight="1">
      <c r="A419" s="7"/>
      <c r="B419" s="28"/>
      <c r="C419" s="16"/>
      <c r="D419" s="17"/>
      <c r="E419" s="7"/>
      <c r="F419" s="16"/>
      <c r="G419" s="14"/>
      <c r="H419" s="7"/>
      <c r="I419" s="7"/>
      <c r="J419" s="16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2.75" customHeight="1">
      <c r="A420" s="15"/>
      <c r="B420" s="28"/>
      <c r="C420" s="7"/>
      <c r="D420" s="17"/>
      <c r="E420" s="7"/>
      <c r="F420" s="7"/>
      <c r="G420" s="14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2.75" customHeight="1">
      <c r="A421" s="44" t="s">
        <v>512</v>
      </c>
      <c r="B421" s="4">
        <f>SUM(D422:D427)</f>
        <v>1077.14</v>
      </c>
      <c r="C421" s="7"/>
      <c r="D421" s="7"/>
      <c r="E421" s="7"/>
      <c r="F421" s="7"/>
      <c r="G421" s="14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2.75" customHeight="1">
      <c r="A422" s="15" t="s">
        <v>513</v>
      </c>
      <c r="B422" s="10">
        <v>31.56</v>
      </c>
      <c r="C422" s="16">
        <v>1.0</v>
      </c>
      <c r="D422" s="17">
        <f t="shared" ref="D422:D426" si="39">B422*C422</f>
        <v>31.56</v>
      </c>
      <c r="E422" s="22">
        <v>45369.0</v>
      </c>
      <c r="F422" s="13" t="s">
        <v>26</v>
      </c>
      <c r="G422" s="14"/>
      <c r="H422" s="7"/>
      <c r="I422" s="7"/>
      <c r="J422" s="7" t="s">
        <v>514</v>
      </c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2.75" customHeight="1">
      <c r="A423" s="15" t="s">
        <v>515</v>
      </c>
      <c r="B423" s="28">
        <v>469.32</v>
      </c>
      <c r="C423" s="7">
        <v>2.0</v>
      </c>
      <c r="D423" s="17">
        <f t="shared" si="39"/>
        <v>938.64</v>
      </c>
      <c r="E423" s="22">
        <v>45397.0</v>
      </c>
      <c r="F423" s="7" t="s">
        <v>516</v>
      </c>
      <c r="G423" s="14"/>
      <c r="H423" s="16" t="s">
        <v>517</v>
      </c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2.75" customHeight="1">
      <c r="A424" s="15" t="s">
        <v>518</v>
      </c>
      <c r="B424" s="28">
        <v>0.92</v>
      </c>
      <c r="C424" s="16">
        <v>4.0</v>
      </c>
      <c r="D424" s="17">
        <f t="shared" si="39"/>
        <v>3.68</v>
      </c>
      <c r="E424" s="22">
        <v>45397.0</v>
      </c>
      <c r="F424" s="16" t="s">
        <v>150</v>
      </c>
      <c r="G424" s="14">
        <v>23314.0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2.75" customHeight="1">
      <c r="A425" s="7" t="s">
        <v>519</v>
      </c>
      <c r="B425" s="28">
        <v>4.92</v>
      </c>
      <c r="C425" s="7">
        <v>4.0</v>
      </c>
      <c r="D425" s="17">
        <f t="shared" si="39"/>
        <v>19.68</v>
      </c>
      <c r="E425" s="22">
        <v>45397.0</v>
      </c>
      <c r="F425" s="16" t="s">
        <v>128</v>
      </c>
      <c r="G425" s="14" t="s">
        <v>520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2.75" customHeight="1">
      <c r="A426" s="16" t="s">
        <v>521</v>
      </c>
      <c r="B426" s="28">
        <v>41.79</v>
      </c>
      <c r="C426" s="16">
        <v>2.0</v>
      </c>
      <c r="D426" s="17">
        <f t="shared" si="39"/>
        <v>83.58</v>
      </c>
      <c r="E426" s="22">
        <v>45397.0</v>
      </c>
      <c r="F426" s="16" t="s">
        <v>128</v>
      </c>
      <c r="G426" s="14" t="s">
        <v>522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2.75" customHeight="1">
      <c r="A427" s="15"/>
      <c r="B427" s="10"/>
      <c r="C427" s="16"/>
      <c r="D427" s="17"/>
      <c r="E427" s="7"/>
      <c r="F427" s="7"/>
      <c r="G427" s="14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2.75" customHeight="1">
      <c r="A428" s="44" t="s">
        <v>523</v>
      </c>
      <c r="B428" s="4">
        <f>SUM(D429:D438)</f>
        <v>3707</v>
      </c>
      <c r="C428" s="16"/>
      <c r="D428" s="7"/>
      <c r="E428" s="7"/>
      <c r="F428" s="7"/>
      <c r="G428" s="14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2.75" customHeight="1">
      <c r="A429" s="29" t="s">
        <v>524</v>
      </c>
      <c r="B429" s="10">
        <v>172.5</v>
      </c>
      <c r="C429" s="7">
        <v>2.0</v>
      </c>
      <c r="D429" s="11">
        <f t="shared" ref="D429:D434" si="40">C429*B429</f>
        <v>345</v>
      </c>
      <c r="E429" s="12">
        <v>45142.0</v>
      </c>
      <c r="F429" s="7" t="s">
        <v>525</v>
      </c>
      <c r="G429" s="14" t="s">
        <v>526</v>
      </c>
      <c r="H429" s="7" t="s">
        <v>525</v>
      </c>
      <c r="I429" s="7" t="s">
        <v>526</v>
      </c>
      <c r="J429" s="7" t="s">
        <v>45</v>
      </c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2.75" customHeight="1">
      <c r="A430" s="29" t="s">
        <v>527</v>
      </c>
      <c r="B430" s="10">
        <v>64.5</v>
      </c>
      <c r="C430" s="7">
        <v>7.0</v>
      </c>
      <c r="D430" s="11">
        <f t="shared" si="40"/>
        <v>451.5</v>
      </c>
      <c r="E430" s="12">
        <v>45142.0</v>
      </c>
      <c r="F430" s="13" t="s">
        <v>17</v>
      </c>
      <c r="G430" s="14" t="s">
        <v>528</v>
      </c>
      <c r="H430" s="22"/>
      <c r="I430" s="13"/>
      <c r="J430" s="7" t="s">
        <v>45</v>
      </c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2.75" customHeight="1">
      <c r="A431" s="29" t="s">
        <v>529</v>
      </c>
      <c r="B431" s="10">
        <v>359.0</v>
      </c>
      <c r="C431" s="7">
        <v>1.0</v>
      </c>
      <c r="D431" s="11">
        <f t="shared" si="40"/>
        <v>359</v>
      </c>
      <c r="E431" s="12">
        <v>45142.0</v>
      </c>
      <c r="F431" s="13" t="s">
        <v>530</v>
      </c>
      <c r="G431" s="14" t="s">
        <v>531</v>
      </c>
      <c r="H431" s="7" t="s">
        <v>532</v>
      </c>
      <c r="I431" s="13" t="s">
        <v>533</v>
      </c>
      <c r="J431" s="7" t="s">
        <v>45</v>
      </c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2.75" customHeight="1">
      <c r="A432" s="29" t="s">
        <v>534</v>
      </c>
      <c r="B432" s="10">
        <v>359.0</v>
      </c>
      <c r="C432" s="7">
        <v>1.0</v>
      </c>
      <c r="D432" s="11">
        <f t="shared" si="40"/>
        <v>359</v>
      </c>
      <c r="E432" s="12">
        <v>45142.0</v>
      </c>
      <c r="F432" s="13" t="s">
        <v>530</v>
      </c>
      <c r="G432" s="14" t="s">
        <v>531</v>
      </c>
      <c r="H432" s="7" t="s">
        <v>532</v>
      </c>
      <c r="I432" s="13" t="s">
        <v>533</v>
      </c>
      <c r="J432" s="7" t="s">
        <v>45</v>
      </c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2.75" customHeight="1">
      <c r="A433" s="29" t="s">
        <v>535</v>
      </c>
      <c r="B433" s="10">
        <v>565.0</v>
      </c>
      <c r="C433" s="7">
        <v>1.0</v>
      </c>
      <c r="D433" s="11">
        <f t="shared" si="40"/>
        <v>565</v>
      </c>
      <c r="E433" s="12">
        <v>45142.0</v>
      </c>
      <c r="F433" s="13" t="s">
        <v>536</v>
      </c>
      <c r="G433" s="14" t="s">
        <v>537</v>
      </c>
      <c r="H433" s="13" t="s">
        <v>536</v>
      </c>
      <c r="I433" s="7" t="s">
        <v>537</v>
      </c>
      <c r="J433" s="7" t="s">
        <v>45</v>
      </c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2.75" customHeight="1">
      <c r="A434" s="29" t="s">
        <v>538</v>
      </c>
      <c r="B434" s="10">
        <v>1627.5</v>
      </c>
      <c r="C434" s="7">
        <v>1.0</v>
      </c>
      <c r="D434" s="11">
        <f t="shared" si="40"/>
        <v>1627.5</v>
      </c>
      <c r="E434" s="12">
        <v>45142.0</v>
      </c>
      <c r="F434" s="13" t="s">
        <v>539</v>
      </c>
      <c r="G434" s="14" t="s">
        <v>540</v>
      </c>
      <c r="H434" s="13" t="s">
        <v>539</v>
      </c>
      <c r="I434" s="7" t="s">
        <v>540</v>
      </c>
      <c r="J434" s="7" t="s">
        <v>45</v>
      </c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2.75" customHeight="1">
      <c r="A435" s="29"/>
      <c r="B435" s="10"/>
      <c r="C435" s="7"/>
      <c r="D435" s="11"/>
      <c r="E435" s="12"/>
      <c r="F435" s="13"/>
      <c r="G435" s="14"/>
      <c r="H435" s="13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2.75" customHeight="1">
      <c r="A436" s="30" t="s">
        <v>541</v>
      </c>
      <c r="B436" s="10"/>
      <c r="C436" s="7"/>
      <c r="D436" s="11"/>
      <c r="E436" s="12"/>
      <c r="F436" s="13"/>
      <c r="G436" s="14"/>
      <c r="H436" s="13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2.75" customHeight="1">
      <c r="A437" s="15" t="s">
        <v>542</v>
      </c>
      <c r="B437" s="10">
        <v>0.0</v>
      </c>
      <c r="C437" s="16">
        <v>2.0</v>
      </c>
      <c r="D437" s="11">
        <f>C437*B437</f>
        <v>0</v>
      </c>
      <c r="E437" s="12">
        <v>45142.0</v>
      </c>
      <c r="F437" s="7" t="s">
        <v>47</v>
      </c>
      <c r="G437" s="14"/>
      <c r="H437" s="7"/>
      <c r="I437" s="7"/>
      <c r="J437" s="7" t="s">
        <v>45</v>
      </c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2.75" customHeight="1">
      <c r="A438" s="15"/>
      <c r="B438" s="10"/>
      <c r="C438" s="16"/>
      <c r="D438" s="17"/>
      <c r="E438" s="7"/>
      <c r="F438" s="7"/>
      <c r="G438" s="14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2.75" customHeight="1">
      <c r="A439" s="15"/>
      <c r="B439" s="10"/>
      <c r="C439" s="16"/>
      <c r="D439" s="17"/>
      <c r="E439" s="7"/>
      <c r="F439" s="7"/>
      <c r="G439" s="14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2.75" customHeight="1">
      <c r="A440" s="44" t="s">
        <v>543</v>
      </c>
      <c r="B440" s="4">
        <f>SUM(D441:D447)</f>
        <v>124.09</v>
      </c>
      <c r="C440" s="16"/>
      <c r="D440" s="7"/>
      <c r="E440" s="7"/>
      <c r="F440" s="7"/>
      <c r="G440" s="14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2.75" customHeight="1">
      <c r="A441" s="29" t="s">
        <v>544</v>
      </c>
      <c r="B441" s="10">
        <v>2.55</v>
      </c>
      <c r="C441" s="7">
        <v>5.0</v>
      </c>
      <c r="D441" s="11">
        <f t="shared" ref="D441:D446" si="41">C441*B441</f>
        <v>12.75</v>
      </c>
      <c r="E441" s="12">
        <v>45567.0</v>
      </c>
      <c r="F441" s="13" t="s">
        <v>545</v>
      </c>
      <c r="G441" s="14" t="s">
        <v>546</v>
      </c>
      <c r="H441" s="13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2.75" customHeight="1">
      <c r="A442" s="29" t="s">
        <v>547</v>
      </c>
      <c r="B442" s="10">
        <v>5.77</v>
      </c>
      <c r="C442" s="7">
        <v>5.0</v>
      </c>
      <c r="D442" s="11">
        <f t="shared" si="41"/>
        <v>28.85</v>
      </c>
      <c r="E442" s="12">
        <v>45568.0</v>
      </c>
      <c r="F442" s="13" t="s">
        <v>545</v>
      </c>
      <c r="G442" s="14" t="s">
        <v>548</v>
      </c>
      <c r="H442" s="13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2.75" customHeight="1">
      <c r="A443" s="29" t="s">
        <v>549</v>
      </c>
      <c r="B443" s="10">
        <v>6.36</v>
      </c>
      <c r="C443" s="7">
        <v>8.0</v>
      </c>
      <c r="D443" s="11">
        <f t="shared" si="41"/>
        <v>50.88</v>
      </c>
      <c r="E443" s="12" t="s">
        <v>487</v>
      </c>
      <c r="F443" s="13" t="s">
        <v>545</v>
      </c>
      <c r="G443" s="14" t="s">
        <v>550</v>
      </c>
      <c r="H443" s="13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2.75" customHeight="1">
      <c r="A444" s="58" t="s">
        <v>551</v>
      </c>
      <c r="B444" s="24">
        <v>4.5</v>
      </c>
      <c r="C444" s="42">
        <v>5.0</v>
      </c>
      <c r="D444" s="11">
        <f t="shared" si="41"/>
        <v>22.5</v>
      </c>
      <c r="E444" s="59">
        <v>46121.0</v>
      </c>
      <c r="F444" s="13" t="s">
        <v>545</v>
      </c>
      <c r="G444" s="60" t="s">
        <v>552</v>
      </c>
      <c r="H444" s="13"/>
      <c r="I444" s="7"/>
      <c r="J444" s="42" t="s">
        <v>553</v>
      </c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2.75" customHeight="1">
      <c r="A445" s="58" t="s">
        <v>554</v>
      </c>
      <c r="B445" s="24">
        <v>0.348</v>
      </c>
      <c r="C445" s="42">
        <v>10.0</v>
      </c>
      <c r="D445" s="11">
        <f t="shared" si="41"/>
        <v>3.48</v>
      </c>
      <c r="E445" s="59">
        <v>46122.0</v>
      </c>
      <c r="F445" s="13" t="s">
        <v>545</v>
      </c>
      <c r="G445" s="60" t="s">
        <v>555</v>
      </c>
      <c r="H445" s="13"/>
      <c r="I445" s="7"/>
      <c r="J445" s="42" t="s">
        <v>553</v>
      </c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2.75" customHeight="1">
      <c r="A446" s="58" t="s">
        <v>556</v>
      </c>
      <c r="B446" s="24">
        <v>0.563</v>
      </c>
      <c r="C446" s="42">
        <v>10.0</v>
      </c>
      <c r="D446" s="11">
        <f t="shared" si="41"/>
        <v>5.63</v>
      </c>
      <c r="E446" s="59">
        <v>46123.0</v>
      </c>
      <c r="F446" s="13" t="s">
        <v>545</v>
      </c>
      <c r="G446" s="61" t="s">
        <v>557</v>
      </c>
      <c r="H446" s="13"/>
      <c r="I446" s="7"/>
      <c r="J446" s="42" t="s">
        <v>553</v>
      </c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2.75" customHeight="1">
      <c r="A447" s="15"/>
      <c r="B447" s="10"/>
      <c r="C447" s="16"/>
      <c r="D447" s="17"/>
      <c r="E447" s="7"/>
      <c r="F447" s="7"/>
      <c r="G447" s="14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2.0" customHeight="1">
      <c r="A448" s="44" t="s">
        <v>558</v>
      </c>
      <c r="B448" s="4">
        <f>SUM(D449:D466)</f>
        <v>309</v>
      </c>
      <c r="C448" s="16"/>
      <c r="D448" s="7"/>
      <c r="E448" s="7"/>
      <c r="F448" s="7"/>
      <c r="G448" s="14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2.75" customHeight="1">
      <c r="A449" s="15" t="s">
        <v>559</v>
      </c>
      <c r="B449" s="10">
        <v>13.19</v>
      </c>
      <c r="C449" s="16">
        <v>1.0</v>
      </c>
      <c r="D449" s="17">
        <f t="shared" ref="D449:D463" si="42">B449*C449</f>
        <v>13.19</v>
      </c>
      <c r="E449" s="22">
        <v>45455.0</v>
      </c>
      <c r="F449" s="16" t="s">
        <v>49</v>
      </c>
      <c r="G449" s="14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2.75" customHeight="1">
      <c r="A450" s="10" t="s">
        <v>560</v>
      </c>
      <c r="B450" s="10">
        <v>34.26</v>
      </c>
      <c r="C450" s="16">
        <v>1.0</v>
      </c>
      <c r="D450" s="17">
        <f t="shared" si="42"/>
        <v>34.26</v>
      </c>
      <c r="E450" s="22">
        <v>45455.0</v>
      </c>
      <c r="F450" s="16" t="s">
        <v>49</v>
      </c>
      <c r="G450" s="14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2.75" customHeight="1">
      <c r="A451" s="15" t="s">
        <v>561</v>
      </c>
      <c r="B451" s="10">
        <v>11.88</v>
      </c>
      <c r="C451" s="16">
        <v>1.0</v>
      </c>
      <c r="D451" s="17">
        <f t="shared" si="42"/>
        <v>11.88</v>
      </c>
      <c r="E451" s="22">
        <v>45455.0</v>
      </c>
      <c r="F451" s="7" t="s">
        <v>49</v>
      </c>
      <c r="G451" s="14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2.75" customHeight="1">
      <c r="A452" s="62" t="s">
        <v>562</v>
      </c>
      <c r="B452" s="10">
        <v>33.99</v>
      </c>
      <c r="C452" s="16">
        <v>1.0</v>
      </c>
      <c r="D452" s="17">
        <f t="shared" si="42"/>
        <v>33.99</v>
      </c>
      <c r="E452" s="22">
        <v>45455.0</v>
      </c>
      <c r="F452" s="7" t="s">
        <v>49</v>
      </c>
      <c r="G452" s="14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2.75" customHeight="1">
      <c r="A453" s="62" t="s">
        <v>563</v>
      </c>
      <c r="B453" s="10">
        <v>29.69</v>
      </c>
      <c r="C453" s="16">
        <v>2.0</v>
      </c>
      <c r="D453" s="17">
        <f t="shared" si="42"/>
        <v>59.38</v>
      </c>
      <c r="E453" s="22">
        <v>45455.0</v>
      </c>
      <c r="F453" s="7" t="s">
        <v>49</v>
      </c>
      <c r="G453" s="14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2.75" customHeight="1">
      <c r="A454" s="62" t="s">
        <v>564</v>
      </c>
      <c r="B454" s="10">
        <v>24.49</v>
      </c>
      <c r="C454" s="16">
        <v>1.0</v>
      </c>
      <c r="D454" s="17">
        <f t="shared" si="42"/>
        <v>24.49</v>
      </c>
      <c r="E454" s="22">
        <v>45455.0</v>
      </c>
      <c r="F454" s="7" t="s">
        <v>49</v>
      </c>
      <c r="G454" s="14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2.75" customHeight="1">
      <c r="A455" s="62" t="s">
        <v>565</v>
      </c>
      <c r="B455" s="10">
        <v>32.74</v>
      </c>
      <c r="C455" s="16">
        <v>1.0</v>
      </c>
      <c r="D455" s="17">
        <f t="shared" si="42"/>
        <v>32.74</v>
      </c>
      <c r="E455" s="22">
        <v>45455.0</v>
      </c>
      <c r="F455" s="7" t="s">
        <v>26</v>
      </c>
      <c r="G455" s="14" t="s">
        <v>566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2.75" customHeight="1">
      <c r="A456" s="62" t="s">
        <v>567</v>
      </c>
      <c r="B456" s="10">
        <v>6.61</v>
      </c>
      <c r="C456" s="16">
        <v>1.0</v>
      </c>
      <c r="D456" s="17">
        <f t="shared" si="42"/>
        <v>6.61</v>
      </c>
      <c r="E456" s="22">
        <v>45455.0</v>
      </c>
      <c r="F456" s="7" t="s">
        <v>26</v>
      </c>
      <c r="G456" s="14" t="s">
        <v>568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2.75" customHeight="1">
      <c r="A457" s="62" t="s">
        <v>569</v>
      </c>
      <c r="B457" s="10">
        <v>1.35</v>
      </c>
      <c r="C457" s="16">
        <v>1.0</v>
      </c>
      <c r="D457" s="17">
        <f t="shared" si="42"/>
        <v>1.35</v>
      </c>
      <c r="E457" s="22">
        <v>45455.0</v>
      </c>
      <c r="F457" s="7" t="s">
        <v>26</v>
      </c>
      <c r="G457" s="14" t="s">
        <v>570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2.75" customHeight="1">
      <c r="A458" s="62" t="s">
        <v>571</v>
      </c>
      <c r="B458" s="10">
        <v>8.98</v>
      </c>
      <c r="C458" s="16">
        <v>1.0</v>
      </c>
      <c r="D458" s="17">
        <f t="shared" si="42"/>
        <v>8.98</v>
      </c>
      <c r="E458" s="22">
        <v>45632.0</v>
      </c>
      <c r="F458" s="7" t="s">
        <v>49</v>
      </c>
      <c r="G458" s="14" t="s">
        <v>572</v>
      </c>
      <c r="H458" s="7"/>
      <c r="I458" s="7"/>
      <c r="J458" s="7" t="s">
        <v>573</v>
      </c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2.75" customHeight="1">
      <c r="A459" s="7" t="s">
        <v>574</v>
      </c>
      <c r="B459" s="10">
        <v>25.95</v>
      </c>
      <c r="C459" s="16">
        <v>1.0</v>
      </c>
      <c r="D459" s="17">
        <f t="shared" si="42"/>
        <v>25.95</v>
      </c>
      <c r="E459" s="22">
        <v>45679.0</v>
      </c>
      <c r="F459" s="7" t="s">
        <v>49</v>
      </c>
      <c r="G459" s="14" t="s">
        <v>575</v>
      </c>
      <c r="H459" s="7" t="s">
        <v>576</v>
      </c>
      <c r="I459" s="7">
        <v>2721.0</v>
      </c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2.75" customHeight="1">
      <c r="A460" s="62" t="s">
        <v>577</v>
      </c>
      <c r="B460" s="10">
        <v>6.3</v>
      </c>
      <c r="C460" s="16">
        <v>1.0</v>
      </c>
      <c r="D460" s="17">
        <f t="shared" si="42"/>
        <v>6.3</v>
      </c>
      <c r="E460" s="22">
        <v>45688.0</v>
      </c>
      <c r="F460" s="7" t="s">
        <v>49</v>
      </c>
      <c r="G460" s="19" t="s">
        <v>578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2.75" customHeight="1">
      <c r="A461" s="62" t="s">
        <v>579</v>
      </c>
      <c r="B461" s="10">
        <v>15.99</v>
      </c>
      <c r="C461" s="16">
        <v>1.0</v>
      </c>
      <c r="D461" s="17">
        <f t="shared" si="42"/>
        <v>15.99</v>
      </c>
      <c r="E461" s="22">
        <v>45688.0</v>
      </c>
      <c r="F461" s="7" t="s">
        <v>49</v>
      </c>
      <c r="G461" s="19" t="s">
        <v>580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2.75" customHeight="1">
      <c r="A462" s="62" t="s">
        <v>581</v>
      </c>
      <c r="B462" s="10">
        <v>6.39</v>
      </c>
      <c r="C462" s="16">
        <v>4.0</v>
      </c>
      <c r="D462" s="17">
        <f t="shared" si="42"/>
        <v>25.56</v>
      </c>
      <c r="E462" s="22">
        <v>45688.0</v>
      </c>
      <c r="F462" s="7" t="s">
        <v>49</v>
      </c>
      <c r="G462" s="19" t="s">
        <v>582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2.75" customHeight="1">
      <c r="A463" s="62" t="s">
        <v>583</v>
      </c>
      <c r="B463" s="10">
        <v>8.33</v>
      </c>
      <c r="C463" s="16">
        <v>1.0</v>
      </c>
      <c r="D463" s="17">
        <f t="shared" si="42"/>
        <v>8.33</v>
      </c>
      <c r="E463" s="22">
        <v>45688.0</v>
      </c>
      <c r="F463" s="7" t="s">
        <v>49</v>
      </c>
      <c r="G463" s="19" t="s">
        <v>584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2.75" customHeight="1">
      <c r="A464" s="7"/>
      <c r="B464" s="10"/>
      <c r="C464" s="16"/>
      <c r="D464" s="17"/>
      <c r="E464" s="22"/>
      <c r="F464" s="7"/>
      <c r="G464" s="14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2.75" customHeight="1">
      <c r="A465" s="7"/>
      <c r="B465" s="10"/>
      <c r="C465" s="16"/>
      <c r="D465" s="17"/>
      <c r="E465" s="22"/>
      <c r="F465" s="7"/>
      <c r="G465" s="14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2.75" customHeight="1">
      <c r="A466" s="62"/>
      <c r="B466" s="10"/>
      <c r="C466" s="16"/>
      <c r="D466" s="17"/>
      <c r="E466" s="22"/>
      <c r="F466" s="7"/>
      <c r="G466" s="14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2.0" customHeight="1">
      <c r="A467" s="44" t="s">
        <v>585</v>
      </c>
      <c r="B467" s="4">
        <f>SUM(D468:D491)</f>
        <v>574.85</v>
      </c>
      <c r="C467" s="16"/>
      <c r="D467" s="7"/>
      <c r="E467" s="7"/>
      <c r="F467" s="7"/>
      <c r="G467" s="14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2.75" customHeight="1">
      <c r="A468" s="15" t="s">
        <v>586</v>
      </c>
      <c r="B468" s="10">
        <v>202.29</v>
      </c>
      <c r="C468" s="16">
        <v>1.0</v>
      </c>
      <c r="D468" s="17">
        <f t="shared" ref="D468:D476" si="43">B468*C468</f>
        <v>202.29</v>
      </c>
      <c r="E468" s="22">
        <v>45329.0</v>
      </c>
      <c r="F468" s="16" t="s">
        <v>49</v>
      </c>
      <c r="G468" s="14"/>
      <c r="H468" s="7"/>
      <c r="I468" s="7"/>
      <c r="J468" s="7" t="s">
        <v>587</v>
      </c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2.75" customHeight="1">
      <c r="A469" s="10" t="s">
        <v>588</v>
      </c>
      <c r="B469" s="10">
        <v>14.21</v>
      </c>
      <c r="C469" s="16">
        <v>1.0</v>
      </c>
      <c r="D469" s="17">
        <f t="shared" si="43"/>
        <v>14.21</v>
      </c>
      <c r="E469" s="22">
        <v>45397.0</v>
      </c>
      <c r="F469" s="16" t="s">
        <v>150</v>
      </c>
      <c r="G469" s="14">
        <v>227534.0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2.75" customHeight="1">
      <c r="A470" s="15" t="s">
        <v>589</v>
      </c>
      <c r="B470" s="10">
        <v>19.88</v>
      </c>
      <c r="C470" s="16">
        <v>1.0</v>
      </c>
      <c r="D470" s="17">
        <f t="shared" si="43"/>
        <v>19.88</v>
      </c>
      <c r="E470" s="22">
        <v>45411.0</v>
      </c>
      <c r="F470" s="7" t="s">
        <v>49</v>
      </c>
      <c r="G470" s="14"/>
      <c r="H470" s="7"/>
      <c r="I470" s="7"/>
      <c r="J470" s="7" t="s">
        <v>590</v>
      </c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2.75" customHeight="1">
      <c r="A471" s="62" t="s">
        <v>591</v>
      </c>
      <c r="B471" s="10">
        <v>35.74</v>
      </c>
      <c r="C471" s="16">
        <v>1.0</v>
      </c>
      <c r="D471" s="17">
        <f t="shared" si="43"/>
        <v>35.74</v>
      </c>
      <c r="E471" s="22">
        <v>45411.0</v>
      </c>
      <c r="F471" s="7" t="s">
        <v>26</v>
      </c>
      <c r="G471" s="14" t="s">
        <v>592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2.75" customHeight="1">
      <c r="A472" s="62" t="s">
        <v>593</v>
      </c>
      <c r="B472" s="10">
        <v>22.58</v>
      </c>
      <c r="C472" s="16">
        <v>1.0</v>
      </c>
      <c r="D472" s="17">
        <f t="shared" si="43"/>
        <v>22.58</v>
      </c>
      <c r="E472" s="22">
        <v>45434.0</v>
      </c>
      <c r="F472" s="7" t="s">
        <v>26</v>
      </c>
      <c r="G472" s="14" t="s">
        <v>594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2.75" customHeight="1">
      <c r="A473" s="62" t="s">
        <v>595</v>
      </c>
      <c r="B473" s="10">
        <v>34.54</v>
      </c>
      <c r="C473" s="16">
        <v>1.0</v>
      </c>
      <c r="D473" s="17">
        <f t="shared" si="43"/>
        <v>34.54</v>
      </c>
      <c r="E473" s="22">
        <v>45434.0</v>
      </c>
      <c r="F473" s="7" t="s">
        <v>26</v>
      </c>
      <c r="G473" s="14" t="s">
        <v>596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2.75" customHeight="1">
      <c r="A474" s="62" t="s">
        <v>597</v>
      </c>
      <c r="B474" s="10">
        <v>12.86</v>
      </c>
      <c r="C474" s="16">
        <v>1.0</v>
      </c>
      <c r="D474" s="17">
        <f t="shared" si="43"/>
        <v>12.86</v>
      </c>
      <c r="E474" s="22">
        <v>45632.0</v>
      </c>
      <c r="F474" s="7" t="s">
        <v>49</v>
      </c>
      <c r="G474" s="14" t="s">
        <v>598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2.75" customHeight="1">
      <c r="A475" s="62" t="s">
        <v>599</v>
      </c>
      <c r="B475" s="10">
        <v>67.14</v>
      </c>
      <c r="C475" s="16">
        <v>1.0</v>
      </c>
      <c r="D475" s="17">
        <f t="shared" si="43"/>
        <v>67.14</v>
      </c>
      <c r="E475" s="22">
        <v>45706.0</v>
      </c>
      <c r="F475" s="7" t="s">
        <v>49</v>
      </c>
      <c r="G475" s="14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2.75" customHeight="1">
      <c r="A476" s="62" t="s">
        <v>600</v>
      </c>
      <c r="B476" s="10">
        <v>59.9</v>
      </c>
      <c r="C476" s="16">
        <v>1.0</v>
      </c>
      <c r="D476" s="17">
        <f t="shared" si="43"/>
        <v>59.9</v>
      </c>
      <c r="E476" s="12" t="s">
        <v>487</v>
      </c>
      <c r="F476" s="16" t="s">
        <v>128</v>
      </c>
      <c r="G476" s="14" t="s">
        <v>601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2.75" customHeight="1">
      <c r="A477" s="62"/>
      <c r="B477" s="10"/>
      <c r="C477" s="16"/>
      <c r="D477" s="17"/>
      <c r="E477" s="22"/>
      <c r="F477" s="7"/>
      <c r="G477" s="14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2.0" customHeight="1">
      <c r="A478" s="44" t="s">
        <v>602</v>
      </c>
      <c r="B478" s="4">
        <f>SUM(D479:D490)</f>
        <v>105.71</v>
      </c>
      <c r="C478" s="16"/>
      <c r="D478" s="7"/>
      <c r="E478" s="7"/>
      <c r="F478" s="7"/>
      <c r="G478" s="14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2.75" customHeight="1">
      <c r="A479" s="15" t="s">
        <v>603</v>
      </c>
      <c r="B479" s="10">
        <v>54.98</v>
      </c>
      <c r="C479" s="16">
        <v>1.0</v>
      </c>
      <c r="D479" s="17">
        <f t="shared" ref="D479:D487" si="44">B479*C479</f>
        <v>54.98</v>
      </c>
      <c r="E479" s="22"/>
      <c r="F479" s="16" t="s">
        <v>49</v>
      </c>
      <c r="G479" s="14"/>
      <c r="H479" s="7"/>
      <c r="I479" s="7"/>
      <c r="J479" s="7" t="s">
        <v>587</v>
      </c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2.75" customHeight="1">
      <c r="A480" s="15" t="s">
        <v>604</v>
      </c>
      <c r="B480" s="10">
        <v>8.99</v>
      </c>
      <c r="C480" s="16">
        <v>1.0</v>
      </c>
      <c r="D480" s="17">
        <f t="shared" si="44"/>
        <v>8.99</v>
      </c>
      <c r="E480" s="22"/>
      <c r="F480" s="16" t="s">
        <v>49</v>
      </c>
      <c r="G480" s="14" t="s">
        <v>605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2.0" customHeight="1">
      <c r="A481" s="15" t="s">
        <v>66</v>
      </c>
      <c r="B481" s="10">
        <v>3.38</v>
      </c>
      <c r="C481" s="16">
        <v>2.0</v>
      </c>
      <c r="D481" s="17">
        <f t="shared" si="44"/>
        <v>6.76</v>
      </c>
      <c r="E481" s="22"/>
      <c r="F481" s="16" t="s">
        <v>49</v>
      </c>
      <c r="G481" s="18"/>
      <c r="H481" s="16"/>
      <c r="I481" s="16"/>
      <c r="J481" s="16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2.0" customHeight="1">
      <c r="A482" s="15" t="s">
        <v>65</v>
      </c>
      <c r="B482" s="10">
        <v>5.71</v>
      </c>
      <c r="C482" s="16">
        <v>2.0</v>
      </c>
      <c r="D482" s="17">
        <f t="shared" si="44"/>
        <v>11.42</v>
      </c>
      <c r="E482" s="22"/>
      <c r="F482" s="16" t="s">
        <v>49</v>
      </c>
      <c r="G482" s="18"/>
      <c r="H482" s="16"/>
      <c r="I482" s="16"/>
      <c r="J482" s="16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2.0" customHeight="1">
      <c r="A483" s="15" t="s">
        <v>69</v>
      </c>
      <c r="B483" s="10">
        <v>4.05</v>
      </c>
      <c r="C483" s="16">
        <v>2.0</v>
      </c>
      <c r="D483" s="17">
        <f t="shared" si="44"/>
        <v>8.1</v>
      </c>
      <c r="E483" s="22"/>
      <c r="F483" s="16" t="s">
        <v>49</v>
      </c>
      <c r="G483" s="18"/>
      <c r="H483" s="16"/>
      <c r="I483" s="16"/>
      <c r="J483" s="16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2.0" customHeight="1">
      <c r="A484" s="20" t="s">
        <v>297</v>
      </c>
      <c r="B484" s="10">
        <v>1.17</v>
      </c>
      <c r="C484" s="16">
        <v>1.0</v>
      </c>
      <c r="D484" s="17">
        <f t="shared" si="44"/>
        <v>1.17</v>
      </c>
      <c r="E484" s="22"/>
      <c r="F484" s="16" t="s">
        <v>26</v>
      </c>
      <c r="G484" s="18"/>
      <c r="H484" s="16"/>
      <c r="I484" s="16"/>
      <c r="J484" s="16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2.0" customHeight="1">
      <c r="A485" s="15" t="s">
        <v>99</v>
      </c>
      <c r="B485" s="10">
        <v>3.35</v>
      </c>
      <c r="C485" s="16">
        <v>2.0</v>
      </c>
      <c r="D485" s="17">
        <f t="shared" si="44"/>
        <v>6.7</v>
      </c>
      <c r="E485" s="22"/>
      <c r="F485" s="16" t="s">
        <v>26</v>
      </c>
      <c r="G485" s="18"/>
      <c r="H485" s="16"/>
      <c r="I485" s="16"/>
      <c r="J485" s="16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2.75" customHeight="1">
      <c r="A486" s="20" t="s">
        <v>57</v>
      </c>
      <c r="B486" s="10">
        <v>3.09</v>
      </c>
      <c r="C486" s="16">
        <v>2.0</v>
      </c>
      <c r="D486" s="17">
        <f t="shared" si="44"/>
        <v>6.18</v>
      </c>
      <c r="E486" s="22"/>
      <c r="F486" s="16" t="s">
        <v>49</v>
      </c>
      <c r="G486" s="14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2.0" customHeight="1">
      <c r="A487" s="20" t="s">
        <v>206</v>
      </c>
      <c r="B487" s="10">
        <v>1.41</v>
      </c>
      <c r="C487" s="16">
        <v>1.0</v>
      </c>
      <c r="D487" s="17">
        <f t="shared" si="44"/>
        <v>1.41</v>
      </c>
      <c r="E487" s="22"/>
      <c r="F487" s="16" t="s">
        <v>26</v>
      </c>
      <c r="G487" s="18"/>
      <c r="H487" s="16"/>
      <c r="I487" s="16"/>
      <c r="J487" s="16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2.0" customHeight="1">
      <c r="A488" s="15"/>
      <c r="B488" s="10"/>
      <c r="C488" s="16"/>
      <c r="D488" s="17"/>
      <c r="E488" s="22"/>
      <c r="F488" s="16"/>
      <c r="G488" s="18"/>
      <c r="H488" s="16"/>
      <c r="I488" s="16"/>
      <c r="J488" s="16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2.75" customHeight="1">
      <c r="A489" s="15"/>
      <c r="B489" s="10"/>
      <c r="C489" s="16"/>
      <c r="D489" s="17"/>
      <c r="E489" s="22"/>
      <c r="F489" s="16"/>
      <c r="G489" s="14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2.75" customHeight="1">
      <c r="A490" s="62"/>
      <c r="B490" s="10"/>
      <c r="C490" s="16"/>
      <c r="D490" s="17"/>
      <c r="E490" s="22"/>
      <c r="F490" s="7"/>
      <c r="G490" s="14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2.75" customHeight="1">
      <c r="A491" s="15"/>
      <c r="B491" s="10"/>
      <c r="C491" s="16"/>
      <c r="D491" s="17"/>
      <c r="E491" s="22"/>
      <c r="F491" s="7"/>
      <c r="G491" s="14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2.75" customHeight="1">
      <c r="A492" s="44" t="s">
        <v>606</v>
      </c>
      <c r="B492" s="4">
        <f>SUM(D493:D502)</f>
        <v>1173.19</v>
      </c>
      <c r="C492" s="16"/>
      <c r="D492" s="7"/>
      <c r="E492" s="7"/>
      <c r="F492" s="7"/>
      <c r="G492" s="14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2.75" customHeight="1">
      <c r="A493" s="15" t="s">
        <v>607</v>
      </c>
      <c r="B493" s="10">
        <v>385.0</v>
      </c>
      <c r="C493" s="16">
        <v>1.0</v>
      </c>
      <c r="D493" s="17">
        <f t="shared" ref="D493:D500" si="45">B493*C493</f>
        <v>385</v>
      </c>
      <c r="E493" s="22">
        <v>45215.0</v>
      </c>
      <c r="F493" s="7"/>
      <c r="G493" s="14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2.75" customHeight="1">
      <c r="A494" s="15" t="s">
        <v>608</v>
      </c>
      <c r="B494" s="10">
        <v>400.0</v>
      </c>
      <c r="C494" s="16">
        <v>1.0</v>
      </c>
      <c r="D494" s="17">
        <f t="shared" si="45"/>
        <v>400</v>
      </c>
      <c r="E494" s="22">
        <v>45302.0</v>
      </c>
      <c r="F494" s="7"/>
      <c r="G494" s="14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2.75" customHeight="1">
      <c r="A495" s="15" t="s">
        <v>609</v>
      </c>
      <c r="B495" s="10">
        <v>15.27</v>
      </c>
      <c r="C495" s="16">
        <v>1.0</v>
      </c>
      <c r="D495" s="17">
        <f t="shared" si="45"/>
        <v>15.27</v>
      </c>
      <c r="E495" s="22">
        <v>45406.0</v>
      </c>
      <c r="F495" s="7"/>
      <c r="G495" s="14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2.75" customHeight="1">
      <c r="A496" s="7" t="s">
        <v>610</v>
      </c>
      <c r="B496" s="7">
        <v>149.0</v>
      </c>
      <c r="C496" s="16">
        <v>1.0</v>
      </c>
      <c r="D496" s="17">
        <f t="shared" si="45"/>
        <v>149</v>
      </c>
      <c r="E496" s="22">
        <v>45366.0</v>
      </c>
      <c r="F496" s="7"/>
      <c r="G496" s="14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2.75" customHeight="1">
      <c r="A497" s="7" t="s">
        <v>611</v>
      </c>
      <c r="B497" s="7">
        <v>25.0</v>
      </c>
      <c r="C497" s="16">
        <v>1.0</v>
      </c>
      <c r="D497" s="17">
        <f t="shared" si="45"/>
        <v>25</v>
      </c>
      <c r="E497" s="22">
        <v>45455.0</v>
      </c>
      <c r="F497" s="7"/>
      <c r="G497" s="14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2.75" customHeight="1">
      <c r="A498" s="7" t="s">
        <v>612</v>
      </c>
      <c r="B498" s="7">
        <v>149.0</v>
      </c>
      <c r="C498" s="16">
        <v>1.0</v>
      </c>
      <c r="D498" s="17">
        <f t="shared" si="45"/>
        <v>149</v>
      </c>
      <c r="E498" s="22">
        <v>45567.0</v>
      </c>
      <c r="F498" s="7"/>
      <c r="G498" s="14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2.75" customHeight="1">
      <c r="A499" s="7" t="s">
        <v>613</v>
      </c>
      <c r="B499" s="7">
        <v>6.99</v>
      </c>
      <c r="C499" s="16">
        <v>1.0</v>
      </c>
      <c r="D499" s="17">
        <f t="shared" si="45"/>
        <v>6.99</v>
      </c>
      <c r="E499" s="22">
        <v>45568.0</v>
      </c>
      <c r="F499" s="7"/>
      <c r="G499" s="14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2.75" customHeight="1">
      <c r="A500" s="7" t="s">
        <v>614</v>
      </c>
      <c r="B500" s="7">
        <v>42.93</v>
      </c>
      <c r="C500" s="16">
        <v>1.0</v>
      </c>
      <c r="D500" s="17">
        <f t="shared" si="45"/>
        <v>42.93</v>
      </c>
      <c r="E500" s="22">
        <v>45628.0</v>
      </c>
      <c r="F500" s="7"/>
      <c r="G500" s="14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2.75" customHeight="1">
      <c r="A501" s="7"/>
      <c r="B501" s="7"/>
      <c r="C501" s="16"/>
      <c r="D501" s="17"/>
      <c r="E501" s="22"/>
      <c r="F501" s="7"/>
      <c r="G501" s="14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2.75" customHeight="1">
      <c r="A502" s="15"/>
      <c r="B502" s="10"/>
      <c r="C502" s="16"/>
      <c r="D502" s="17"/>
      <c r="E502" s="22"/>
      <c r="F502" s="7"/>
      <c r="G502" s="14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2.75" customHeight="1">
      <c r="A503" s="15"/>
      <c r="B503" s="28"/>
      <c r="C503" s="63" t="s">
        <v>3</v>
      </c>
      <c r="D503" s="64">
        <f>SUM(D2:D501)</f>
        <v>70502.73</v>
      </c>
      <c r="E503" s="7"/>
      <c r="F503" s="7"/>
      <c r="G503" s="14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2.75" customHeight="1">
      <c r="A504" s="65"/>
      <c r="B504" s="28"/>
      <c r="C504" s="7"/>
      <c r="D504" s="7"/>
      <c r="E504" s="7"/>
      <c r="F504" s="7"/>
      <c r="G504" s="14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2.75" customHeight="1">
      <c r="A505" s="65"/>
      <c r="B505" s="28"/>
      <c r="C505" s="7"/>
      <c r="D505" s="7"/>
      <c r="E505" s="7"/>
      <c r="F505" s="7"/>
      <c r="G505" s="14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2.75" customHeight="1">
      <c r="A506" s="65"/>
      <c r="B506" s="28"/>
      <c r="C506" s="7"/>
      <c r="D506" s="7"/>
      <c r="E506" s="7"/>
      <c r="F506" s="7"/>
      <c r="G506" s="14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2.75" customHeight="1">
      <c r="A507" s="65"/>
      <c r="B507" s="28"/>
      <c r="C507" s="7"/>
      <c r="D507" s="7"/>
      <c r="E507" s="7"/>
      <c r="F507" s="7"/>
      <c r="G507" s="14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2.75" customHeight="1">
      <c r="A508" s="65"/>
      <c r="B508" s="28"/>
      <c r="C508" s="7"/>
      <c r="D508" s="7"/>
      <c r="E508" s="7"/>
      <c r="F508" s="7"/>
      <c r="G508" s="14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2.75" customHeight="1">
      <c r="A509" s="65"/>
      <c r="B509" s="28"/>
      <c r="C509" s="7"/>
      <c r="D509" s="7"/>
      <c r="E509" s="7"/>
      <c r="F509" s="7"/>
      <c r="G509" s="14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2.75" customHeight="1">
      <c r="A510" s="65"/>
      <c r="B510" s="28"/>
      <c r="C510" s="7"/>
      <c r="D510" s="7"/>
      <c r="E510" s="7"/>
      <c r="F510" s="7"/>
      <c r="G510" s="14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2.75" customHeight="1">
      <c r="A511" s="65"/>
      <c r="B511" s="7"/>
      <c r="C511" s="7"/>
      <c r="D511" s="7"/>
      <c r="E511" s="7"/>
      <c r="F511" s="7"/>
      <c r="G511" s="14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2.75" customHeight="1">
      <c r="A512" s="65"/>
      <c r="B512" s="7"/>
      <c r="C512" s="7"/>
      <c r="D512" s="7"/>
      <c r="E512" s="7"/>
      <c r="F512" s="7"/>
      <c r="G512" s="14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2.75" customHeight="1">
      <c r="A513" s="65"/>
      <c r="B513" s="7"/>
      <c r="C513" s="7"/>
      <c r="D513" s="7"/>
      <c r="E513" s="7"/>
      <c r="F513" s="7"/>
      <c r="G513" s="14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2.75" customHeight="1">
      <c r="A514" s="65"/>
      <c r="B514" s="7"/>
      <c r="C514" s="7"/>
      <c r="D514" s="7"/>
      <c r="E514" s="7"/>
      <c r="F514" s="7"/>
      <c r="G514" s="14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2.75" customHeight="1">
      <c r="A515" s="65"/>
      <c r="B515" s="7"/>
      <c r="C515" s="7"/>
      <c r="D515" s="7"/>
      <c r="E515" s="7"/>
      <c r="F515" s="7"/>
      <c r="G515" s="14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2.75" customHeight="1">
      <c r="A516" s="65"/>
      <c r="B516" s="7"/>
      <c r="C516" s="7"/>
      <c r="D516" s="7"/>
      <c r="E516" s="7"/>
      <c r="F516" s="7"/>
      <c r="G516" s="14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2.75" customHeight="1">
      <c r="A517" s="65"/>
      <c r="B517" s="7"/>
      <c r="C517" s="7"/>
      <c r="D517" s="7"/>
      <c r="E517" s="7"/>
      <c r="F517" s="7"/>
      <c r="G517" s="14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2.75" customHeight="1">
      <c r="A518" s="65"/>
      <c r="B518" s="7"/>
      <c r="C518" s="7"/>
      <c r="D518" s="7"/>
      <c r="E518" s="7"/>
      <c r="F518" s="7"/>
      <c r="G518" s="14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2.75" customHeight="1">
      <c r="A519" s="65"/>
      <c r="B519" s="7"/>
      <c r="C519" s="7"/>
      <c r="D519" s="7"/>
      <c r="E519" s="7"/>
      <c r="F519" s="7"/>
      <c r="G519" s="14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2.75" customHeight="1">
      <c r="A520" s="65"/>
      <c r="B520" s="7"/>
      <c r="C520" s="7"/>
      <c r="D520" s="7"/>
      <c r="E520" s="7"/>
      <c r="F520" s="7"/>
      <c r="G520" s="14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2.75" customHeight="1">
      <c r="A521" s="65"/>
      <c r="B521" s="7"/>
      <c r="C521" s="7"/>
      <c r="D521" s="7"/>
      <c r="E521" s="7"/>
      <c r="F521" s="7"/>
      <c r="G521" s="14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2.75" customHeight="1">
      <c r="A522" s="65"/>
      <c r="B522" s="7"/>
      <c r="C522" s="7"/>
      <c r="D522" s="7"/>
      <c r="E522" s="7"/>
      <c r="F522" s="7"/>
      <c r="G522" s="14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2.75" customHeight="1">
      <c r="A523" s="65"/>
      <c r="B523" s="7"/>
      <c r="C523" s="7"/>
      <c r="D523" s="7"/>
      <c r="E523" s="7"/>
      <c r="F523" s="7"/>
      <c r="G523" s="14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2.75" customHeight="1">
      <c r="A524" s="65"/>
      <c r="B524" s="7"/>
      <c r="C524" s="7"/>
      <c r="D524" s="7"/>
      <c r="E524" s="7"/>
      <c r="F524" s="7"/>
      <c r="G524" s="14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2.75" customHeight="1">
      <c r="A525" s="65"/>
      <c r="B525" s="7"/>
      <c r="C525" s="7"/>
      <c r="D525" s="7"/>
      <c r="E525" s="7"/>
      <c r="F525" s="7"/>
      <c r="G525" s="14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2.75" customHeight="1">
      <c r="A526" s="65"/>
      <c r="B526" s="7"/>
      <c r="C526" s="7"/>
      <c r="D526" s="7"/>
      <c r="E526" s="7"/>
      <c r="F526" s="7"/>
      <c r="G526" s="14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2.75" customHeight="1">
      <c r="A527" s="65"/>
      <c r="B527" s="7"/>
      <c r="C527" s="7"/>
      <c r="D527" s="7"/>
      <c r="E527" s="7"/>
      <c r="F527" s="7"/>
      <c r="G527" s="14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2.75" customHeight="1">
      <c r="A528" s="65"/>
      <c r="B528" s="7"/>
      <c r="C528" s="7"/>
      <c r="D528" s="7"/>
      <c r="E528" s="7"/>
      <c r="F528" s="7"/>
      <c r="G528" s="14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2.75" customHeight="1">
      <c r="A529" s="65"/>
      <c r="B529" s="7"/>
      <c r="C529" s="7"/>
      <c r="D529" s="7"/>
      <c r="E529" s="7"/>
      <c r="F529" s="7"/>
      <c r="G529" s="14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2.75" customHeight="1">
      <c r="A530" s="65"/>
      <c r="B530" s="7"/>
      <c r="C530" s="7"/>
      <c r="D530" s="7"/>
      <c r="E530" s="7"/>
      <c r="F530" s="7"/>
      <c r="G530" s="14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2.75" customHeight="1">
      <c r="A531" s="65"/>
      <c r="B531" s="7"/>
      <c r="C531" s="7"/>
      <c r="D531" s="7"/>
      <c r="E531" s="7"/>
      <c r="F531" s="7"/>
      <c r="G531" s="14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2.75" customHeight="1">
      <c r="A532" s="65"/>
      <c r="B532" s="7"/>
      <c r="C532" s="7"/>
      <c r="D532" s="7"/>
      <c r="E532" s="7"/>
      <c r="F532" s="7"/>
      <c r="G532" s="14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2.75" customHeight="1">
      <c r="A533" s="65"/>
      <c r="B533" s="7"/>
      <c r="C533" s="7"/>
      <c r="D533" s="7"/>
      <c r="E533" s="7"/>
      <c r="F533" s="7"/>
      <c r="G533" s="14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2.75" customHeight="1">
      <c r="A534" s="65"/>
      <c r="B534" s="7"/>
      <c r="C534" s="7"/>
      <c r="D534" s="7"/>
      <c r="E534" s="7"/>
      <c r="F534" s="7"/>
      <c r="G534" s="14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2.75" customHeight="1">
      <c r="A535" s="65"/>
      <c r="B535" s="7"/>
      <c r="C535" s="7"/>
      <c r="D535" s="7"/>
      <c r="E535" s="7"/>
      <c r="F535" s="7"/>
      <c r="G535" s="14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2.75" customHeight="1">
      <c r="A536" s="65"/>
      <c r="B536" s="7"/>
      <c r="C536" s="7"/>
      <c r="D536" s="7"/>
      <c r="E536" s="7"/>
      <c r="F536" s="7"/>
      <c r="G536" s="14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2.75" customHeight="1">
      <c r="A537" s="65"/>
      <c r="B537" s="7"/>
      <c r="C537" s="7"/>
      <c r="D537" s="7"/>
      <c r="E537" s="7"/>
      <c r="F537" s="7"/>
      <c r="G537" s="14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2.75" customHeight="1">
      <c r="A538" s="65"/>
      <c r="B538" s="7"/>
      <c r="C538" s="7"/>
      <c r="D538" s="7"/>
      <c r="E538" s="7"/>
      <c r="F538" s="7"/>
      <c r="G538" s="14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2.75" customHeight="1">
      <c r="A539" s="65"/>
      <c r="B539" s="7"/>
      <c r="C539" s="7"/>
      <c r="D539" s="7"/>
      <c r="E539" s="7"/>
      <c r="F539" s="7"/>
      <c r="G539" s="14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2.75" customHeight="1">
      <c r="A540" s="65"/>
      <c r="B540" s="7"/>
      <c r="C540" s="7"/>
      <c r="D540" s="7"/>
      <c r="E540" s="7"/>
      <c r="F540" s="7"/>
      <c r="G540" s="14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2.75" customHeight="1">
      <c r="A541" s="65"/>
      <c r="B541" s="7"/>
      <c r="C541" s="7"/>
      <c r="D541" s="7"/>
      <c r="E541" s="7"/>
      <c r="F541" s="7"/>
      <c r="G541" s="14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2.75" customHeight="1">
      <c r="A542" s="65"/>
      <c r="B542" s="7"/>
      <c r="C542" s="7"/>
      <c r="D542" s="7"/>
      <c r="E542" s="7"/>
      <c r="F542" s="7"/>
      <c r="G542" s="14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2.75" customHeight="1">
      <c r="A543" s="65"/>
      <c r="B543" s="7"/>
      <c r="C543" s="7"/>
      <c r="D543" s="7"/>
      <c r="E543" s="7"/>
      <c r="F543" s="7"/>
      <c r="G543" s="14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2.75" customHeight="1">
      <c r="A544" s="65"/>
      <c r="B544" s="7"/>
      <c r="C544" s="7"/>
      <c r="D544" s="7"/>
      <c r="E544" s="7"/>
      <c r="F544" s="7"/>
      <c r="G544" s="14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2.75" customHeight="1">
      <c r="A545" s="65"/>
      <c r="B545" s="7"/>
      <c r="C545" s="7"/>
      <c r="D545" s="7"/>
      <c r="E545" s="7"/>
      <c r="F545" s="7"/>
      <c r="G545" s="14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2.75" customHeight="1">
      <c r="A546" s="65"/>
      <c r="B546" s="7"/>
      <c r="C546" s="7"/>
      <c r="D546" s="7"/>
      <c r="E546" s="7"/>
      <c r="F546" s="7"/>
      <c r="G546" s="14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2.75" customHeight="1">
      <c r="A547" s="65"/>
      <c r="B547" s="7"/>
      <c r="C547" s="7"/>
      <c r="D547" s="7"/>
      <c r="E547" s="7"/>
      <c r="F547" s="7"/>
      <c r="G547" s="14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2.75" customHeight="1">
      <c r="A548" s="65"/>
      <c r="B548" s="7"/>
      <c r="C548" s="7"/>
      <c r="D548" s="7"/>
      <c r="E548" s="7"/>
      <c r="F548" s="7"/>
      <c r="G548" s="14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2.75" customHeight="1">
      <c r="A549" s="65"/>
      <c r="B549" s="7"/>
      <c r="C549" s="7"/>
      <c r="D549" s="7"/>
      <c r="E549" s="7"/>
      <c r="F549" s="7"/>
      <c r="G549" s="14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2.75" customHeight="1">
      <c r="A550" s="65"/>
      <c r="B550" s="7"/>
      <c r="C550" s="7"/>
      <c r="D550" s="7"/>
      <c r="E550" s="7"/>
      <c r="F550" s="7"/>
      <c r="G550" s="14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2.75" customHeight="1">
      <c r="A551" s="65"/>
      <c r="B551" s="7"/>
      <c r="C551" s="7"/>
      <c r="D551" s="7"/>
      <c r="E551" s="7"/>
      <c r="F551" s="7"/>
      <c r="G551" s="14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2.75" customHeight="1">
      <c r="A552" s="65"/>
      <c r="B552" s="7"/>
      <c r="C552" s="7"/>
      <c r="D552" s="7"/>
      <c r="E552" s="7"/>
      <c r="F552" s="7"/>
      <c r="G552" s="14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2.75" customHeight="1">
      <c r="A553" s="65"/>
      <c r="B553" s="7"/>
      <c r="C553" s="7"/>
      <c r="D553" s="7"/>
      <c r="E553" s="7"/>
      <c r="F553" s="7"/>
      <c r="G553" s="14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2.75" customHeight="1">
      <c r="A554" s="65"/>
      <c r="B554" s="7"/>
      <c r="C554" s="7"/>
      <c r="D554" s="7"/>
      <c r="E554" s="7"/>
      <c r="F554" s="7"/>
      <c r="G554" s="14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2.75" customHeight="1">
      <c r="A555" s="65"/>
      <c r="B555" s="7"/>
      <c r="C555" s="7"/>
      <c r="D555" s="7"/>
      <c r="E555" s="7"/>
      <c r="F555" s="7"/>
      <c r="G555" s="14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2.75" customHeight="1">
      <c r="A556" s="65"/>
      <c r="B556" s="7"/>
      <c r="C556" s="7"/>
      <c r="D556" s="7"/>
      <c r="E556" s="7"/>
      <c r="F556" s="7"/>
      <c r="G556" s="14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2.75" customHeight="1">
      <c r="A557" s="65"/>
      <c r="B557" s="7"/>
      <c r="C557" s="7"/>
      <c r="D557" s="7"/>
      <c r="E557" s="7"/>
      <c r="F557" s="7"/>
      <c r="G557" s="14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2.75" customHeight="1">
      <c r="A558" s="65"/>
      <c r="B558" s="7"/>
      <c r="C558" s="7"/>
      <c r="D558" s="7"/>
      <c r="E558" s="7"/>
      <c r="F558" s="7"/>
      <c r="G558" s="14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2.75" customHeight="1">
      <c r="A559" s="65"/>
      <c r="B559" s="7"/>
      <c r="C559" s="7"/>
      <c r="D559" s="7"/>
      <c r="E559" s="7"/>
      <c r="F559" s="7"/>
      <c r="G559" s="14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2.75" customHeight="1">
      <c r="A560" s="65"/>
      <c r="B560" s="7"/>
      <c r="C560" s="7"/>
      <c r="D560" s="7"/>
      <c r="E560" s="7"/>
      <c r="F560" s="7"/>
      <c r="G560" s="14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2.75" customHeight="1">
      <c r="A561" s="65"/>
      <c r="B561" s="7"/>
      <c r="C561" s="7"/>
      <c r="D561" s="7"/>
      <c r="E561" s="7"/>
      <c r="F561" s="7"/>
      <c r="G561" s="14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2.75" customHeight="1">
      <c r="A562" s="65"/>
      <c r="B562" s="7"/>
      <c r="C562" s="7"/>
      <c r="D562" s="7"/>
      <c r="E562" s="7"/>
      <c r="F562" s="7"/>
      <c r="G562" s="14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2.75" customHeight="1">
      <c r="A563" s="65"/>
      <c r="B563" s="7"/>
      <c r="C563" s="7"/>
      <c r="D563" s="7"/>
      <c r="E563" s="7"/>
      <c r="F563" s="7"/>
      <c r="G563" s="14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2.75" customHeight="1">
      <c r="A564" s="65"/>
      <c r="B564" s="7"/>
      <c r="C564" s="7"/>
      <c r="D564" s="7"/>
      <c r="E564" s="7"/>
      <c r="F564" s="7"/>
      <c r="G564" s="14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2.75" customHeight="1">
      <c r="A565" s="65"/>
      <c r="B565" s="7"/>
      <c r="C565" s="7"/>
      <c r="D565" s="7"/>
      <c r="E565" s="7"/>
      <c r="F565" s="7"/>
      <c r="G565" s="14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2.75" customHeight="1">
      <c r="A566" s="65"/>
      <c r="B566" s="7"/>
      <c r="C566" s="7"/>
      <c r="D566" s="7"/>
      <c r="E566" s="7"/>
      <c r="F566" s="7"/>
      <c r="G566" s="14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2.75" customHeight="1">
      <c r="A567" s="65"/>
      <c r="B567" s="7"/>
      <c r="C567" s="7"/>
      <c r="D567" s="7"/>
      <c r="E567" s="7"/>
      <c r="F567" s="7"/>
      <c r="G567" s="14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2.75" customHeight="1">
      <c r="A568" s="65"/>
      <c r="B568" s="7"/>
      <c r="C568" s="7"/>
      <c r="D568" s="7"/>
      <c r="E568" s="7"/>
      <c r="F568" s="7"/>
      <c r="G568" s="14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2.75" customHeight="1">
      <c r="A569" s="65"/>
      <c r="B569" s="7"/>
      <c r="C569" s="7"/>
      <c r="D569" s="7"/>
      <c r="E569" s="7"/>
      <c r="F569" s="7"/>
      <c r="G569" s="14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2.75" customHeight="1">
      <c r="A570" s="65"/>
      <c r="B570" s="7"/>
      <c r="C570" s="7"/>
      <c r="D570" s="7"/>
      <c r="E570" s="7"/>
      <c r="F570" s="7"/>
      <c r="G570" s="14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2.75" customHeight="1">
      <c r="A571" s="65"/>
      <c r="B571" s="7"/>
      <c r="C571" s="7"/>
      <c r="D571" s="7"/>
      <c r="E571" s="7"/>
      <c r="F571" s="7"/>
      <c r="G571" s="14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2.75" customHeight="1">
      <c r="A572" s="65"/>
      <c r="B572" s="7"/>
      <c r="C572" s="7"/>
      <c r="D572" s="7"/>
      <c r="E572" s="7"/>
      <c r="F572" s="7"/>
      <c r="G572" s="14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2.75" customHeight="1">
      <c r="A573" s="65"/>
      <c r="B573" s="7"/>
      <c r="C573" s="7"/>
      <c r="D573" s="7"/>
      <c r="E573" s="7"/>
      <c r="F573" s="7"/>
      <c r="G573" s="14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2.75" customHeight="1">
      <c r="A574" s="65"/>
      <c r="B574" s="7"/>
      <c r="C574" s="7"/>
      <c r="D574" s="7"/>
      <c r="E574" s="7"/>
      <c r="F574" s="7"/>
      <c r="G574" s="14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2.75" customHeight="1">
      <c r="A575" s="65"/>
      <c r="B575" s="7"/>
      <c r="C575" s="7"/>
      <c r="D575" s="7"/>
      <c r="E575" s="7"/>
      <c r="F575" s="7"/>
      <c r="G575" s="14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2.75" customHeight="1">
      <c r="A576" s="65"/>
      <c r="B576" s="7"/>
      <c r="C576" s="7"/>
      <c r="D576" s="7"/>
      <c r="E576" s="7"/>
      <c r="F576" s="7"/>
      <c r="G576" s="14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2.75" customHeight="1">
      <c r="A577" s="65"/>
      <c r="B577" s="7"/>
      <c r="C577" s="7"/>
      <c r="D577" s="7"/>
      <c r="E577" s="7"/>
      <c r="F577" s="7"/>
      <c r="G577" s="14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2.75" customHeight="1">
      <c r="A578" s="65"/>
      <c r="B578" s="7"/>
      <c r="C578" s="7"/>
      <c r="D578" s="7"/>
      <c r="E578" s="7"/>
      <c r="F578" s="7"/>
      <c r="G578" s="14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2.75" customHeight="1">
      <c r="A579" s="65"/>
      <c r="B579" s="7"/>
      <c r="C579" s="7"/>
      <c r="D579" s="7"/>
      <c r="E579" s="7"/>
      <c r="F579" s="7"/>
      <c r="G579" s="14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2.75" customHeight="1">
      <c r="A580" s="65"/>
      <c r="B580" s="7"/>
      <c r="C580" s="7"/>
      <c r="D580" s="7"/>
      <c r="E580" s="7"/>
      <c r="F580" s="7"/>
      <c r="G580" s="14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2.75" customHeight="1">
      <c r="A581" s="65"/>
      <c r="B581" s="7"/>
      <c r="C581" s="7"/>
      <c r="D581" s="7"/>
      <c r="E581" s="7"/>
      <c r="F581" s="7"/>
      <c r="G581" s="14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2.75" customHeight="1">
      <c r="A582" s="65"/>
      <c r="B582" s="7"/>
      <c r="C582" s="7"/>
      <c r="D582" s="7"/>
      <c r="E582" s="7"/>
      <c r="F582" s="7"/>
      <c r="G582" s="14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2.75" customHeight="1">
      <c r="A583" s="65"/>
      <c r="B583" s="7"/>
      <c r="C583" s="7"/>
      <c r="D583" s="7"/>
      <c r="E583" s="7"/>
      <c r="F583" s="7"/>
      <c r="G583" s="14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2.75" customHeight="1">
      <c r="A584" s="65"/>
      <c r="B584" s="7"/>
      <c r="C584" s="7"/>
      <c r="D584" s="7"/>
      <c r="E584" s="7"/>
      <c r="F584" s="7"/>
      <c r="G584" s="14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2.75" customHeight="1">
      <c r="A585" s="65"/>
      <c r="B585" s="7"/>
      <c r="C585" s="7"/>
      <c r="D585" s="7"/>
      <c r="E585" s="7"/>
      <c r="F585" s="7"/>
      <c r="G585" s="14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2.75" customHeight="1">
      <c r="A586" s="65"/>
      <c r="B586" s="7"/>
      <c r="C586" s="7"/>
      <c r="D586" s="7"/>
      <c r="E586" s="7"/>
      <c r="F586" s="7"/>
      <c r="G586" s="14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2.75" customHeight="1">
      <c r="A587" s="65"/>
      <c r="B587" s="7"/>
      <c r="C587" s="7"/>
      <c r="D587" s="7"/>
      <c r="E587" s="7"/>
      <c r="F587" s="7"/>
      <c r="G587" s="14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2.75" customHeight="1">
      <c r="A588" s="65"/>
      <c r="B588" s="7"/>
      <c r="C588" s="7"/>
      <c r="D588" s="7"/>
      <c r="E588" s="7"/>
      <c r="F588" s="7"/>
      <c r="G588" s="14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2.75" customHeight="1">
      <c r="A589" s="65"/>
      <c r="B589" s="7"/>
      <c r="C589" s="7"/>
      <c r="D589" s="7"/>
      <c r="E589" s="7"/>
      <c r="F589" s="7"/>
      <c r="G589" s="14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2.75" customHeight="1">
      <c r="A590" s="65"/>
      <c r="B590" s="7"/>
      <c r="C590" s="7"/>
      <c r="D590" s="7"/>
      <c r="E590" s="7"/>
      <c r="F590" s="7"/>
      <c r="G590" s="14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2.75" customHeight="1">
      <c r="A591" s="65"/>
      <c r="B591" s="7"/>
      <c r="C591" s="7"/>
      <c r="D591" s="7"/>
      <c r="E591" s="7"/>
      <c r="F591" s="7"/>
      <c r="G591" s="14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2.75" customHeight="1">
      <c r="A592" s="65"/>
      <c r="B592" s="7"/>
      <c r="C592" s="7"/>
      <c r="D592" s="7"/>
      <c r="E592" s="7"/>
      <c r="F592" s="7"/>
      <c r="G592" s="14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2.75" customHeight="1">
      <c r="A593" s="65"/>
      <c r="B593" s="7"/>
      <c r="C593" s="7"/>
      <c r="D593" s="7"/>
      <c r="E593" s="7"/>
      <c r="F593" s="7"/>
      <c r="G593" s="14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2.75" customHeight="1">
      <c r="A594" s="65"/>
      <c r="B594" s="7"/>
      <c r="C594" s="7"/>
      <c r="D594" s="7"/>
      <c r="E594" s="7"/>
      <c r="F594" s="7"/>
      <c r="G594" s="14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2.75" customHeight="1">
      <c r="A595" s="65"/>
      <c r="B595" s="7"/>
      <c r="C595" s="7"/>
      <c r="D595" s="7"/>
      <c r="E595" s="7"/>
      <c r="F595" s="7"/>
      <c r="G595" s="14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2.75" customHeight="1">
      <c r="A596" s="65"/>
      <c r="B596" s="7"/>
      <c r="C596" s="7"/>
      <c r="D596" s="7"/>
      <c r="E596" s="7"/>
      <c r="F596" s="7"/>
      <c r="G596" s="14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2.75" customHeight="1">
      <c r="A597" s="65"/>
      <c r="B597" s="7"/>
      <c r="C597" s="7"/>
      <c r="D597" s="7"/>
      <c r="E597" s="7"/>
      <c r="F597" s="7"/>
      <c r="G597" s="14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2.75" customHeight="1">
      <c r="A598" s="65"/>
      <c r="B598" s="7"/>
      <c r="C598" s="7"/>
      <c r="D598" s="7"/>
      <c r="E598" s="7"/>
      <c r="F598" s="7"/>
      <c r="G598" s="14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2.75" customHeight="1">
      <c r="A599" s="65"/>
      <c r="B599" s="7"/>
      <c r="C599" s="7"/>
      <c r="D599" s="7"/>
      <c r="E599" s="7"/>
      <c r="F599" s="7"/>
      <c r="G599" s="14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2.75" customHeight="1">
      <c r="A600" s="65"/>
      <c r="B600" s="7"/>
      <c r="C600" s="7"/>
      <c r="D600" s="7"/>
      <c r="E600" s="7"/>
      <c r="F600" s="7"/>
      <c r="G600" s="14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2.75" customHeight="1">
      <c r="A601" s="65"/>
      <c r="B601" s="7"/>
      <c r="C601" s="7"/>
      <c r="D601" s="7"/>
      <c r="E601" s="7"/>
      <c r="F601" s="7"/>
      <c r="G601" s="14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2.75" customHeight="1">
      <c r="A602" s="65"/>
      <c r="B602" s="7"/>
      <c r="C602" s="7"/>
      <c r="D602" s="7"/>
      <c r="E602" s="7"/>
      <c r="F602" s="7"/>
      <c r="G602" s="14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2.75" customHeight="1">
      <c r="A603" s="65"/>
      <c r="B603" s="7"/>
      <c r="C603" s="7"/>
      <c r="D603" s="7"/>
      <c r="E603" s="7"/>
      <c r="F603" s="7"/>
      <c r="G603" s="14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2.75" customHeight="1">
      <c r="A604" s="65"/>
      <c r="B604" s="7"/>
      <c r="C604" s="7"/>
      <c r="D604" s="7"/>
      <c r="E604" s="7"/>
      <c r="F604" s="7"/>
      <c r="G604" s="14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2.75" customHeight="1">
      <c r="A605" s="65"/>
      <c r="B605" s="7"/>
      <c r="C605" s="7"/>
      <c r="D605" s="7"/>
      <c r="E605" s="7"/>
      <c r="F605" s="7"/>
      <c r="G605" s="14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2.75" customHeight="1">
      <c r="A606" s="65"/>
      <c r="B606" s="7"/>
      <c r="C606" s="7"/>
      <c r="D606" s="7"/>
      <c r="E606" s="7"/>
      <c r="F606" s="7"/>
      <c r="G606" s="14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2.75" customHeight="1">
      <c r="A607" s="65"/>
      <c r="B607" s="7"/>
      <c r="C607" s="7"/>
      <c r="D607" s="7"/>
      <c r="E607" s="7"/>
      <c r="F607" s="7"/>
      <c r="G607" s="14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2.75" customHeight="1">
      <c r="A608" s="65"/>
      <c r="B608" s="7"/>
      <c r="C608" s="7"/>
      <c r="D608" s="7"/>
      <c r="E608" s="7"/>
      <c r="F608" s="7"/>
      <c r="G608" s="14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2.75" customHeight="1">
      <c r="A609" s="65"/>
      <c r="B609" s="7"/>
      <c r="C609" s="7"/>
      <c r="D609" s="7"/>
      <c r="E609" s="7"/>
      <c r="F609" s="7"/>
      <c r="G609" s="14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2.75" customHeight="1">
      <c r="A610" s="65"/>
      <c r="B610" s="7"/>
      <c r="C610" s="7"/>
      <c r="D610" s="7"/>
      <c r="E610" s="7"/>
      <c r="F610" s="7"/>
      <c r="G610" s="14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2.75" customHeight="1">
      <c r="A611" s="65"/>
      <c r="B611" s="7"/>
      <c r="C611" s="7"/>
      <c r="D611" s="7"/>
      <c r="E611" s="7"/>
      <c r="F611" s="7"/>
      <c r="G611" s="14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2.75" customHeight="1">
      <c r="A612" s="65"/>
      <c r="B612" s="7"/>
      <c r="C612" s="7"/>
      <c r="D612" s="7"/>
      <c r="E612" s="7"/>
      <c r="F612" s="7"/>
      <c r="G612" s="14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2.75" customHeight="1">
      <c r="A613" s="65"/>
      <c r="B613" s="7"/>
      <c r="C613" s="7"/>
      <c r="D613" s="7"/>
      <c r="E613" s="7"/>
      <c r="F613" s="7"/>
      <c r="G613" s="14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2.75" customHeight="1">
      <c r="A614" s="65"/>
      <c r="B614" s="7"/>
      <c r="C614" s="7"/>
      <c r="D614" s="7"/>
      <c r="E614" s="7"/>
      <c r="F614" s="7"/>
      <c r="G614" s="14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2.75" customHeight="1">
      <c r="A615" s="65"/>
      <c r="B615" s="7"/>
      <c r="C615" s="7"/>
      <c r="D615" s="7"/>
      <c r="E615" s="7"/>
      <c r="F615" s="7"/>
      <c r="G615" s="14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2.75" customHeight="1">
      <c r="A616" s="65"/>
      <c r="B616" s="7"/>
      <c r="C616" s="7"/>
      <c r="D616" s="7"/>
      <c r="E616" s="7"/>
      <c r="F616" s="7"/>
      <c r="G616" s="14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2.75" customHeight="1">
      <c r="A617" s="65"/>
      <c r="B617" s="7"/>
      <c r="C617" s="7"/>
      <c r="D617" s="7"/>
      <c r="E617" s="7"/>
      <c r="F617" s="7"/>
      <c r="G617" s="14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2.75" customHeight="1">
      <c r="A618" s="65"/>
      <c r="B618" s="7"/>
      <c r="C618" s="7"/>
      <c r="D618" s="7"/>
      <c r="E618" s="7"/>
      <c r="F618" s="7"/>
      <c r="G618" s="14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2.75" customHeight="1">
      <c r="A619" s="65"/>
      <c r="B619" s="7"/>
      <c r="C619" s="7"/>
      <c r="D619" s="7"/>
      <c r="E619" s="7"/>
      <c r="F619" s="7"/>
      <c r="G619" s="14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2.75" customHeight="1">
      <c r="A620" s="65"/>
      <c r="B620" s="7"/>
      <c r="C620" s="7"/>
      <c r="D620" s="7"/>
      <c r="E620" s="7"/>
      <c r="F620" s="7"/>
      <c r="G620" s="14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2.75" customHeight="1">
      <c r="A621" s="65"/>
      <c r="B621" s="7"/>
      <c r="C621" s="7"/>
      <c r="D621" s="7"/>
      <c r="E621" s="7"/>
      <c r="F621" s="7"/>
      <c r="G621" s="14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2.75" customHeight="1">
      <c r="A622" s="65"/>
      <c r="B622" s="7"/>
      <c r="C622" s="7"/>
      <c r="D622" s="7"/>
      <c r="E622" s="7"/>
      <c r="F622" s="7"/>
      <c r="G622" s="14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2.75" customHeight="1">
      <c r="A623" s="65"/>
      <c r="B623" s="7"/>
      <c r="C623" s="7"/>
      <c r="D623" s="7"/>
      <c r="E623" s="7"/>
      <c r="F623" s="7"/>
      <c r="G623" s="14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2.75" customHeight="1">
      <c r="A624" s="65"/>
      <c r="B624" s="7"/>
      <c r="C624" s="7"/>
      <c r="D624" s="7"/>
      <c r="E624" s="7"/>
      <c r="F624" s="7"/>
      <c r="G624" s="14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2.75" customHeight="1">
      <c r="A625" s="65"/>
      <c r="B625" s="7"/>
      <c r="C625" s="7"/>
      <c r="D625" s="7"/>
      <c r="E625" s="7"/>
      <c r="F625" s="7"/>
      <c r="G625" s="14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2.75" customHeight="1">
      <c r="A626" s="65"/>
      <c r="B626" s="7"/>
      <c r="C626" s="7"/>
      <c r="D626" s="7"/>
      <c r="E626" s="7"/>
      <c r="F626" s="7"/>
      <c r="G626" s="14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2.75" customHeight="1">
      <c r="A627" s="65"/>
      <c r="B627" s="7"/>
      <c r="C627" s="7"/>
      <c r="D627" s="7"/>
      <c r="E627" s="7"/>
      <c r="F627" s="7"/>
      <c r="G627" s="14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2.75" customHeight="1">
      <c r="A628" s="65"/>
      <c r="B628" s="7"/>
      <c r="C628" s="7"/>
      <c r="D628" s="7"/>
      <c r="E628" s="7"/>
      <c r="F628" s="7"/>
      <c r="G628" s="14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2.75" customHeight="1">
      <c r="A629" s="65"/>
      <c r="B629" s="7"/>
      <c r="C629" s="7"/>
      <c r="D629" s="7"/>
      <c r="E629" s="7"/>
      <c r="F629" s="7"/>
      <c r="G629" s="14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2.75" customHeight="1">
      <c r="A630" s="65"/>
      <c r="B630" s="7"/>
      <c r="C630" s="7"/>
      <c r="D630" s="7"/>
      <c r="E630" s="7"/>
      <c r="F630" s="7"/>
      <c r="G630" s="14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2.75" customHeight="1">
      <c r="A631" s="65"/>
      <c r="B631" s="7"/>
      <c r="C631" s="7"/>
      <c r="D631" s="7"/>
      <c r="E631" s="7"/>
      <c r="F631" s="7"/>
      <c r="G631" s="14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2.75" customHeight="1">
      <c r="A632" s="65"/>
      <c r="B632" s="7"/>
      <c r="C632" s="7"/>
      <c r="D632" s="7"/>
      <c r="E632" s="7"/>
      <c r="F632" s="7"/>
      <c r="G632" s="14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2.75" customHeight="1">
      <c r="A633" s="65"/>
      <c r="B633" s="7"/>
      <c r="C633" s="7"/>
      <c r="D633" s="7"/>
      <c r="E633" s="7"/>
      <c r="F633" s="7"/>
      <c r="G633" s="14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2.75" customHeight="1">
      <c r="A634" s="65"/>
      <c r="B634" s="7"/>
      <c r="C634" s="7"/>
      <c r="D634" s="7"/>
      <c r="E634" s="7"/>
      <c r="F634" s="7"/>
      <c r="G634" s="14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2.75" customHeight="1">
      <c r="A635" s="65"/>
      <c r="B635" s="7"/>
      <c r="C635" s="7"/>
      <c r="D635" s="7"/>
      <c r="E635" s="7"/>
      <c r="F635" s="7"/>
      <c r="G635" s="14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2.75" customHeight="1">
      <c r="A636" s="65"/>
      <c r="B636" s="7"/>
      <c r="C636" s="7"/>
      <c r="D636" s="7"/>
      <c r="E636" s="7"/>
      <c r="F636" s="7"/>
      <c r="G636" s="14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2.75" customHeight="1">
      <c r="A637" s="65"/>
      <c r="B637" s="7"/>
      <c r="C637" s="7"/>
      <c r="D637" s="7"/>
      <c r="E637" s="7"/>
      <c r="F637" s="7"/>
      <c r="G637" s="14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2.75" customHeight="1">
      <c r="A638" s="65"/>
      <c r="B638" s="7"/>
      <c r="C638" s="7"/>
      <c r="D638" s="7"/>
      <c r="E638" s="7"/>
      <c r="F638" s="7"/>
      <c r="G638" s="14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2.75" customHeight="1">
      <c r="A639" s="65"/>
      <c r="B639" s="7"/>
      <c r="C639" s="7"/>
      <c r="D639" s="7"/>
      <c r="E639" s="7"/>
      <c r="F639" s="7"/>
      <c r="G639" s="14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2.75" customHeight="1">
      <c r="A640" s="65"/>
      <c r="B640" s="7"/>
      <c r="C640" s="7"/>
      <c r="D640" s="7"/>
      <c r="E640" s="7"/>
      <c r="F640" s="7"/>
      <c r="G640" s="14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2.75" customHeight="1">
      <c r="A641" s="65"/>
      <c r="B641" s="7"/>
      <c r="C641" s="7"/>
      <c r="D641" s="7"/>
      <c r="E641" s="7"/>
      <c r="F641" s="7"/>
      <c r="G641" s="14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2.75" customHeight="1">
      <c r="A642" s="65"/>
      <c r="B642" s="7"/>
      <c r="C642" s="7"/>
      <c r="D642" s="7"/>
      <c r="E642" s="7"/>
      <c r="F642" s="7"/>
      <c r="G642" s="14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2.75" customHeight="1">
      <c r="A643" s="65"/>
      <c r="B643" s="7"/>
      <c r="C643" s="7"/>
      <c r="D643" s="7"/>
      <c r="E643" s="7"/>
      <c r="F643" s="7"/>
      <c r="G643" s="14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2.75" customHeight="1">
      <c r="A644" s="65"/>
      <c r="B644" s="7"/>
      <c r="C644" s="7"/>
      <c r="D644" s="7"/>
      <c r="E644" s="7"/>
      <c r="F644" s="7"/>
      <c r="G644" s="14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2.75" customHeight="1">
      <c r="A645" s="65"/>
      <c r="B645" s="7"/>
      <c r="C645" s="7"/>
      <c r="D645" s="7"/>
      <c r="E645" s="7"/>
      <c r="F645" s="7"/>
      <c r="G645" s="14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2.75" customHeight="1">
      <c r="A646" s="65"/>
      <c r="B646" s="7"/>
      <c r="C646" s="7"/>
      <c r="D646" s="7"/>
      <c r="E646" s="7"/>
      <c r="F646" s="7"/>
      <c r="G646" s="14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2.75" customHeight="1">
      <c r="A647" s="65"/>
      <c r="B647" s="7"/>
      <c r="C647" s="7"/>
      <c r="D647" s="7"/>
      <c r="E647" s="7"/>
      <c r="F647" s="7"/>
      <c r="G647" s="14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2.75" customHeight="1">
      <c r="A648" s="65"/>
      <c r="B648" s="7"/>
      <c r="C648" s="7"/>
      <c r="D648" s="7"/>
      <c r="E648" s="7"/>
      <c r="F648" s="7"/>
      <c r="G648" s="14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2.75" customHeight="1">
      <c r="A649" s="65"/>
      <c r="B649" s="7"/>
      <c r="C649" s="7"/>
      <c r="D649" s="7"/>
      <c r="E649" s="7"/>
      <c r="F649" s="7"/>
      <c r="G649" s="14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2.75" customHeight="1">
      <c r="A650" s="65"/>
      <c r="B650" s="7"/>
      <c r="C650" s="7"/>
      <c r="D650" s="7"/>
      <c r="E650" s="7"/>
      <c r="F650" s="7"/>
      <c r="G650" s="14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2.75" customHeight="1">
      <c r="A651" s="65"/>
      <c r="B651" s="7"/>
      <c r="C651" s="7"/>
      <c r="D651" s="7"/>
      <c r="E651" s="7"/>
      <c r="F651" s="7"/>
      <c r="G651" s="14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2.75" customHeight="1">
      <c r="A652" s="65"/>
      <c r="B652" s="7"/>
      <c r="C652" s="7"/>
      <c r="D652" s="7"/>
      <c r="E652" s="7"/>
      <c r="F652" s="7"/>
      <c r="G652" s="14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2.75" customHeight="1">
      <c r="A653" s="65"/>
      <c r="B653" s="7"/>
      <c r="C653" s="7"/>
      <c r="D653" s="7"/>
      <c r="E653" s="7"/>
      <c r="F653" s="7"/>
      <c r="G653" s="14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2.75" customHeight="1">
      <c r="A654" s="65"/>
      <c r="B654" s="7"/>
      <c r="C654" s="7"/>
      <c r="D654" s="7"/>
      <c r="E654" s="7"/>
      <c r="F654" s="7"/>
      <c r="G654" s="14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2.75" customHeight="1">
      <c r="A655" s="65"/>
      <c r="B655" s="7"/>
      <c r="C655" s="7"/>
      <c r="D655" s="7"/>
      <c r="E655" s="7"/>
      <c r="F655" s="7"/>
      <c r="G655" s="14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2.75" customHeight="1">
      <c r="A656" s="65"/>
      <c r="B656" s="7"/>
      <c r="C656" s="7"/>
      <c r="D656" s="7"/>
      <c r="E656" s="7"/>
      <c r="F656" s="7"/>
      <c r="G656" s="14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2.75" customHeight="1">
      <c r="A657" s="65"/>
      <c r="B657" s="7"/>
      <c r="C657" s="7"/>
      <c r="D657" s="7"/>
      <c r="E657" s="7"/>
      <c r="F657" s="7"/>
      <c r="G657" s="14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2.75" customHeight="1">
      <c r="A658" s="65"/>
      <c r="B658" s="7"/>
      <c r="C658" s="7"/>
      <c r="D658" s="7"/>
      <c r="E658" s="7"/>
      <c r="F658" s="7"/>
      <c r="G658" s="14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2.75" customHeight="1">
      <c r="A659" s="65"/>
      <c r="B659" s="7"/>
      <c r="C659" s="7"/>
      <c r="D659" s="7"/>
      <c r="E659" s="7"/>
      <c r="F659" s="7"/>
      <c r="G659" s="14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2.75" customHeight="1">
      <c r="A660" s="65"/>
      <c r="B660" s="7"/>
      <c r="C660" s="7"/>
      <c r="D660" s="7"/>
      <c r="E660" s="7"/>
      <c r="F660" s="7"/>
      <c r="G660" s="14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2.75" customHeight="1">
      <c r="A661" s="65"/>
      <c r="B661" s="7"/>
      <c r="C661" s="7"/>
      <c r="D661" s="7"/>
      <c r="E661" s="7"/>
      <c r="F661" s="7"/>
      <c r="G661" s="14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2.75" customHeight="1">
      <c r="A662" s="65"/>
      <c r="B662" s="7"/>
      <c r="C662" s="7"/>
      <c r="D662" s="7"/>
      <c r="E662" s="7"/>
      <c r="F662" s="7"/>
      <c r="G662" s="14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2.75" customHeight="1">
      <c r="A663" s="65"/>
      <c r="B663" s="7"/>
      <c r="C663" s="7"/>
      <c r="D663" s="7"/>
      <c r="E663" s="7"/>
      <c r="F663" s="7"/>
      <c r="G663" s="14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2.75" customHeight="1">
      <c r="A664" s="65"/>
      <c r="B664" s="7"/>
      <c r="C664" s="7"/>
      <c r="D664" s="7"/>
      <c r="E664" s="7"/>
      <c r="F664" s="7"/>
      <c r="G664" s="14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2.75" customHeight="1">
      <c r="A665" s="65"/>
      <c r="B665" s="7"/>
      <c r="C665" s="7"/>
      <c r="D665" s="7"/>
      <c r="E665" s="7"/>
      <c r="F665" s="7"/>
      <c r="G665" s="14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2.75" customHeight="1">
      <c r="A666" s="65"/>
      <c r="B666" s="7"/>
      <c r="C666" s="7"/>
      <c r="D666" s="7"/>
      <c r="E666" s="7"/>
      <c r="F666" s="7"/>
      <c r="G666" s="14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2.75" customHeight="1">
      <c r="A667" s="65"/>
      <c r="B667" s="7"/>
      <c r="C667" s="7"/>
      <c r="D667" s="7"/>
      <c r="E667" s="7"/>
      <c r="F667" s="7"/>
      <c r="G667" s="14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2.75" customHeight="1">
      <c r="A668" s="65"/>
      <c r="B668" s="7"/>
      <c r="C668" s="7"/>
      <c r="D668" s="7"/>
      <c r="E668" s="7"/>
      <c r="F668" s="7"/>
      <c r="G668" s="14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2.75" customHeight="1">
      <c r="A669" s="65"/>
      <c r="B669" s="7"/>
      <c r="C669" s="7"/>
      <c r="D669" s="7"/>
      <c r="E669" s="7"/>
      <c r="F669" s="7"/>
      <c r="G669" s="14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2.75" customHeight="1">
      <c r="A670" s="65"/>
      <c r="B670" s="7"/>
      <c r="C670" s="7"/>
      <c r="D670" s="7"/>
      <c r="E670" s="7"/>
      <c r="F670" s="7"/>
      <c r="G670" s="14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2.75" customHeight="1">
      <c r="A671" s="65"/>
      <c r="B671" s="7"/>
      <c r="C671" s="7"/>
      <c r="D671" s="7"/>
      <c r="E671" s="7"/>
      <c r="F671" s="7"/>
      <c r="G671" s="14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2.75" customHeight="1">
      <c r="A672" s="65"/>
      <c r="B672" s="7"/>
      <c r="C672" s="7"/>
      <c r="D672" s="7"/>
      <c r="E672" s="7"/>
      <c r="F672" s="7"/>
      <c r="G672" s="14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2.75" customHeight="1">
      <c r="A673" s="65"/>
      <c r="B673" s="7"/>
      <c r="C673" s="7"/>
      <c r="D673" s="7"/>
      <c r="E673" s="7"/>
      <c r="F673" s="7"/>
      <c r="G673" s="14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2.75" customHeight="1">
      <c r="A674" s="65"/>
      <c r="B674" s="7"/>
      <c r="C674" s="7"/>
      <c r="D674" s="7"/>
      <c r="E674" s="7"/>
      <c r="F674" s="7"/>
      <c r="G674" s="14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2.75" customHeight="1">
      <c r="A675" s="65"/>
      <c r="B675" s="7"/>
      <c r="C675" s="7"/>
      <c r="D675" s="7"/>
      <c r="E675" s="7"/>
      <c r="F675" s="7"/>
      <c r="G675" s="14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2.75" customHeight="1">
      <c r="A676" s="65"/>
      <c r="B676" s="7"/>
      <c r="C676" s="7"/>
      <c r="D676" s="7"/>
      <c r="E676" s="7"/>
      <c r="F676" s="7"/>
      <c r="G676" s="14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2.75" customHeight="1">
      <c r="A677" s="65"/>
      <c r="B677" s="7"/>
      <c r="C677" s="7"/>
      <c r="D677" s="7"/>
      <c r="E677" s="7"/>
      <c r="F677" s="7"/>
      <c r="G677" s="14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2.75" customHeight="1">
      <c r="A678" s="65"/>
      <c r="B678" s="7"/>
      <c r="C678" s="7"/>
      <c r="D678" s="7"/>
      <c r="E678" s="7"/>
      <c r="F678" s="7"/>
      <c r="G678" s="14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2.75" customHeight="1">
      <c r="A679" s="65"/>
      <c r="B679" s="7"/>
      <c r="C679" s="7"/>
      <c r="D679" s="7"/>
      <c r="E679" s="7"/>
      <c r="F679" s="7"/>
      <c r="G679" s="14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2.75" customHeight="1">
      <c r="A680" s="65"/>
      <c r="B680" s="7"/>
      <c r="C680" s="7"/>
      <c r="D680" s="7"/>
      <c r="E680" s="7"/>
      <c r="F680" s="7"/>
      <c r="G680" s="14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2.75" customHeight="1">
      <c r="A681" s="65"/>
      <c r="B681" s="7"/>
      <c r="C681" s="7"/>
      <c r="D681" s="7"/>
      <c r="E681" s="7"/>
      <c r="F681" s="7"/>
      <c r="G681" s="14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2.75" customHeight="1">
      <c r="A682" s="65"/>
      <c r="B682" s="7"/>
      <c r="C682" s="7"/>
      <c r="D682" s="7"/>
      <c r="E682" s="7"/>
      <c r="F682" s="7"/>
      <c r="G682" s="14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2.75" customHeight="1">
      <c r="A683" s="65"/>
      <c r="B683" s="7"/>
      <c r="C683" s="7"/>
      <c r="D683" s="7"/>
      <c r="E683" s="7"/>
      <c r="F683" s="7"/>
      <c r="G683" s="14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2.75" customHeight="1">
      <c r="A684" s="65"/>
      <c r="B684" s="7"/>
      <c r="C684" s="7"/>
      <c r="D684" s="7"/>
      <c r="E684" s="7"/>
      <c r="F684" s="7"/>
      <c r="G684" s="14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2.75" customHeight="1">
      <c r="A685" s="65"/>
      <c r="B685" s="7"/>
      <c r="C685" s="7"/>
      <c r="D685" s="7"/>
      <c r="E685" s="7"/>
      <c r="F685" s="7"/>
      <c r="G685" s="14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2.75" customHeight="1">
      <c r="A686" s="65"/>
      <c r="B686" s="7"/>
      <c r="C686" s="7"/>
      <c r="D686" s="7"/>
      <c r="E686" s="7"/>
      <c r="F686" s="7"/>
      <c r="G686" s="14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2.75" customHeight="1">
      <c r="A687" s="65"/>
      <c r="B687" s="7"/>
      <c r="C687" s="7"/>
      <c r="D687" s="7"/>
      <c r="E687" s="7"/>
      <c r="F687" s="7"/>
      <c r="G687" s="14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2.75" customHeight="1">
      <c r="A688" s="65"/>
      <c r="B688" s="7"/>
      <c r="C688" s="7"/>
      <c r="D688" s="7"/>
      <c r="E688" s="7"/>
      <c r="F688" s="7"/>
      <c r="G688" s="14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2.75" customHeight="1">
      <c r="A689" s="65"/>
      <c r="B689" s="7"/>
      <c r="C689" s="7"/>
      <c r="D689" s="7"/>
      <c r="E689" s="7"/>
      <c r="F689" s="7"/>
      <c r="G689" s="14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2.75" customHeight="1">
      <c r="A690" s="65"/>
      <c r="B690" s="7"/>
      <c r="C690" s="7"/>
      <c r="D690" s="7"/>
      <c r="E690" s="7"/>
      <c r="F690" s="7"/>
      <c r="G690" s="14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2.75" customHeight="1">
      <c r="A691" s="65"/>
      <c r="B691" s="7"/>
      <c r="C691" s="7"/>
      <c r="D691" s="7"/>
      <c r="E691" s="7"/>
      <c r="F691" s="7"/>
      <c r="G691" s="14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2.75" customHeight="1">
      <c r="A692" s="65"/>
      <c r="B692" s="7"/>
      <c r="C692" s="7"/>
      <c r="D692" s="7"/>
      <c r="E692" s="7"/>
      <c r="F692" s="7"/>
      <c r="G692" s="14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2.75" customHeight="1">
      <c r="A693" s="65"/>
      <c r="B693" s="7"/>
      <c r="C693" s="7"/>
      <c r="D693" s="7"/>
      <c r="E693" s="7"/>
      <c r="F693" s="7"/>
      <c r="G693" s="14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2.75" customHeight="1">
      <c r="A694" s="65"/>
      <c r="B694" s="7"/>
      <c r="C694" s="7"/>
      <c r="D694" s="7"/>
      <c r="E694" s="7"/>
      <c r="F694" s="7"/>
      <c r="G694" s="14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2.75" customHeight="1">
      <c r="A695" s="65"/>
      <c r="B695" s="7"/>
      <c r="C695" s="7"/>
      <c r="D695" s="7"/>
      <c r="E695" s="7"/>
      <c r="F695" s="7"/>
      <c r="G695" s="14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2.75" customHeight="1">
      <c r="A696" s="65"/>
      <c r="B696" s="7"/>
      <c r="C696" s="7"/>
      <c r="D696" s="7"/>
      <c r="E696" s="7"/>
      <c r="F696" s="7"/>
      <c r="G696" s="14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2.75" customHeight="1">
      <c r="A697" s="65"/>
      <c r="B697" s="7"/>
      <c r="C697" s="7"/>
      <c r="D697" s="7"/>
      <c r="E697" s="7"/>
      <c r="F697" s="7"/>
      <c r="G697" s="14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2.75" customHeight="1">
      <c r="A698" s="65"/>
      <c r="B698" s="7"/>
      <c r="C698" s="7"/>
      <c r="D698" s="7"/>
      <c r="E698" s="7"/>
      <c r="F698" s="7"/>
      <c r="G698" s="14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2.75" customHeight="1">
      <c r="A699" s="65"/>
      <c r="B699" s="7"/>
      <c r="C699" s="7"/>
      <c r="D699" s="7"/>
      <c r="E699" s="7"/>
      <c r="F699" s="7"/>
      <c r="G699" s="14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2.75" customHeight="1">
      <c r="A700" s="65"/>
      <c r="B700" s="7"/>
      <c r="C700" s="7"/>
      <c r="D700" s="7"/>
      <c r="E700" s="7"/>
      <c r="F700" s="7"/>
      <c r="G700" s="14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2.75" customHeight="1">
      <c r="A701" s="65"/>
      <c r="B701" s="7"/>
      <c r="C701" s="7"/>
      <c r="D701" s="7"/>
      <c r="E701" s="7"/>
      <c r="F701" s="7"/>
      <c r="G701" s="14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2.75" customHeight="1">
      <c r="A702" s="65"/>
      <c r="B702" s="7"/>
      <c r="C702" s="7"/>
      <c r="D702" s="7"/>
      <c r="E702" s="7"/>
      <c r="F702" s="7"/>
      <c r="G702" s="14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2.75" customHeight="1">
      <c r="A703" s="65"/>
      <c r="B703" s="7"/>
      <c r="C703" s="7"/>
      <c r="D703" s="7"/>
      <c r="E703" s="7"/>
      <c r="F703" s="7"/>
      <c r="G703" s="14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14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14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7"/>
      <c r="B706" s="7"/>
      <c r="C706" s="7"/>
      <c r="D706" s="7"/>
      <c r="E706" s="7"/>
      <c r="F706" s="7"/>
      <c r="G706" s="14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7"/>
      <c r="B707" s="7"/>
      <c r="C707" s="7"/>
      <c r="D707" s="7"/>
      <c r="E707" s="7"/>
      <c r="F707" s="7"/>
      <c r="G707" s="14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7"/>
      <c r="B708" s="7"/>
      <c r="C708" s="7"/>
      <c r="D708" s="7"/>
      <c r="E708" s="7"/>
      <c r="F708" s="7"/>
      <c r="G708" s="14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7"/>
      <c r="B709" s="7"/>
      <c r="C709" s="7"/>
      <c r="D709" s="7"/>
      <c r="E709" s="7"/>
      <c r="F709" s="7"/>
      <c r="G709" s="14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7"/>
      <c r="B710" s="7"/>
      <c r="C710" s="7"/>
      <c r="D710" s="7"/>
      <c r="E710" s="7"/>
      <c r="F710" s="7"/>
      <c r="G710" s="14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7"/>
      <c r="B711" s="7"/>
      <c r="C711" s="7"/>
      <c r="D711" s="7"/>
      <c r="E711" s="7"/>
      <c r="F711" s="7"/>
      <c r="G711" s="14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7"/>
      <c r="B712" s="7"/>
      <c r="C712" s="7"/>
      <c r="D712" s="7"/>
      <c r="E712" s="7"/>
      <c r="F712" s="7"/>
      <c r="G712" s="14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7"/>
      <c r="B713" s="7"/>
      <c r="C713" s="7"/>
      <c r="D713" s="7"/>
      <c r="E713" s="7"/>
      <c r="F713" s="7"/>
      <c r="G713" s="14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7"/>
      <c r="B714" s="7"/>
      <c r="C714" s="7"/>
      <c r="D714" s="7"/>
      <c r="E714" s="7"/>
      <c r="F714" s="7"/>
      <c r="G714" s="14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7"/>
      <c r="B715" s="7"/>
      <c r="C715" s="7"/>
      <c r="D715" s="7"/>
      <c r="E715" s="7"/>
      <c r="F715" s="7"/>
      <c r="G715" s="14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7"/>
      <c r="B716" s="7"/>
      <c r="C716" s="7"/>
      <c r="D716" s="7"/>
      <c r="E716" s="7"/>
      <c r="F716" s="7"/>
      <c r="G716" s="14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7"/>
      <c r="B717" s="7"/>
      <c r="C717" s="7"/>
      <c r="D717" s="7"/>
      <c r="E717" s="7"/>
      <c r="F717" s="7"/>
      <c r="G717" s="14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7"/>
      <c r="B718" s="7"/>
      <c r="C718" s="7"/>
      <c r="D718" s="7"/>
      <c r="E718" s="7"/>
      <c r="F718" s="7"/>
      <c r="G718" s="14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7"/>
      <c r="B719" s="7"/>
      <c r="C719" s="7"/>
      <c r="D719" s="7"/>
      <c r="E719" s="7"/>
      <c r="F719" s="7"/>
      <c r="G719" s="14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7"/>
      <c r="B720" s="7"/>
      <c r="C720" s="7"/>
      <c r="D720" s="7"/>
      <c r="E720" s="7"/>
      <c r="F720" s="7"/>
      <c r="G720" s="14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7"/>
      <c r="B721" s="7"/>
      <c r="C721" s="7"/>
      <c r="D721" s="7"/>
      <c r="E721" s="7"/>
      <c r="F721" s="7"/>
      <c r="G721" s="14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7"/>
      <c r="B722" s="7"/>
      <c r="C722" s="7"/>
      <c r="D722" s="7"/>
      <c r="E722" s="7"/>
      <c r="F722" s="7"/>
      <c r="G722" s="14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7"/>
      <c r="B723" s="7"/>
      <c r="C723" s="7"/>
      <c r="D723" s="7"/>
      <c r="E723" s="7"/>
      <c r="F723" s="7"/>
      <c r="G723" s="14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7"/>
      <c r="B724" s="7"/>
      <c r="C724" s="7"/>
      <c r="D724" s="7"/>
      <c r="E724" s="7"/>
      <c r="F724" s="7"/>
      <c r="G724" s="14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7"/>
      <c r="B725" s="7"/>
      <c r="C725" s="7"/>
      <c r="D725" s="7"/>
      <c r="E725" s="7"/>
      <c r="F725" s="7"/>
      <c r="G725" s="14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7"/>
      <c r="B726" s="7"/>
      <c r="C726" s="7"/>
      <c r="D726" s="7"/>
      <c r="E726" s="7"/>
      <c r="F726" s="7"/>
      <c r="G726" s="14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7"/>
      <c r="B727" s="7"/>
      <c r="C727" s="7"/>
      <c r="D727" s="7"/>
      <c r="E727" s="7"/>
      <c r="F727" s="7"/>
      <c r="G727" s="14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7"/>
      <c r="B728" s="7"/>
      <c r="C728" s="7"/>
      <c r="D728" s="7"/>
      <c r="E728" s="7"/>
      <c r="F728" s="7"/>
      <c r="G728" s="14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7"/>
      <c r="B729" s="7"/>
      <c r="C729" s="7"/>
      <c r="D729" s="7"/>
      <c r="E729" s="7"/>
      <c r="F729" s="7"/>
      <c r="G729" s="14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7"/>
      <c r="B730" s="7"/>
      <c r="C730" s="7"/>
      <c r="D730" s="7"/>
      <c r="E730" s="7"/>
      <c r="F730" s="7"/>
      <c r="G730" s="14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7"/>
      <c r="B731" s="7"/>
      <c r="C731" s="7"/>
      <c r="D731" s="7"/>
      <c r="E731" s="7"/>
      <c r="F731" s="7"/>
      <c r="G731" s="14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7"/>
      <c r="B732" s="7"/>
      <c r="C732" s="7"/>
      <c r="D732" s="7"/>
      <c r="E732" s="7"/>
      <c r="F732" s="7"/>
      <c r="G732" s="14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7"/>
      <c r="B733" s="7"/>
      <c r="C733" s="7"/>
      <c r="D733" s="7"/>
      <c r="E733" s="7"/>
      <c r="F733" s="7"/>
      <c r="G733" s="14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7"/>
      <c r="B734" s="7"/>
      <c r="C734" s="7"/>
      <c r="D734" s="7"/>
      <c r="E734" s="7"/>
      <c r="F734" s="7"/>
      <c r="G734" s="14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7"/>
      <c r="B735" s="7"/>
      <c r="C735" s="7"/>
      <c r="D735" s="7"/>
      <c r="E735" s="7"/>
      <c r="F735" s="7"/>
      <c r="G735" s="14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7"/>
      <c r="B736" s="7"/>
      <c r="C736" s="7"/>
      <c r="D736" s="7"/>
      <c r="E736" s="7"/>
      <c r="F736" s="7"/>
      <c r="G736" s="14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7"/>
      <c r="B737" s="7"/>
      <c r="C737" s="7"/>
      <c r="D737" s="7"/>
      <c r="E737" s="7"/>
      <c r="F737" s="7"/>
      <c r="G737" s="14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7"/>
      <c r="B738" s="7"/>
      <c r="C738" s="7"/>
      <c r="D738" s="7"/>
      <c r="E738" s="7"/>
      <c r="F738" s="7"/>
      <c r="G738" s="14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7"/>
      <c r="B739" s="7"/>
      <c r="C739" s="7"/>
      <c r="D739" s="7"/>
      <c r="E739" s="7"/>
      <c r="F739" s="7"/>
      <c r="G739" s="14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7"/>
      <c r="B740" s="7"/>
      <c r="C740" s="7"/>
      <c r="D740" s="7"/>
      <c r="E740" s="7"/>
      <c r="F740" s="7"/>
      <c r="G740" s="14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7"/>
      <c r="B741" s="7"/>
      <c r="C741" s="7"/>
      <c r="D741" s="7"/>
      <c r="E741" s="7"/>
      <c r="F741" s="7"/>
      <c r="G741" s="14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7"/>
      <c r="B742" s="7"/>
      <c r="C742" s="7"/>
      <c r="D742" s="7"/>
      <c r="E742" s="7"/>
      <c r="F742" s="7"/>
      <c r="G742" s="14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7"/>
      <c r="B743" s="7"/>
      <c r="C743" s="7"/>
      <c r="D743" s="7"/>
      <c r="E743" s="7"/>
      <c r="F743" s="7"/>
      <c r="G743" s="14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7"/>
      <c r="B744" s="7"/>
      <c r="C744" s="7"/>
      <c r="D744" s="7"/>
      <c r="E744" s="7"/>
      <c r="F744" s="7"/>
      <c r="G744" s="14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7"/>
      <c r="B745" s="7"/>
      <c r="C745" s="7"/>
      <c r="D745" s="7"/>
      <c r="E745" s="7"/>
      <c r="F745" s="7"/>
      <c r="G745" s="14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7"/>
      <c r="B746" s="7"/>
      <c r="C746" s="7"/>
      <c r="D746" s="7"/>
      <c r="E746" s="7"/>
      <c r="F746" s="7"/>
      <c r="G746" s="14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7"/>
      <c r="B747" s="7"/>
      <c r="C747" s="7"/>
      <c r="D747" s="7"/>
      <c r="E747" s="7"/>
      <c r="F747" s="7"/>
      <c r="G747" s="14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7"/>
      <c r="B748" s="7"/>
      <c r="C748" s="7"/>
      <c r="D748" s="7"/>
      <c r="E748" s="7"/>
      <c r="F748" s="7"/>
      <c r="G748" s="14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7"/>
      <c r="B749" s="7"/>
      <c r="C749" s="7"/>
      <c r="D749" s="7"/>
      <c r="E749" s="7"/>
      <c r="F749" s="7"/>
      <c r="G749" s="14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7"/>
      <c r="B750" s="7"/>
      <c r="C750" s="7"/>
      <c r="D750" s="7"/>
      <c r="E750" s="7"/>
      <c r="F750" s="7"/>
      <c r="G750" s="14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7"/>
      <c r="B751" s="7"/>
      <c r="C751" s="7"/>
      <c r="D751" s="7"/>
      <c r="E751" s="7"/>
      <c r="F751" s="7"/>
      <c r="G751" s="14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7"/>
      <c r="B752" s="7"/>
      <c r="C752" s="7"/>
      <c r="D752" s="7"/>
      <c r="E752" s="7"/>
      <c r="F752" s="7"/>
      <c r="G752" s="14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7"/>
      <c r="B753" s="7"/>
      <c r="C753" s="7"/>
      <c r="D753" s="7"/>
      <c r="E753" s="7"/>
      <c r="F753" s="7"/>
      <c r="G753" s="14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7"/>
      <c r="B754" s="7"/>
      <c r="C754" s="7"/>
      <c r="D754" s="7"/>
      <c r="E754" s="7"/>
      <c r="F754" s="7"/>
      <c r="G754" s="14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7"/>
      <c r="B755" s="7"/>
      <c r="C755" s="7"/>
      <c r="D755" s="7"/>
      <c r="E755" s="7"/>
      <c r="F755" s="7"/>
      <c r="G755" s="14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7"/>
      <c r="B756" s="7"/>
      <c r="C756" s="7"/>
      <c r="D756" s="7"/>
      <c r="E756" s="7"/>
      <c r="F756" s="7"/>
      <c r="G756" s="14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7"/>
      <c r="B757" s="7"/>
      <c r="C757" s="7"/>
      <c r="D757" s="7"/>
      <c r="E757" s="7"/>
      <c r="F757" s="7"/>
      <c r="G757" s="14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7"/>
      <c r="B758" s="7"/>
      <c r="C758" s="7"/>
      <c r="D758" s="7"/>
      <c r="E758" s="7"/>
      <c r="F758" s="7"/>
      <c r="G758" s="14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7"/>
      <c r="B759" s="7"/>
      <c r="C759" s="7"/>
      <c r="D759" s="7"/>
      <c r="E759" s="7"/>
      <c r="F759" s="7"/>
      <c r="G759" s="14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7"/>
      <c r="B760" s="7"/>
      <c r="C760" s="7"/>
      <c r="D760" s="7"/>
      <c r="E760" s="7"/>
      <c r="F760" s="7"/>
      <c r="G760" s="14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7"/>
      <c r="B761" s="7"/>
      <c r="C761" s="7"/>
      <c r="D761" s="7"/>
      <c r="E761" s="7"/>
      <c r="F761" s="7"/>
      <c r="G761" s="14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7"/>
      <c r="B762" s="7"/>
      <c r="C762" s="7"/>
      <c r="D762" s="7"/>
      <c r="E762" s="7"/>
      <c r="F762" s="7"/>
      <c r="G762" s="14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7"/>
      <c r="B763" s="7"/>
      <c r="C763" s="7"/>
      <c r="D763" s="7"/>
      <c r="E763" s="7"/>
      <c r="F763" s="7"/>
      <c r="G763" s="14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7"/>
      <c r="B764" s="7"/>
      <c r="C764" s="7"/>
      <c r="D764" s="7"/>
      <c r="E764" s="7"/>
      <c r="F764" s="7"/>
      <c r="G764" s="14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7"/>
      <c r="B765" s="7"/>
      <c r="C765" s="7"/>
      <c r="D765" s="7"/>
      <c r="E765" s="7"/>
      <c r="F765" s="7"/>
      <c r="G765" s="14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7"/>
      <c r="B766" s="7"/>
      <c r="C766" s="7"/>
      <c r="D766" s="7"/>
      <c r="E766" s="7"/>
      <c r="F766" s="7"/>
      <c r="G766" s="14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7"/>
      <c r="B767" s="7"/>
      <c r="C767" s="7"/>
      <c r="D767" s="7"/>
      <c r="E767" s="7"/>
      <c r="F767" s="7"/>
      <c r="G767" s="14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7"/>
      <c r="B768" s="7"/>
      <c r="C768" s="7"/>
      <c r="D768" s="7"/>
      <c r="E768" s="7"/>
      <c r="F768" s="7"/>
      <c r="G768" s="14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7"/>
      <c r="B769" s="7"/>
      <c r="C769" s="7"/>
      <c r="D769" s="7"/>
      <c r="E769" s="7"/>
      <c r="F769" s="7"/>
      <c r="G769" s="14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7"/>
      <c r="B770" s="7"/>
      <c r="C770" s="7"/>
      <c r="D770" s="7"/>
      <c r="E770" s="7"/>
      <c r="F770" s="7"/>
      <c r="G770" s="14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7"/>
      <c r="B771" s="7"/>
      <c r="C771" s="7"/>
      <c r="D771" s="7"/>
      <c r="E771" s="7"/>
      <c r="F771" s="7"/>
      <c r="G771" s="14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7"/>
      <c r="B772" s="7"/>
      <c r="C772" s="7"/>
      <c r="D772" s="7"/>
      <c r="E772" s="7"/>
      <c r="F772" s="7"/>
      <c r="G772" s="14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7"/>
      <c r="B773" s="7"/>
      <c r="C773" s="7"/>
      <c r="D773" s="7"/>
      <c r="E773" s="7"/>
      <c r="F773" s="7"/>
      <c r="G773" s="14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7"/>
      <c r="B774" s="7"/>
      <c r="C774" s="7"/>
      <c r="D774" s="7"/>
      <c r="E774" s="7"/>
      <c r="F774" s="7"/>
      <c r="G774" s="14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7"/>
      <c r="B775" s="7"/>
      <c r="C775" s="7"/>
      <c r="D775" s="7"/>
      <c r="E775" s="7"/>
      <c r="F775" s="7"/>
      <c r="G775" s="14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7"/>
      <c r="B776" s="7"/>
      <c r="C776" s="7"/>
      <c r="D776" s="7"/>
      <c r="E776" s="7"/>
      <c r="F776" s="7"/>
      <c r="G776" s="14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7"/>
      <c r="B777" s="7"/>
      <c r="C777" s="7"/>
      <c r="D777" s="7"/>
      <c r="E777" s="7"/>
      <c r="F777" s="7"/>
      <c r="G777" s="14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7"/>
      <c r="B778" s="7"/>
      <c r="C778" s="7"/>
      <c r="D778" s="7"/>
      <c r="E778" s="7"/>
      <c r="F778" s="7"/>
      <c r="G778" s="14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7"/>
      <c r="B779" s="7"/>
      <c r="C779" s="7"/>
      <c r="D779" s="7"/>
      <c r="E779" s="7"/>
      <c r="F779" s="7"/>
      <c r="G779" s="14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7"/>
      <c r="B780" s="7"/>
      <c r="C780" s="7"/>
      <c r="D780" s="7"/>
      <c r="E780" s="7"/>
      <c r="F780" s="7"/>
      <c r="G780" s="14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7"/>
      <c r="B781" s="7"/>
      <c r="C781" s="7"/>
      <c r="D781" s="7"/>
      <c r="E781" s="7"/>
      <c r="F781" s="7"/>
      <c r="G781" s="14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7"/>
      <c r="B782" s="7"/>
      <c r="C782" s="7"/>
      <c r="D782" s="7"/>
      <c r="E782" s="7"/>
      <c r="F782" s="7"/>
      <c r="G782" s="14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7"/>
      <c r="B783" s="7"/>
      <c r="C783" s="7"/>
      <c r="D783" s="7"/>
      <c r="E783" s="7"/>
      <c r="F783" s="7"/>
      <c r="G783" s="14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7"/>
      <c r="B784" s="7"/>
      <c r="C784" s="7"/>
      <c r="D784" s="7"/>
      <c r="E784" s="7"/>
      <c r="F784" s="7"/>
      <c r="G784" s="14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7"/>
      <c r="B785" s="7"/>
      <c r="C785" s="7"/>
      <c r="D785" s="7"/>
      <c r="E785" s="7"/>
      <c r="F785" s="7"/>
      <c r="G785" s="14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7"/>
      <c r="B786" s="7"/>
      <c r="C786" s="7"/>
      <c r="D786" s="7"/>
      <c r="E786" s="7"/>
      <c r="F786" s="7"/>
      <c r="G786" s="14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7"/>
      <c r="B787" s="7"/>
      <c r="C787" s="7"/>
      <c r="D787" s="7"/>
      <c r="E787" s="7"/>
      <c r="F787" s="7"/>
      <c r="G787" s="14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7"/>
      <c r="B788" s="7"/>
      <c r="C788" s="7"/>
      <c r="D788" s="7"/>
      <c r="E788" s="7"/>
      <c r="F788" s="7"/>
      <c r="G788" s="14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7"/>
      <c r="B789" s="7"/>
      <c r="C789" s="7"/>
      <c r="D789" s="7"/>
      <c r="E789" s="7"/>
      <c r="F789" s="7"/>
      <c r="G789" s="14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7"/>
      <c r="B790" s="7"/>
      <c r="C790" s="7"/>
      <c r="D790" s="7"/>
      <c r="E790" s="7"/>
      <c r="F790" s="7"/>
      <c r="G790" s="14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7"/>
      <c r="B791" s="7"/>
      <c r="C791" s="7"/>
      <c r="D791" s="7"/>
      <c r="E791" s="7"/>
      <c r="F791" s="7"/>
      <c r="G791" s="14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7"/>
      <c r="B792" s="7"/>
      <c r="C792" s="7"/>
      <c r="D792" s="7"/>
      <c r="E792" s="7"/>
      <c r="F792" s="7"/>
      <c r="G792" s="14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7"/>
      <c r="B793" s="7"/>
      <c r="C793" s="7"/>
      <c r="D793" s="7"/>
      <c r="E793" s="7"/>
      <c r="F793" s="7"/>
      <c r="G793" s="14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7"/>
      <c r="B794" s="7"/>
      <c r="C794" s="7"/>
      <c r="D794" s="7"/>
      <c r="E794" s="7"/>
      <c r="F794" s="7"/>
      <c r="G794" s="14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7"/>
      <c r="B795" s="7"/>
      <c r="C795" s="7"/>
      <c r="D795" s="7"/>
      <c r="E795" s="7"/>
      <c r="F795" s="7"/>
      <c r="G795" s="14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7"/>
      <c r="B796" s="7"/>
      <c r="C796" s="7"/>
      <c r="D796" s="7"/>
      <c r="E796" s="7"/>
      <c r="F796" s="7"/>
      <c r="G796" s="14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7"/>
      <c r="B797" s="7"/>
      <c r="C797" s="7"/>
      <c r="D797" s="7"/>
      <c r="E797" s="7"/>
      <c r="F797" s="7"/>
      <c r="G797" s="14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7"/>
      <c r="B798" s="7"/>
      <c r="C798" s="7"/>
      <c r="D798" s="7"/>
      <c r="E798" s="7"/>
      <c r="F798" s="7"/>
      <c r="G798" s="14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7"/>
      <c r="B799" s="7"/>
      <c r="C799" s="7"/>
      <c r="D799" s="7"/>
      <c r="E799" s="7"/>
      <c r="F799" s="7"/>
      <c r="G799" s="14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7"/>
      <c r="B800" s="7"/>
      <c r="C800" s="7"/>
      <c r="D800" s="7"/>
      <c r="E800" s="7"/>
      <c r="F800" s="7"/>
      <c r="G800" s="14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7"/>
      <c r="B801" s="7"/>
      <c r="C801" s="7"/>
      <c r="D801" s="7"/>
      <c r="E801" s="7"/>
      <c r="F801" s="7"/>
      <c r="G801" s="14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7"/>
      <c r="B802" s="7"/>
      <c r="C802" s="7"/>
      <c r="D802" s="7"/>
      <c r="E802" s="7"/>
      <c r="F802" s="7"/>
      <c r="G802" s="14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7"/>
      <c r="B803" s="7"/>
      <c r="C803" s="7"/>
      <c r="D803" s="7"/>
      <c r="E803" s="7"/>
      <c r="F803" s="7"/>
      <c r="G803" s="14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7"/>
      <c r="B804" s="7"/>
      <c r="C804" s="7"/>
      <c r="D804" s="7"/>
      <c r="E804" s="7"/>
      <c r="F804" s="7"/>
      <c r="G804" s="14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7"/>
      <c r="B805" s="7"/>
      <c r="C805" s="7"/>
      <c r="D805" s="7"/>
      <c r="E805" s="7"/>
      <c r="F805" s="7"/>
      <c r="G805" s="14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7"/>
      <c r="B806" s="7"/>
      <c r="C806" s="7"/>
      <c r="D806" s="7"/>
      <c r="E806" s="7"/>
      <c r="F806" s="7"/>
      <c r="G806" s="14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7"/>
      <c r="B807" s="7"/>
      <c r="C807" s="7"/>
      <c r="D807" s="7"/>
      <c r="E807" s="7"/>
      <c r="F807" s="7"/>
      <c r="G807" s="14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7"/>
      <c r="B808" s="7"/>
      <c r="C808" s="7"/>
      <c r="D808" s="7"/>
      <c r="E808" s="7"/>
      <c r="F808" s="7"/>
      <c r="G808" s="14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7"/>
      <c r="B809" s="7"/>
      <c r="C809" s="7"/>
      <c r="D809" s="7"/>
      <c r="E809" s="7"/>
      <c r="F809" s="7"/>
      <c r="G809" s="14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7"/>
      <c r="B810" s="7"/>
      <c r="C810" s="7"/>
      <c r="D810" s="7"/>
      <c r="E810" s="7"/>
      <c r="F810" s="7"/>
      <c r="G810" s="14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7"/>
      <c r="B811" s="7"/>
      <c r="C811" s="7"/>
      <c r="D811" s="7"/>
      <c r="E811" s="7"/>
      <c r="F811" s="7"/>
      <c r="G811" s="14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7"/>
      <c r="B812" s="7"/>
      <c r="C812" s="7"/>
      <c r="D812" s="7"/>
      <c r="E812" s="7"/>
      <c r="F812" s="7"/>
      <c r="G812" s="14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7"/>
      <c r="B813" s="7"/>
      <c r="C813" s="7"/>
      <c r="D813" s="7"/>
      <c r="E813" s="7"/>
      <c r="F813" s="7"/>
      <c r="G813" s="14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7"/>
      <c r="B814" s="7"/>
      <c r="C814" s="7"/>
      <c r="D814" s="7"/>
      <c r="E814" s="7"/>
      <c r="F814" s="7"/>
      <c r="G814" s="14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7"/>
      <c r="B815" s="7"/>
      <c r="C815" s="7"/>
      <c r="D815" s="7"/>
      <c r="E815" s="7"/>
      <c r="F815" s="7"/>
      <c r="G815" s="14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7"/>
      <c r="B816" s="7"/>
      <c r="C816" s="7"/>
      <c r="D816" s="7"/>
      <c r="E816" s="7"/>
      <c r="F816" s="7"/>
      <c r="G816" s="14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7"/>
      <c r="B817" s="7"/>
      <c r="C817" s="7"/>
      <c r="D817" s="7"/>
      <c r="E817" s="7"/>
      <c r="F817" s="7"/>
      <c r="G817" s="14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7"/>
      <c r="B818" s="7"/>
      <c r="C818" s="7"/>
      <c r="D818" s="7"/>
      <c r="E818" s="7"/>
      <c r="F818" s="7"/>
      <c r="G818" s="14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7"/>
      <c r="B819" s="7"/>
      <c r="C819" s="7"/>
      <c r="D819" s="7"/>
      <c r="E819" s="7"/>
      <c r="F819" s="7"/>
      <c r="G819" s="14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7"/>
      <c r="B820" s="7"/>
      <c r="C820" s="7"/>
      <c r="D820" s="7"/>
      <c r="E820" s="7"/>
      <c r="F820" s="7"/>
      <c r="G820" s="14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7"/>
      <c r="B821" s="7"/>
      <c r="C821" s="7"/>
      <c r="D821" s="7"/>
      <c r="E821" s="7"/>
      <c r="F821" s="7"/>
      <c r="G821" s="14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7"/>
      <c r="B822" s="7"/>
      <c r="C822" s="7"/>
      <c r="D822" s="7"/>
      <c r="E822" s="7"/>
      <c r="F822" s="7"/>
      <c r="G822" s="14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7"/>
      <c r="B823" s="7"/>
      <c r="C823" s="7"/>
      <c r="D823" s="7"/>
      <c r="E823" s="7"/>
      <c r="F823" s="7"/>
      <c r="G823" s="14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7"/>
      <c r="B824" s="7"/>
      <c r="C824" s="7"/>
      <c r="D824" s="7"/>
      <c r="E824" s="7"/>
      <c r="F824" s="7"/>
      <c r="G824" s="14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7"/>
      <c r="B825" s="7"/>
      <c r="C825" s="7"/>
      <c r="D825" s="7"/>
      <c r="E825" s="7"/>
      <c r="F825" s="7"/>
      <c r="G825" s="14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7"/>
      <c r="B826" s="7"/>
      <c r="C826" s="7"/>
      <c r="D826" s="7"/>
      <c r="E826" s="7"/>
      <c r="F826" s="7"/>
      <c r="G826" s="14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7"/>
      <c r="B827" s="7"/>
      <c r="C827" s="7"/>
      <c r="D827" s="7"/>
      <c r="E827" s="7"/>
      <c r="F827" s="7"/>
      <c r="G827" s="14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7"/>
      <c r="B828" s="7"/>
      <c r="C828" s="7"/>
      <c r="D828" s="7"/>
      <c r="E828" s="7"/>
      <c r="F828" s="7"/>
      <c r="G828" s="14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7"/>
      <c r="B829" s="7"/>
      <c r="C829" s="7"/>
      <c r="D829" s="7"/>
      <c r="E829" s="7"/>
      <c r="F829" s="7"/>
      <c r="G829" s="14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7"/>
      <c r="B830" s="7"/>
      <c r="C830" s="7"/>
      <c r="D830" s="7"/>
      <c r="E830" s="7"/>
      <c r="F830" s="7"/>
      <c r="G830" s="14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7"/>
      <c r="B831" s="7"/>
      <c r="C831" s="7"/>
      <c r="D831" s="7"/>
      <c r="E831" s="7"/>
      <c r="F831" s="7"/>
      <c r="G831" s="14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7"/>
      <c r="B832" s="7"/>
      <c r="C832" s="7"/>
      <c r="D832" s="7"/>
      <c r="E832" s="7"/>
      <c r="F832" s="7"/>
      <c r="G832" s="14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7"/>
      <c r="B833" s="7"/>
      <c r="C833" s="7"/>
      <c r="D833" s="7"/>
      <c r="E833" s="7"/>
      <c r="F833" s="7"/>
      <c r="G833" s="14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7"/>
      <c r="B834" s="7"/>
      <c r="C834" s="7"/>
      <c r="D834" s="7"/>
      <c r="E834" s="7"/>
      <c r="F834" s="7"/>
      <c r="G834" s="14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7"/>
      <c r="B835" s="7"/>
      <c r="C835" s="7"/>
      <c r="D835" s="7"/>
      <c r="E835" s="7"/>
      <c r="F835" s="7"/>
      <c r="G835" s="14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7"/>
      <c r="B836" s="7"/>
      <c r="C836" s="7"/>
      <c r="D836" s="7"/>
      <c r="E836" s="7"/>
      <c r="F836" s="7"/>
      <c r="G836" s="14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7"/>
      <c r="B837" s="7"/>
      <c r="C837" s="7"/>
      <c r="D837" s="7"/>
      <c r="E837" s="7"/>
      <c r="F837" s="7"/>
      <c r="G837" s="14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7"/>
      <c r="B838" s="7"/>
      <c r="C838" s="7"/>
      <c r="D838" s="7"/>
      <c r="E838" s="7"/>
      <c r="F838" s="7"/>
      <c r="G838" s="14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7"/>
      <c r="B839" s="7"/>
      <c r="C839" s="7"/>
      <c r="D839" s="7"/>
      <c r="E839" s="7"/>
      <c r="F839" s="7"/>
      <c r="G839" s="14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7"/>
      <c r="B840" s="7"/>
      <c r="C840" s="7"/>
      <c r="D840" s="7"/>
      <c r="E840" s="7"/>
      <c r="F840" s="7"/>
      <c r="G840" s="14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7"/>
      <c r="B841" s="7"/>
      <c r="C841" s="7"/>
      <c r="D841" s="7"/>
      <c r="E841" s="7"/>
      <c r="F841" s="7"/>
      <c r="G841" s="14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7"/>
      <c r="B842" s="7"/>
      <c r="C842" s="7"/>
      <c r="D842" s="7"/>
      <c r="E842" s="7"/>
      <c r="F842" s="7"/>
      <c r="G842" s="14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7"/>
      <c r="B843" s="7"/>
      <c r="C843" s="7"/>
      <c r="D843" s="7"/>
      <c r="E843" s="7"/>
      <c r="F843" s="7"/>
      <c r="G843" s="14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7"/>
      <c r="B844" s="7"/>
      <c r="C844" s="7"/>
      <c r="D844" s="7"/>
      <c r="E844" s="7"/>
      <c r="F844" s="7"/>
      <c r="G844" s="14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7"/>
      <c r="B845" s="7"/>
      <c r="C845" s="7"/>
      <c r="D845" s="7"/>
      <c r="E845" s="7"/>
      <c r="F845" s="7"/>
      <c r="G845" s="14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7"/>
      <c r="B846" s="7"/>
      <c r="C846" s="7"/>
      <c r="D846" s="7"/>
      <c r="E846" s="7"/>
      <c r="F846" s="7"/>
      <c r="G846" s="14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7"/>
      <c r="B847" s="7"/>
      <c r="C847" s="7"/>
      <c r="D847" s="7"/>
      <c r="E847" s="7"/>
      <c r="F847" s="7"/>
      <c r="G847" s="14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7"/>
      <c r="B848" s="7"/>
      <c r="C848" s="7"/>
      <c r="D848" s="7"/>
      <c r="E848" s="7"/>
      <c r="F848" s="7"/>
      <c r="G848" s="14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7"/>
      <c r="B849" s="7"/>
      <c r="C849" s="7"/>
      <c r="D849" s="7"/>
      <c r="E849" s="7"/>
      <c r="F849" s="7"/>
      <c r="G849" s="14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7"/>
      <c r="B850" s="7"/>
      <c r="C850" s="7"/>
      <c r="D850" s="7"/>
      <c r="E850" s="7"/>
      <c r="F850" s="7"/>
      <c r="G850" s="14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7"/>
      <c r="B851" s="7"/>
      <c r="C851" s="7"/>
      <c r="D851" s="7"/>
      <c r="E851" s="7"/>
      <c r="F851" s="7"/>
      <c r="G851" s="14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7"/>
      <c r="B852" s="7"/>
      <c r="C852" s="7"/>
      <c r="D852" s="7"/>
      <c r="E852" s="7"/>
      <c r="F852" s="7"/>
      <c r="G852" s="14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7"/>
      <c r="B853" s="7"/>
      <c r="C853" s="7"/>
      <c r="D853" s="7"/>
      <c r="E853" s="7"/>
      <c r="F853" s="7"/>
      <c r="G853" s="14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7"/>
      <c r="B854" s="7"/>
      <c r="C854" s="7"/>
      <c r="D854" s="7"/>
      <c r="E854" s="7"/>
      <c r="F854" s="7"/>
      <c r="G854" s="14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7"/>
      <c r="B855" s="7"/>
      <c r="C855" s="7"/>
      <c r="D855" s="7"/>
      <c r="E855" s="7"/>
      <c r="F855" s="7"/>
      <c r="G855" s="14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7"/>
      <c r="B856" s="7"/>
      <c r="C856" s="7"/>
      <c r="D856" s="7"/>
      <c r="E856" s="7"/>
      <c r="F856" s="7"/>
      <c r="G856" s="14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7"/>
      <c r="B857" s="7"/>
      <c r="C857" s="7"/>
      <c r="D857" s="7"/>
      <c r="E857" s="7"/>
      <c r="F857" s="7"/>
      <c r="G857" s="14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7"/>
      <c r="B858" s="7"/>
      <c r="C858" s="7"/>
      <c r="D858" s="7"/>
      <c r="E858" s="7"/>
      <c r="F858" s="7"/>
      <c r="G858" s="14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7"/>
      <c r="B859" s="7"/>
      <c r="C859" s="7"/>
      <c r="D859" s="7"/>
      <c r="E859" s="7"/>
      <c r="F859" s="7"/>
      <c r="G859" s="14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7"/>
      <c r="B860" s="7"/>
      <c r="C860" s="7"/>
      <c r="D860" s="7"/>
      <c r="E860" s="7"/>
      <c r="F860" s="7"/>
      <c r="G860" s="14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7"/>
      <c r="B861" s="7"/>
      <c r="C861" s="7"/>
      <c r="D861" s="7"/>
      <c r="E861" s="7"/>
      <c r="F861" s="7"/>
      <c r="G861" s="14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7"/>
      <c r="B862" s="7"/>
      <c r="C862" s="7"/>
      <c r="D862" s="7"/>
      <c r="E862" s="7"/>
      <c r="F862" s="7"/>
      <c r="G862" s="14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7"/>
      <c r="B863" s="7"/>
      <c r="C863" s="7"/>
      <c r="D863" s="7"/>
      <c r="E863" s="7"/>
      <c r="F863" s="7"/>
      <c r="G863" s="14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7"/>
      <c r="B864" s="7"/>
      <c r="C864" s="7"/>
      <c r="D864" s="7"/>
      <c r="E864" s="7"/>
      <c r="F864" s="7"/>
      <c r="G864" s="14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7"/>
      <c r="B865" s="7"/>
      <c r="C865" s="7"/>
      <c r="D865" s="7"/>
      <c r="E865" s="7"/>
      <c r="F865" s="7"/>
      <c r="G865" s="14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7"/>
      <c r="B866" s="7"/>
      <c r="C866" s="7"/>
      <c r="D866" s="7"/>
      <c r="E866" s="7"/>
      <c r="F866" s="7"/>
      <c r="G866" s="14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7"/>
      <c r="B867" s="7"/>
      <c r="C867" s="7"/>
      <c r="D867" s="7"/>
      <c r="E867" s="7"/>
      <c r="F867" s="7"/>
      <c r="G867" s="14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7"/>
      <c r="B868" s="7"/>
      <c r="C868" s="7"/>
      <c r="D868" s="7"/>
      <c r="E868" s="7"/>
      <c r="F868" s="7"/>
      <c r="G868" s="14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7"/>
      <c r="B869" s="7"/>
      <c r="C869" s="7"/>
      <c r="D869" s="7"/>
      <c r="E869" s="7"/>
      <c r="F869" s="7"/>
      <c r="G869" s="14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7"/>
      <c r="B870" s="7"/>
      <c r="C870" s="7"/>
      <c r="D870" s="7"/>
      <c r="E870" s="7"/>
      <c r="F870" s="7"/>
      <c r="G870" s="14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7"/>
      <c r="B871" s="7"/>
      <c r="C871" s="7"/>
      <c r="D871" s="7"/>
      <c r="E871" s="7"/>
      <c r="F871" s="7"/>
      <c r="G871" s="14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7"/>
      <c r="B872" s="7"/>
      <c r="C872" s="7"/>
      <c r="D872" s="7"/>
      <c r="E872" s="7"/>
      <c r="F872" s="7"/>
      <c r="G872" s="14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7"/>
      <c r="B873" s="7"/>
      <c r="C873" s="7"/>
      <c r="D873" s="7"/>
      <c r="E873" s="7"/>
      <c r="F873" s="7"/>
      <c r="G873" s="14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7"/>
      <c r="B874" s="7"/>
      <c r="C874" s="7"/>
      <c r="D874" s="7"/>
      <c r="E874" s="7"/>
      <c r="F874" s="7"/>
      <c r="G874" s="14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7"/>
      <c r="B875" s="7"/>
      <c r="C875" s="7"/>
      <c r="D875" s="7"/>
      <c r="E875" s="7"/>
      <c r="F875" s="7"/>
      <c r="G875" s="14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7"/>
      <c r="B876" s="7"/>
      <c r="C876" s="7"/>
      <c r="D876" s="7"/>
      <c r="E876" s="7"/>
      <c r="F876" s="7"/>
      <c r="G876" s="14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7"/>
      <c r="B877" s="7"/>
      <c r="C877" s="7"/>
      <c r="D877" s="7"/>
      <c r="E877" s="7"/>
      <c r="F877" s="7"/>
      <c r="G877" s="14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7"/>
      <c r="B878" s="7"/>
      <c r="C878" s="7"/>
      <c r="D878" s="7"/>
      <c r="E878" s="7"/>
      <c r="F878" s="7"/>
      <c r="G878" s="14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7"/>
      <c r="B879" s="7"/>
      <c r="C879" s="7"/>
      <c r="D879" s="7"/>
      <c r="E879" s="7"/>
      <c r="F879" s="7"/>
      <c r="G879" s="14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7"/>
      <c r="B880" s="7"/>
      <c r="C880" s="7"/>
      <c r="D880" s="7"/>
      <c r="E880" s="7"/>
      <c r="F880" s="7"/>
      <c r="G880" s="14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7"/>
      <c r="B881" s="7"/>
      <c r="C881" s="7"/>
      <c r="D881" s="7"/>
      <c r="E881" s="7"/>
      <c r="F881" s="7"/>
      <c r="G881" s="14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7"/>
      <c r="B882" s="7"/>
      <c r="C882" s="7"/>
      <c r="D882" s="7"/>
      <c r="E882" s="7"/>
      <c r="F882" s="7"/>
      <c r="G882" s="14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7"/>
      <c r="B883" s="7"/>
      <c r="C883" s="7"/>
      <c r="D883" s="7"/>
      <c r="E883" s="7"/>
      <c r="F883" s="7"/>
      <c r="G883" s="14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7"/>
      <c r="B884" s="7"/>
      <c r="C884" s="7"/>
      <c r="D884" s="7"/>
      <c r="E884" s="7"/>
      <c r="F884" s="7"/>
      <c r="G884" s="14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7"/>
      <c r="B885" s="7"/>
      <c r="C885" s="7"/>
      <c r="D885" s="7"/>
      <c r="E885" s="7"/>
      <c r="F885" s="7"/>
      <c r="G885" s="14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7"/>
      <c r="B886" s="7"/>
      <c r="C886" s="7"/>
      <c r="D886" s="7"/>
      <c r="E886" s="7"/>
      <c r="F886" s="7"/>
      <c r="G886" s="14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7"/>
      <c r="B887" s="7"/>
      <c r="C887" s="7"/>
      <c r="D887" s="7"/>
      <c r="E887" s="7"/>
      <c r="F887" s="7"/>
      <c r="G887" s="14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7"/>
      <c r="B888" s="7"/>
      <c r="C888" s="7"/>
      <c r="D888" s="7"/>
      <c r="E888" s="7"/>
      <c r="F888" s="7"/>
      <c r="G888" s="14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7"/>
      <c r="B889" s="7"/>
      <c r="C889" s="7"/>
      <c r="D889" s="7"/>
      <c r="E889" s="7"/>
      <c r="F889" s="7"/>
      <c r="G889" s="14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7"/>
      <c r="B890" s="7"/>
      <c r="C890" s="7"/>
      <c r="D890" s="7"/>
      <c r="E890" s="7"/>
      <c r="F890" s="7"/>
      <c r="G890" s="14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7"/>
      <c r="B891" s="7"/>
      <c r="C891" s="7"/>
      <c r="D891" s="7"/>
      <c r="E891" s="7"/>
      <c r="F891" s="7"/>
      <c r="G891" s="14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7"/>
      <c r="B892" s="7"/>
      <c r="C892" s="7"/>
      <c r="D892" s="7"/>
      <c r="E892" s="7"/>
      <c r="F892" s="7"/>
      <c r="G892" s="14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7"/>
      <c r="B893" s="7"/>
      <c r="C893" s="7"/>
      <c r="D893" s="7"/>
      <c r="E893" s="7"/>
      <c r="F893" s="7"/>
      <c r="G893" s="14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7"/>
      <c r="B894" s="7"/>
      <c r="C894" s="7"/>
      <c r="D894" s="7"/>
      <c r="E894" s="7"/>
      <c r="F894" s="7"/>
      <c r="G894" s="14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7"/>
      <c r="B895" s="7"/>
      <c r="C895" s="7"/>
      <c r="D895" s="7"/>
      <c r="E895" s="7"/>
      <c r="F895" s="7"/>
      <c r="G895" s="14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7"/>
      <c r="B896" s="7"/>
      <c r="C896" s="7"/>
      <c r="D896" s="7"/>
      <c r="E896" s="7"/>
      <c r="F896" s="7"/>
      <c r="G896" s="14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7"/>
      <c r="B897" s="7"/>
      <c r="C897" s="7"/>
      <c r="D897" s="7"/>
      <c r="E897" s="7"/>
      <c r="F897" s="7"/>
      <c r="G897" s="14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7"/>
      <c r="B898" s="7"/>
      <c r="C898" s="7"/>
      <c r="D898" s="7"/>
      <c r="E898" s="7"/>
      <c r="F898" s="7"/>
      <c r="G898" s="14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7"/>
      <c r="B899" s="7"/>
      <c r="C899" s="7"/>
      <c r="D899" s="7"/>
      <c r="E899" s="7"/>
      <c r="F899" s="7"/>
      <c r="G899" s="14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7"/>
      <c r="B900" s="7"/>
      <c r="C900" s="7"/>
      <c r="D900" s="7"/>
      <c r="E900" s="7"/>
      <c r="F900" s="7"/>
      <c r="G900" s="14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7"/>
      <c r="B901" s="7"/>
      <c r="C901" s="7"/>
      <c r="D901" s="7"/>
      <c r="E901" s="7"/>
      <c r="F901" s="7"/>
      <c r="G901" s="14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7"/>
      <c r="B902" s="7"/>
      <c r="C902" s="7"/>
      <c r="D902" s="7"/>
      <c r="E902" s="7"/>
      <c r="F902" s="7"/>
      <c r="G902" s="14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7"/>
      <c r="B903" s="7"/>
      <c r="C903" s="7"/>
      <c r="D903" s="7"/>
      <c r="E903" s="7"/>
      <c r="F903" s="7"/>
      <c r="G903" s="14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7"/>
      <c r="B904" s="7"/>
      <c r="C904" s="7"/>
      <c r="D904" s="7"/>
      <c r="E904" s="7"/>
      <c r="F904" s="7"/>
      <c r="G904" s="14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7"/>
      <c r="B905" s="7"/>
      <c r="C905" s="7"/>
      <c r="D905" s="7"/>
      <c r="E905" s="7"/>
      <c r="F905" s="7"/>
      <c r="G905" s="14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7"/>
      <c r="B906" s="7"/>
      <c r="C906" s="7"/>
      <c r="D906" s="7"/>
      <c r="E906" s="7"/>
      <c r="F906" s="7"/>
      <c r="G906" s="14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7"/>
      <c r="B907" s="7"/>
      <c r="C907" s="7"/>
      <c r="D907" s="7"/>
      <c r="E907" s="7"/>
      <c r="F907" s="7"/>
      <c r="G907" s="14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7"/>
      <c r="B908" s="7"/>
      <c r="C908" s="7"/>
      <c r="D908" s="7"/>
      <c r="E908" s="7"/>
      <c r="F908" s="7"/>
      <c r="G908" s="14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7"/>
      <c r="B909" s="7"/>
      <c r="C909" s="7"/>
      <c r="D909" s="7"/>
      <c r="E909" s="7"/>
      <c r="F909" s="7"/>
      <c r="G909" s="14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7"/>
      <c r="B910" s="7"/>
      <c r="C910" s="7"/>
      <c r="D910" s="7"/>
      <c r="E910" s="7"/>
      <c r="F910" s="7"/>
      <c r="G910" s="14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7"/>
      <c r="B911" s="7"/>
      <c r="C911" s="7"/>
      <c r="D911" s="7"/>
      <c r="E911" s="7"/>
      <c r="F911" s="7"/>
      <c r="G911" s="14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7"/>
      <c r="B912" s="7"/>
      <c r="C912" s="7"/>
      <c r="D912" s="7"/>
      <c r="E912" s="7"/>
      <c r="F912" s="7"/>
      <c r="G912" s="14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7"/>
      <c r="B913" s="7"/>
      <c r="C913" s="7"/>
      <c r="D913" s="7"/>
      <c r="E913" s="7"/>
      <c r="F913" s="7"/>
      <c r="G913" s="14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7"/>
      <c r="B914" s="7"/>
      <c r="C914" s="7"/>
      <c r="D914" s="7"/>
      <c r="E914" s="7"/>
      <c r="F914" s="7"/>
      <c r="G914" s="14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7"/>
      <c r="B915" s="7"/>
      <c r="C915" s="7"/>
      <c r="D915" s="7"/>
      <c r="E915" s="7"/>
      <c r="F915" s="7"/>
      <c r="G915" s="14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7"/>
      <c r="B916" s="7"/>
      <c r="C916" s="7"/>
      <c r="D916" s="7"/>
      <c r="E916" s="7"/>
      <c r="F916" s="7"/>
      <c r="G916" s="14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7"/>
      <c r="B917" s="7"/>
      <c r="C917" s="7"/>
      <c r="D917" s="7"/>
      <c r="E917" s="7"/>
      <c r="F917" s="7"/>
      <c r="G917" s="14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7"/>
      <c r="B918" s="7"/>
      <c r="C918" s="7"/>
      <c r="D918" s="7"/>
      <c r="E918" s="7"/>
      <c r="F918" s="7"/>
      <c r="G918" s="14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7"/>
      <c r="B919" s="7"/>
      <c r="C919" s="7"/>
      <c r="D919" s="7"/>
      <c r="E919" s="7"/>
      <c r="F919" s="7"/>
      <c r="G919" s="14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7"/>
      <c r="B920" s="7"/>
      <c r="C920" s="7"/>
      <c r="D920" s="7"/>
      <c r="E920" s="7"/>
      <c r="F920" s="7"/>
      <c r="G920" s="14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7"/>
      <c r="B921" s="7"/>
      <c r="C921" s="7"/>
      <c r="D921" s="7"/>
      <c r="E921" s="7"/>
      <c r="F921" s="7"/>
      <c r="G921" s="14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7"/>
      <c r="B922" s="7"/>
      <c r="C922" s="7"/>
      <c r="D922" s="7"/>
      <c r="E922" s="7"/>
      <c r="F922" s="7"/>
      <c r="G922" s="14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7"/>
      <c r="B923" s="7"/>
      <c r="C923" s="7"/>
      <c r="D923" s="7"/>
      <c r="E923" s="7"/>
      <c r="F923" s="7"/>
      <c r="G923" s="14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7"/>
      <c r="B924" s="7"/>
      <c r="C924" s="7"/>
      <c r="D924" s="7"/>
      <c r="E924" s="7"/>
      <c r="F924" s="7"/>
      <c r="G924" s="14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7"/>
      <c r="B925" s="7"/>
      <c r="C925" s="7"/>
      <c r="D925" s="7"/>
      <c r="E925" s="7"/>
      <c r="F925" s="7"/>
      <c r="G925" s="14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7"/>
      <c r="B926" s="7"/>
      <c r="C926" s="7"/>
      <c r="D926" s="7"/>
      <c r="E926" s="7"/>
      <c r="F926" s="7"/>
      <c r="G926" s="14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7"/>
      <c r="B927" s="7"/>
      <c r="C927" s="7"/>
      <c r="D927" s="7"/>
      <c r="E927" s="7"/>
      <c r="F927" s="7"/>
      <c r="G927" s="14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7"/>
      <c r="B928" s="7"/>
      <c r="C928" s="7"/>
      <c r="D928" s="7"/>
      <c r="E928" s="7"/>
      <c r="F928" s="7"/>
      <c r="G928" s="14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7"/>
      <c r="B929" s="7"/>
      <c r="C929" s="7"/>
      <c r="D929" s="7"/>
      <c r="E929" s="7"/>
      <c r="F929" s="7"/>
      <c r="G929" s="14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7"/>
      <c r="B930" s="7"/>
      <c r="C930" s="7"/>
      <c r="D930" s="7"/>
      <c r="E930" s="7"/>
      <c r="F930" s="7"/>
      <c r="G930" s="14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7"/>
      <c r="B931" s="7"/>
      <c r="C931" s="7"/>
      <c r="D931" s="7"/>
      <c r="E931" s="7"/>
      <c r="F931" s="7"/>
      <c r="G931" s="14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7"/>
      <c r="B932" s="7"/>
      <c r="C932" s="7"/>
      <c r="D932" s="7"/>
      <c r="E932" s="7"/>
      <c r="F932" s="7"/>
      <c r="G932" s="14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7"/>
      <c r="B933" s="7"/>
      <c r="C933" s="7"/>
      <c r="D933" s="7"/>
      <c r="E933" s="7"/>
      <c r="F933" s="7"/>
      <c r="G933" s="14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7"/>
      <c r="B934" s="7"/>
      <c r="C934" s="7"/>
      <c r="D934" s="7"/>
      <c r="E934" s="7"/>
      <c r="F934" s="7"/>
      <c r="G934" s="14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7"/>
      <c r="B935" s="7"/>
      <c r="C935" s="7"/>
      <c r="D935" s="7"/>
      <c r="E935" s="7"/>
      <c r="F935" s="7"/>
      <c r="G935" s="14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7"/>
      <c r="B936" s="7"/>
      <c r="C936" s="7"/>
      <c r="D936" s="7"/>
      <c r="E936" s="7"/>
      <c r="F936" s="7"/>
      <c r="G936" s="14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7"/>
      <c r="B937" s="7"/>
      <c r="C937" s="7"/>
      <c r="D937" s="7"/>
      <c r="E937" s="7"/>
      <c r="F937" s="7"/>
      <c r="G937" s="14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7"/>
      <c r="B938" s="7"/>
      <c r="C938" s="7"/>
      <c r="D938" s="7"/>
      <c r="E938" s="7"/>
      <c r="F938" s="7"/>
      <c r="G938" s="14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7"/>
      <c r="B939" s="7"/>
      <c r="C939" s="7"/>
      <c r="D939" s="7"/>
      <c r="E939" s="7"/>
      <c r="F939" s="7"/>
      <c r="G939" s="14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7"/>
      <c r="B940" s="7"/>
      <c r="C940" s="7"/>
      <c r="D940" s="7"/>
      <c r="E940" s="7"/>
      <c r="F940" s="7"/>
      <c r="G940" s="14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7"/>
      <c r="B941" s="7"/>
      <c r="C941" s="7"/>
      <c r="D941" s="7"/>
      <c r="E941" s="7"/>
      <c r="F941" s="7"/>
      <c r="G941" s="14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7"/>
      <c r="B942" s="7"/>
      <c r="C942" s="7"/>
      <c r="D942" s="7"/>
      <c r="E942" s="7"/>
      <c r="F942" s="7"/>
      <c r="G942" s="14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7"/>
      <c r="B943" s="7"/>
      <c r="C943" s="7"/>
      <c r="D943" s="7"/>
      <c r="E943" s="7"/>
      <c r="F943" s="7"/>
      <c r="G943" s="14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7"/>
      <c r="B944" s="7"/>
      <c r="C944" s="7"/>
      <c r="D944" s="7"/>
      <c r="E944" s="7"/>
      <c r="F944" s="7"/>
      <c r="G944" s="14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7"/>
      <c r="B945" s="7"/>
      <c r="C945" s="7"/>
      <c r="D945" s="7"/>
      <c r="E945" s="7"/>
      <c r="F945" s="7"/>
      <c r="G945" s="14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7"/>
      <c r="B946" s="7"/>
      <c r="C946" s="7"/>
      <c r="D946" s="7"/>
      <c r="E946" s="7"/>
      <c r="F946" s="7"/>
      <c r="G946" s="14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7"/>
      <c r="B947" s="7"/>
      <c r="C947" s="7"/>
      <c r="D947" s="7"/>
      <c r="E947" s="7"/>
      <c r="F947" s="7"/>
      <c r="G947" s="14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7"/>
      <c r="B948" s="7"/>
      <c r="C948" s="7"/>
      <c r="D948" s="7"/>
      <c r="E948" s="7"/>
      <c r="F948" s="7"/>
      <c r="G948" s="14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7"/>
      <c r="B949" s="7"/>
      <c r="C949" s="7"/>
      <c r="D949" s="7"/>
      <c r="E949" s="7"/>
      <c r="F949" s="7"/>
      <c r="G949" s="14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7"/>
      <c r="B950" s="7"/>
      <c r="C950" s="7"/>
      <c r="D950" s="7"/>
      <c r="E950" s="7"/>
      <c r="F950" s="7"/>
      <c r="G950" s="14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7"/>
      <c r="B951" s="7"/>
      <c r="C951" s="7"/>
      <c r="D951" s="7"/>
      <c r="E951" s="7"/>
      <c r="F951" s="7"/>
      <c r="G951" s="14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7"/>
      <c r="B952" s="7"/>
      <c r="C952" s="7"/>
      <c r="D952" s="7"/>
      <c r="E952" s="7"/>
      <c r="F952" s="7"/>
      <c r="G952" s="14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7"/>
      <c r="B953" s="7"/>
      <c r="C953" s="7"/>
      <c r="D953" s="7"/>
      <c r="E953" s="7"/>
      <c r="F953" s="7"/>
      <c r="G953" s="14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7"/>
      <c r="B954" s="7"/>
      <c r="C954" s="7"/>
      <c r="D954" s="7"/>
      <c r="E954" s="7"/>
      <c r="F954" s="7"/>
      <c r="G954" s="14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7"/>
      <c r="B955" s="7"/>
      <c r="C955" s="7"/>
      <c r="D955" s="7"/>
      <c r="E955" s="7"/>
      <c r="F955" s="7"/>
      <c r="G955" s="14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7"/>
      <c r="B956" s="7"/>
      <c r="C956" s="7"/>
      <c r="D956" s="7"/>
      <c r="E956" s="7"/>
      <c r="F956" s="7"/>
      <c r="G956" s="14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7"/>
      <c r="B957" s="7"/>
      <c r="C957" s="7"/>
      <c r="D957" s="7"/>
      <c r="E957" s="7"/>
      <c r="F957" s="7"/>
      <c r="G957" s="14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7"/>
      <c r="B958" s="7"/>
      <c r="C958" s="7"/>
      <c r="D958" s="7"/>
      <c r="E958" s="7"/>
      <c r="F958" s="7"/>
      <c r="G958" s="14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7"/>
      <c r="B959" s="7"/>
      <c r="C959" s="7"/>
      <c r="D959" s="7"/>
      <c r="E959" s="7"/>
      <c r="F959" s="7"/>
      <c r="G959" s="14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7"/>
      <c r="B960" s="7"/>
      <c r="C960" s="7"/>
      <c r="D960" s="7"/>
      <c r="E960" s="7"/>
      <c r="F960" s="7"/>
      <c r="G960" s="14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7"/>
      <c r="B961" s="7"/>
      <c r="C961" s="7"/>
      <c r="D961" s="7"/>
      <c r="E961" s="7"/>
      <c r="F961" s="7"/>
      <c r="G961" s="14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7"/>
      <c r="B962" s="7"/>
      <c r="C962" s="7"/>
      <c r="D962" s="7"/>
      <c r="E962" s="7"/>
      <c r="F962" s="7"/>
      <c r="G962" s="14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7"/>
      <c r="B963" s="7"/>
      <c r="C963" s="7"/>
      <c r="D963" s="7"/>
      <c r="E963" s="7"/>
      <c r="F963" s="7"/>
      <c r="G963" s="14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7"/>
      <c r="B964" s="7"/>
      <c r="C964" s="7"/>
      <c r="D964" s="7"/>
      <c r="E964" s="7"/>
      <c r="F964" s="7"/>
      <c r="G964" s="14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7"/>
      <c r="B965" s="7"/>
      <c r="C965" s="7"/>
      <c r="D965" s="7"/>
      <c r="E965" s="7"/>
      <c r="F965" s="7"/>
      <c r="G965" s="14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7"/>
      <c r="B966" s="7"/>
      <c r="C966" s="7"/>
      <c r="D966" s="7"/>
      <c r="E966" s="7"/>
      <c r="F966" s="7"/>
      <c r="G966" s="14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7"/>
      <c r="B967" s="7"/>
      <c r="C967" s="7"/>
      <c r="D967" s="7"/>
      <c r="E967" s="7"/>
      <c r="F967" s="7"/>
      <c r="G967" s="14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7"/>
      <c r="B968" s="7"/>
      <c r="C968" s="7"/>
      <c r="D968" s="7"/>
      <c r="E968" s="7"/>
      <c r="F968" s="7"/>
      <c r="G968" s="14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7"/>
      <c r="B969" s="7"/>
      <c r="C969" s="7"/>
      <c r="D969" s="7"/>
      <c r="E969" s="7"/>
      <c r="F969" s="7"/>
      <c r="G969" s="14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7"/>
      <c r="B970" s="7"/>
      <c r="C970" s="7"/>
      <c r="D970" s="7"/>
      <c r="E970" s="7"/>
      <c r="F970" s="7"/>
      <c r="G970" s="14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7"/>
      <c r="B971" s="7"/>
      <c r="C971" s="7"/>
      <c r="D971" s="7"/>
      <c r="E971" s="7"/>
      <c r="F971" s="7"/>
      <c r="G971" s="14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7"/>
      <c r="B972" s="7"/>
      <c r="C972" s="7"/>
      <c r="D972" s="7"/>
      <c r="E972" s="7"/>
      <c r="F972" s="7"/>
      <c r="G972" s="14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7"/>
      <c r="B973" s="7"/>
      <c r="C973" s="7"/>
      <c r="D973" s="7"/>
      <c r="E973" s="7"/>
      <c r="F973" s="7"/>
      <c r="G973" s="14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7"/>
      <c r="B974" s="7"/>
      <c r="C974" s="7"/>
      <c r="D974" s="7"/>
      <c r="E974" s="7"/>
      <c r="F974" s="7"/>
      <c r="G974" s="14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7"/>
      <c r="B975" s="7"/>
      <c r="C975" s="7"/>
      <c r="D975" s="7"/>
      <c r="E975" s="7"/>
      <c r="F975" s="7"/>
      <c r="G975" s="14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7"/>
      <c r="B976" s="7"/>
      <c r="C976" s="7"/>
      <c r="D976" s="7"/>
      <c r="E976" s="7"/>
      <c r="F976" s="7"/>
      <c r="G976" s="14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7"/>
      <c r="B977" s="7"/>
      <c r="C977" s="7"/>
      <c r="D977" s="7"/>
      <c r="E977" s="7"/>
      <c r="F977" s="7"/>
      <c r="G977" s="14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7"/>
      <c r="B978" s="7"/>
      <c r="C978" s="7"/>
      <c r="D978" s="7"/>
      <c r="E978" s="7"/>
      <c r="F978" s="7"/>
      <c r="G978" s="14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7"/>
      <c r="B979" s="7"/>
      <c r="C979" s="7"/>
      <c r="D979" s="7"/>
      <c r="E979" s="7"/>
      <c r="F979" s="7"/>
      <c r="G979" s="14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7"/>
      <c r="B980" s="7"/>
      <c r="C980" s="7"/>
      <c r="D980" s="7"/>
      <c r="E980" s="7"/>
      <c r="F980" s="7"/>
      <c r="G980" s="14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7"/>
      <c r="B981" s="7"/>
      <c r="C981" s="7"/>
      <c r="D981" s="7"/>
      <c r="E981" s="7"/>
      <c r="F981" s="7"/>
      <c r="G981" s="14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7"/>
      <c r="B982" s="7"/>
      <c r="C982" s="7"/>
      <c r="D982" s="7"/>
      <c r="E982" s="7"/>
      <c r="F982" s="7"/>
      <c r="G982" s="14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7"/>
      <c r="B983" s="7"/>
      <c r="C983" s="7"/>
      <c r="D983" s="7"/>
      <c r="E983" s="7"/>
      <c r="F983" s="7"/>
      <c r="G983" s="14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7"/>
      <c r="B984" s="7"/>
      <c r="C984" s="7"/>
      <c r="D984" s="7"/>
      <c r="E984" s="7"/>
      <c r="F984" s="7"/>
      <c r="G984" s="14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7"/>
      <c r="B985" s="7"/>
      <c r="C985" s="7"/>
      <c r="D985" s="7"/>
      <c r="E985" s="7"/>
      <c r="F985" s="7"/>
      <c r="G985" s="14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7"/>
      <c r="B986" s="7"/>
      <c r="C986" s="7"/>
      <c r="D986" s="7"/>
      <c r="E986" s="7"/>
      <c r="F986" s="7"/>
      <c r="G986" s="14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7"/>
      <c r="B987" s="7"/>
      <c r="C987" s="7"/>
      <c r="D987" s="7"/>
      <c r="E987" s="7"/>
      <c r="F987" s="7"/>
      <c r="G987" s="14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7"/>
      <c r="B988" s="7"/>
      <c r="C988" s="7"/>
      <c r="D988" s="7"/>
      <c r="E988" s="7"/>
      <c r="F988" s="7"/>
      <c r="G988" s="14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7"/>
      <c r="B989" s="7"/>
      <c r="C989" s="7"/>
      <c r="D989" s="7"/>
      <c r="E989" s="7"/>
      <c r="F989" s="7"/>
      <c r="G989" s="14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7"/>
      <c r="B990" s="7"/>
      <c r="C990" s="7"/>
      <c r="D990" s="7"/>
      <c r="E990" s="7"/>
      <c r="F990" s="7"/>
      <c r="G990" s="14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7"/>
      <c r="B991" s="7"/>
      <c r="C991" s="7"/>
      <c r="D991" s="7"/>
      <c r="E991" s="7"/>
      <c r="F991" s="7"/>
      <c r="G991" s="14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7"/>
      <c r="B992" s="7"/>
      <c r="C992" s="7"/>
      <c r="D992" s="7"/>
      <c r="E992" s="7"/>
      <c r="F992" s="7"/>
      <c r="G992" s="14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7"/>
      <c r="G993" s="14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7"/>
      <c r="G994" s="14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7"/>
      <c r="G995" s="14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7"/>
      <c r="B996" s="7"/>
      <c r="C996" s="7"/>
      <c r="D996" s="7"/>
      <c r="E996" s="7"/>
      <c r="F996" s="7"/>
      <c r="G996" s="14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7"/>
      <c r="B997" s="7"/>
      <c r="C997" s="7"/>
      <c r="D997" s="7"/>
      <c r="E997" s="7"/>
      <c r="F997" s="7"/>
      <c r="G997" s="14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7"/>
      <c r="B998" s="7"/>
      <c r="C998" s="7"/>
      <c r="D998" s="7"/>
      <c r="E998" s="7"/>
      <c r="F998" s="7"/>
      <c r="G998" s="14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7"/>
      <c r="B999" s="7"/>
      <c r="C999" s="7"/>
      <c r="D999" s="7"/>
      <c r="E999" s="7"/>
      <c r="F999" s="7"/>
      <c r="G999" s="14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7"/>
      <c r="B1000" s="7"/>
      <c r="C1000" s="7"/>
      <c r="D1000" s="7"/>
      <c r="E1000" s="7"/>
      <c r="F1000" s="7"/>
      <c r="G1000" s="14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ht="15.75" customHeight="1">
      <c r="A1001" s="7"/>
      <c r="B1001" s="7"/>
      <c r="C1001" s="7"/>
      <c r="D1001" s="7"/>
      <c r="E1001" s="7"/>
      <c r="F1001" s="7"/>
      <c r="G1001" s="14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ht="15.75" customHeight="1">
      <c r="A1002" s="7"/>
      <c r="B1002" s="7"/>
      <c r="C1002" s="7"/>
      <c r="D1002" s="7"/>
      <c r="E1002" s="7"/>
      <c r="F1002" s="7"/>
      <c r="G1002" s="14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ht="15.75" customHeight="1">
      <c r="A1003" s="7"/>
      <c r="B1003" s="7"/>
      <c r="C1003" s="7"/>
      <c r="D1003" s="7"/>
      <c r="E1003" s="7"/>
      <c r="F1003" s="7"/>
      <c r="G1003" s="14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ht="15.75" customHeight="1">
      <c r="A1004" s="7"/>
      <c r="B1004" s="7"/>
      <c r="C1004" s="7"/>
      <c r="D1004" s="7"/>
      <c r="E1004" s="7"/>
      <c r="F1004" s="7"/>
      <c r="G1004" s="14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ht="15.75" customHeight="1">
      <c r="A1005" s="7"/>
      <c r="B1005" s="7"/>
      <c r="C1005" s="7"/>
      <c r="D1005" s="7"/>
      <c r="E1005" s="7"/>
      <c r="F1005" s="7"/>
      <c r="G1005" s="14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15.75" customHeight="1">
      <c r="A1006" s="7"/>
      <c r="B1006" s="7"/>
      <c r="C1006" s="7"/>
      <c r="D1006" s="7"/>
      <c r="E1006" s="7"/>
      <c r="F1006" s="7"/>
      <c r="G1006" s="14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ht="15.75" customHeight="1">
      <c r="A1007" s="7"/>
      <c r="B1007" s="7"/>
      <c r="C1007" s="7"/>
      <c r="D1007" s="7"/>
      <c r="E1007" s="7"/>
      <c r="F1007" s="7"/>
      <c r="G1007" s="14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ht="15.75" customHeight="1">
      <c r="A1008" s="7"/>
      <c r="B1008" s="7"/>
      <c r="C1008" s="7"/>
      <c r="D1008" s="7"/>
      <c r="E1008" s="7"/>
      <c r="F1008" s="7"/>
      <c r="G1008" s="14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ht="15.75" customHeight="1">
      <c r="A1009" s="7"/>
      <c r="B1009" s="7"/>
      <c r="C1009" s="7"/>
      <c r="D1009" s="7"/>
      <c r="E1009" s="7"/>
      <c r="F1009" s="7"/>
      <c r="G1009" s="14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ht="15.75" customHeight="1">
      <c r="A1010" s="7"/>
      <c r="B1010" s="7"/>
      <c r="C1010" s="7"/>
      <c r="D1010" s="7"/>
      <c r="E1010" s="7"/>
      <c r="F1010" s="7"/>
      <c r="G1010" s="14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ht="15.75" customHeight="1">
      <c r="A1011" s="7"/>
      <c r="B1011" s="7"/>
      <c r="C1011" s="7"/>
      <c r="D1011" s="7"/>
      <c r="E1011" s="7"/>
      <c r="F1011" s="7"/>
      <c r="G1011" s="14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ht="15.75" customHeight="1">
      <c r="A1012" s="7"/>
      <c r="B1012" s="7"/>
      <c r="C1012" s="7"/>
      <c r="D1012" s="7"/>
      <c r="E1012" s="7"/>
      <c r="F1012" s="7"/>
      <c r="G1012" s="14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ht="15.75" customHeight="1">
      <c r="A1013" s="7"/>
      <c r="B1013" s="7"/>
      <c r="C1013" s="7"/>
      <c r="D1013" s="7"/>
      <c r="E1013" s="7"/>
      <c r="F1013" s="7"/>
      <c r="G1013" s="14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ht="15.75" customHeight="1">
      <c r="A1014" s="7"/>
      <c r="B1014" s="7"/>
      <c r="C1014" s="7"/>
      <c r="D1014" s="7"/>
      <c r="E1014" s="7"/>
      <c r="F1014" s="7"/>
      <c r="G1014" s="14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</sheetData>
  <hyperlinks>
    <hyperlink r:id="rId1" ref="J231"/>
  </hyperlinks>
  <printOptions/>
  <pageMargins bottom="1.025" footer="0.0" header="0.0" left="0.7875" right="0.7875" top="1.025"/>
  <pageSetup orientation="portrait"/>
  <headerFooter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9" width="8.71"/>
  </cols>
  <sheetData>
    <row r="1" ht="12.75" customHeight="1">
      <c r="A1" s="20">
        <v>1.0</v>
      </c>
      <c r="B1" s="20">
        <v>8.82</v>
      </c>
      <c r="C1" s="20">
        <f t="shared" ref="C1:C7" si="1">B1/A1</f>
        <v>8.82</v>
      </c>
      <c r="E1" s="20">
        <f t="shared" ref="E1:E7" si="2">A1*12</f>
        <v>12</v>
      </c>
    </row>
    <row r="2" ht="12.75" customHeight="1">
      <c r="A2" s="20">
        <v>1.5</v>
      </c>
      <c r="B2" s="20">
        <v>12.76</v>
      </c>
      <c r="C2" s="20">
        <f t="shared" si="1"/>
        <v>8.506666667</v>
      </c>
      <c r="E2" s="20">
        <f t="shared" si="2"/>
        <v>18</v>
      </c>
    </row>
    <row r="3" ht="12.75" customHeight="1">
      <c r="A3" s="20">
        <v>2.0</v>
      </c>
      <c r="B3" s="20">
        <v>16.86</v>
      </c>
      <c r="C3" s="20">
        <f t="shared" si="1"/>
        <v>8.43</v>
      </c>
      <c r="E3" s="20">
        <f t="shared" si="2"/>
        <v>24</v>
      </c>
    </row>
    <row r="4" ht="12.75" customHeight="1">
      <c r="A4" s="20">
        <v>3.0</v>
      </c>
      <c r="B4" s="20">
        <v>25.14</v>
      </c>
      <c r="C4" s="20">
        <f t="shared" si="1"/>
        <v>8.38</v>
      </c>
      <c r="E4" s="20">
        <f t="shared" si="2"/>
        <v>36</v>
      </c>
    </row>
    <row r="5" ht="12.75" customHeight="1">
      <c r="A5" s="20">
        <v>4.0</v>
      </c>
      <c r="B5" s="20">
        <v>34.79</v>
      </c>
      <c r="C5" s="20">
        <f t="shared" si="1"/>
        <v>8.6975</v>
      </c>
      <c r="E5" s="20">
        <f t="shared" si="2"/>
        <v>48</v>
      </c>
      <c r="H5" s="7" t="s">
        <v>615</v>
      </c>
      <c r="M5" s="7" t="s">
        <v>616</v>
      </c>
    </row>
    <row r="6" ht="12.75" customHeight="1">
      <c r="A6" s="20">
        <v>5.0</v>
      </c>
      <c r="B6" s="20">
        <v>45.37</v>
      </c>
      <c r="C6" s="20">
        <f t="shared" si="1"/>
        <v>9.074</v>
      </c>
      <c r="E6" s="20">
        <f t="shared" si="2"/>
        <v>60</v>
      </c>
      <c r="H6" s="20">
        <v>1.0</v>
      </c>
      <c r="I6" s="20">
        <v>2.0</v>
      </c>
      <c r="J6" s="20">
        <v>3.0</v>
      </c>
      <c r="K6" s="20">
        <v>4.0</v>
      </c>
      <c r="L6" s="20">
        <v>5.0</v>
      </c>
      <c r="M6" s="20">
        <v>6.0</v>
      </c>
      <c r="N6" s="20">
        <v>7.0</v>
      </c>
      <c r="O6" s="20">
        <v>8.0</v>
      </c>
      <c r="P6" s="20">
        <v>9.0</v>
      </c>
      <c r="Q6" s="20">
        <v>10.0</v>
      </c>
      <c r="R6" s="20">
        <v>11.0</v>
      </c>
      <c r="S6" s="20">
        <v>12.0</v>
      </c>
      <c r="T6" s="20">
        <v>13.0</v>
      </c>
      <c r="U6" s="20">
        <v>14.0</v>
      </c>
      <c r="V6" s="20">
        <v>15.0</v>
      </c>
      <c r="W6" s="20">
        <v>16.0</v>
      </c>
      <c r="X6" s="20">
        <v>17.0</v>
      </c>
      <c r="Y6" s="20">
        <v>18.0</v>
      </c>
      <c r="Z6" s="20">
        <v>19.0</v>
      </c>
      <c r="AA6" s="20">
        <v>20.0</v>
      </c>
    </row>
    <row r="7" ht="12.75" customHeight="1">
      <c r="A7" s="20">
        <v>10.0</v>
      </c>
      <c r="B7" s="20">
        <v>74.23</v>
      </c>
      <c r="C7" s="20">
        <f t="shared" si="1"/>
        <v>7.423</v>
      </c>
      <c r="E7" s="20">
        <f t="shared" si="2"/>
        <v>120</v>
      </c>
      <c r="H7" s="20">
        <v>54.0</v>
      </c>
      <c r="I7" s="20">
        <v>54.0</v>
      </c>
      <c r="J7" s="20">
        <v>32.0</v>
      </c>
      <c r="K7" s="20">
        <v>31.0</v>
      </c>
      <c r="M7" s="20">
        <v>43.0</v>
      </c>
      <c r="N7" s="20">
        <v>32.0</v>
      </c>
      <c r="O7" s="20">
        <v>43.0</v>
      </c>
    </row>
    <row r="8" ht="12.75" customHeight="1">
      <c r="H8" s="20">
        <v>32.0</v>
      </c>
      <c r="I8" s="20">
        <v>32.0</v>
      </c>
      <c r="J8" s="20">
        <v>31.0</v>
      </c>
      <c r="M8" s="20">
        <v>32.0</v>
      </c>
      <c r="N8" s="20">
        <v>32.0</v>
      </c>
      <c r="O8" s="20">
        <v>31.0</v>
      </c>
    </row>
    <row r="9" ht="12.75" customHeight="1">
      <c r="H9" s="20">
        <v>30.0</v>
      </c>
      <c r="I9" s="20">
        <v>30.0</v>
      </c>
      <c r="J9" s="20">
        <v>31.0</v>
      </c>
      <c r="K9" s="20">
        <v>17.0</v>
      </c>
      <c r="M9" s="20">
        <v>31.0</v>
      </c>
      <c r="N9" s="20">
        <v>17.0</v>
      </c>
      <c r="O9" s="20">
        <v>31.0</v>
      </c>
    </row>
    <row r="10" ht="12.75" customHeight="1">
      <c r="J10" s="20">
        <v>19.0</v>
      </c>
      <c r="K10" s="20">
        <v>16.0</v>
      </c>
      <c r="N10" s="20">
        <v>15.0</v>
      </c>
      <c r="O10" s="20">
        <v>2.0</v>
      </c>
    </row>
    <row r="11" ht="12.75" customHeight="1">
      <c r="K11" s="20">
        <v>16.0</v>
      </c>
      <c r="N11" s="20">
        <v>15.0</v>
      </c>
      <c r="O11" s="20">
        <v>2.0</v>
      </c>
    </row>
    <row r="12" ht="12.75" customHeight="1">
      <c r="K12" s="20">
        <v>12.0</v>
      </c>
      <c r="O12" s="20">
        <v>2.0</v>
      </c>
    </row>
    <row r="13" ht="12.75" customHeight="1">
      <c r="K13" s="20">
        <v>12.0</v>
      </c>
      <c r="N13" s="20">
        <v>2.0</v>
      </c>
      <c r="O13" s="20">
        <v>2.0</v>
      </c>
    </row>
    <row r="14" ht="12.75" customHeight="1">
      <c r="K14" s="20">
        <v>15.0</v>
      </c>
      <c r="L14" s="20">
        <v>15.0</v>
      </c>
      <c r="N14" s="20">
        <v>2.0</v>
      </c>
      <c r="O14" s="20">
        <v>2.0</v>
      </c>
    </row>
    <row r="15" ht="12.75" customHeight="1">
      <c r="O15" s="20">
        <v>2.0</v>
      </c>
    </row>
    <row r="16" ht="12.75" customHeight="1">
      <c r="L16" s="20">
        <v>2.0</v>
      </c>
      <c r="O16" s="20">
        <v>2.0</v>
      </c>
    </row>
    <row r="17" ht="12.75" customHeight="1">
      <c r="L17" s="20">
        <v>2.0</v>
      </c>
      <c r="M17" s="20">
        <v>2.0</v>
      </c>
    </row>
    <row r="18" ht="12.75" customHeight="1">
      <c r="L18" s="20">
        <v>2.0</v>
      </c>
      <c r="M18" s="20">
        <v>2.0</v>
      </c>
    </row>
    <row r="19" ht="12.75" customHeight="1">
      <c r="M19" s="20">
        <v>2.0</v>
      </c>
    </row>
    <row r="20" ht="12.75" customHeight="1">
      <c r="M20" s="20">
        <v>2.0</v>
      </c>
    </row>
    <row r="21" ht="12.75" customHeight="1">
      <c r="M21" s="20">
        <v>2.0</v>
      </c>
    </row>
    <row r="22" ht="12.75" customHeight="1">
      <c r="M22" s="20">
        <v>2.0</v>
      </c>
    </row>
    <row r="23" ht="12.75" customHeight="1"/>
    <row r="24" ht="12.75" customHeight="1"/>
    <row r="25" ht="12.75" customHeight="1"/>
    <row r="26" ht="12.75" customHeight="1">
      <c r="G26" s="7" t="s">
        <v>617</v>
      </c>
      <c r="H26" s="20">
        <f t="shared" ref="H26:AA26" si="3">SUM(H7:H25)</f>
        <v>116</v>
      </c>
      <c r="I26" s="20">
        <f t="shared" si="3"/>
        <v>116</v>
      </c>
      <c r="J26" s="20">
        <f t="shared" si="3"/>
        <v>113</v>
      </c>
      <c r="K26" s="20">
        <f t="shared" si="3"/>
        <v>119</v>
      </c>
      <c r="L26" s="20">
        <f t="shared" si="3"/>
        <v>21</v>
      </c>
      <c r="M26" s="20">
        <f t="shared" si="3"/>
        <v>118</v>
      </c>
      <c r="N26" s="20">
        <f t="shared" si="3"/>
        <v>115</v>
      </c>
      <c r="O26" s="20">
        <f t="shared" si="3"/>
        <v>119</v>
      </c>
      <c r="P26" s="20">
        <f t="shared" si="3"/>
        <v>0</v>
      </c>
      <c r="Q26" s="20">
        <f t="shared" si="3"/>
        <v>0</v>
      </c>
      <c r="R26" s="20">
        <f t="shared" si="3"/>
        <v>0</v>
      </c>
      <c r="S26" s="20">
        <f t="shared" si="3"/>
        <v>0</v>
      </c>
      <c r="T26" s="20">
        <f t="shared" si="3"/>
        <v>0</v>
      </c>
      <c r="U26" s="20">
        <f t="shared" si="3"/>
        <v>0</v>
      </c>
      <c r="V26" s="20">
        <f t="shared" si="3"/>
        <v>0</v>
      </c>
      <c r="W26" s="20">
        <f t="shared" si="3"/>
        <v>0</v>
      </c>
      <c r="X26" s="20">
        <f t="shared" si="3"/>
        <v>0</v>
      </c>
      <c r="Y26" s="20">
        <f t="shared" si="3"/>
        <v>0</v>
      </c>
      <c r="Z26" s="20">
        <f t="shared" si="3"/>
        <v>0</v>
      </c>
      <c r="AA26" s="20">
        <f t="shared" si="3"/>
        <v>0</v>
      </c>
      <c r="AC26" s="7"/>
    </row>
    <row r="27" ht="12.75" customHeight="1">
      <c r="G27" s="20">
        <f>SUM(H26:P26)</f>
        <v>837</v>
      </c>
    </row>
    <row r="28" ht="12.75" customHeight="1">
      <c r="G28" s="20">
        <f>SUM(H26:K26)</f>
        <v>464</v>
      </c>
    </row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9.29"/>
    <col customWidth="1" min="3" max="3" width="35.71"/>
    <col customWidth="1" min="4" max="4" width="17.86"/>
    <col customWidth="1" min="5" max="5" width="35.71"/>
    <col customWidth="1" min="6" max="7" width="16.29"/>
    <col customWidth="1" min="8" max="8" width="9.29"/>
    <col customWidth="1" min="9" max="9" width="10.71"/>
    <col customWidth="1" min="10" max="10" width="14.86"/>
    <col customWidth="1" min="11" max="11" width="21.86"/>
    <col customWidth="1" min="12" max="13" width="17.86"/>
    <col customWidth="1" min="14" max="14" width="13.0"/>
    <col customWidth="1" min="15" max="20" width="13.71"/>
    <col customWidth="1" min="21" max="26" width="9.29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>
      <c r="A2" s="66" t="s">
        <v>618</v>
      </c>
      <c r="B2" s="66" t="s">
        <v>619</v>
      </c>
      <c r="C2" s="66" t="s">
        <v>620</v>
      </c>
      <c r="D2" s="66" t="s">
        <v>621</v>
      </c>
      <c r="E2" s="66" t="s">
        <v>622</v>
      </c>
      <c r="F2" s="66" t="s">
        <v>623</v>
      </c>
      <c r="G2" s="66" t="s">
        <v>624</v>
      </c>
      <c r="H2" s="66" t="s">
        <v>625</v>
      </c>
      <c r="I2" s="66" t="s">
        <v>626</v>
      </c>
      <c r="J2" s="66" t="s">
        <v>627</v>
      </c>
      <c r="K2" s="66" t="s">
        <v>628</v>
      </c>
      <c r="L2" s="66" t="s">
        <v>629</v>
      </c>
      <c r="M2" s="66"/>
      <c r="N2" s="66" t="s">
        <v>630</v>
      </c>
      <c r="O2" s="66" t="s">
        <v>631</v>
      </c>
      <c r="P2" s="66" t="s">
        <v>632</v>
      </c>
      <c r="Q2" s="66"/>
      <c r="R2" s="66" t="s">
        <v>633</v>
      </c>
      <c r="S2" s="66" t="s">
        <v>634</v>
      </c>
      <c r="T2" s="66" t="s">
        <v>635</v>
      </c>
      <c r="U2" s="66" t="s">
        <v>636</v>
      </c>
      <c r="V2" s="66"/>
      <c r="W2" s="66" t="s">
        <v>637</v>
      </c>
      <c r="X2" s="66"/>
      <c r="Y2" s="66"/>
      <c r="Z2" s="66"/>
    </row>
    <row r="3">
      <c r="A3" s="66">
        <f>4*2+2</f>
        <v>10</v>
      </c>
      <c r="B3" s="66">
        <f>8*3+4*2</f>
        <v>32</v>
      </c>
      <c r="C3" s="66" t="s">
        <v>638</v>
      </c>
      <c r="D3" s="66">
        <v>0.25</v>
      </c>
      <c r="E3" s="66">
        <v>0.0</v>
      </c>
      <c r="F3" s="66">
        <v>0.105</v>
      </c>
      <c r="G3" s="66">
        <v>0.0</v>
      </c>
      <c r="H3" s="66">
        <v>0.095</v>
      </c>
      <c r="I3" s="66">
        <v>0.095</v>
      </c>
      <c r="J3" s="66">
        <v>0.5</v>
      </c>
      <c r="K3" s="66">
        <f t="shared" ref="K3:K9" si="1">SUM(D3:I3)</f>
        <v>0.545</v>
      </c>
      <c r="L3" s="66">
        <f t="shared" ref="L3:L9" si="2">SUM(D3:J3)</f>
        <v>1.045</v>
      </c>
      <c r="M3" s="66"/>
      <c r="N3" s="66">
        <v>2.0</v>
      </c>
      <c r="O3" s="66">
        <v>1.0</v>
      </c>
      <c r="P3" s="66">
        <v>0.0</v>
      </c>
      <c r="Q3" s="66"/>
      <c r="R3" s="66">
        <f t="shared" ref="R3:R9" si="3">N3*(A3+B3)</f>
        <v>84</v>
      </c>
      <c r="S3" s="66">
        <f t="shared" ref="S3:S9" si="4">O3*(A3+B3)</f>
        <v>42</v>
      </c>
      <c r="T3" s="66">
        <f t="shared" ref="T3:T9" si="5">P3*(A3+B3)</f>
        <v>0</v>
      </c>
      <c r="U3" s="66">
        <f t="shared" ref="U3:U9" si="6">A3+B3</f>
        <v>42</v>
      </c>
      <c r="V3" s="66"/>
      <c r="W3" s="66" t="s">
        <v>639</v>
      </c>
      <c r="X3" s="66"/>
      <c r="Y3" s="66"/>
      <c r="Z3" s="66"/>
    </row>
    <row r="4">
      <c r="A4" s="66">
        <v>7.0</v>
      </c>
      <c r="B4" s="66">
        <v>10.0</v>
      </c>
      <c r="C4" s="66" t="s">
        <v>640</v>
      </c>
      <c r="D4" s="66">
        <v>0.0</v>
      </c>
      <c r="E4" s="66">
        <v>0.125</v>
      </c>
      <c r="F4" s="66">
        <v>0.105</v>
      </c>
      <c r="G4" s="66">
        <v>0.0</v>
      </c>
      <c r="H4" s="66">
        <v>0.095</v>
      </c>
      <c r="I4" s="66">
        <v>0.095</v>
      </c>
      <c r="J4" s="66">
        <v>0.5</v>
      </c>
      <c r="K4" s="66">
        <f t="shared" si="1"/>
        <v>0.42</v>
      </c>
      <c r="L4" s="66">
        <f t="shared" si="2"/>
        <v>0.92</v>
      </c>
      <c r="M4" s="66"/>
      <c r="N4" s="66">
        <v>2.0</v>
      </c>
      <c r="O4" s="66">
        <v>1.0</v>
      </c>
      <c r="P4" s="66">
        <v>0.0</v>
      </c>
      <c r="Q4" s="66"/>
      <c r="R4" s="66">
        <f t="shared" si="3"/>
        <v>34</v>
      </c>
      <c r="S4" s="66">
        <f t="shared" si="4"/>
        <v>17</v>
      </c>
      <c r="T4" s="66">
        <f t="shared" si="5"/>
        <v>0</v>
      </c>
      <c r="U4" s="66">
        <f t="shared" si="6"/>
        <v>17</v>
      </c>
      <c r="V4" s="66"/>
      <c r="W4" s="66" t="s">
        <v>641</v>
      </c>
      <c r="X4" s="66"/>
      <c r="Y4" s="66"/>
      <c r="Z4" s="66"/>
    </row>
    <row r="5">
      <c r="A5" s="66">
        <v>7.0</v>
      </c>
      <c r="B5" s="66">
        <v>8.0</v>
      </c>
      <c r="C5" s="66" t="s">
        <v>642</v>
      </c>
      <c r="D5" s="66">
        <v>0.0</v>
      </c>
      <c r="E5" s="66">
        <v>0.125</v>
      </c>
      <c r="F5" s="66">
        <v>0.3</v>
      </c>
      <c r="G5" s="66">
        <v>0.0</v>
      </c>
      <c r="H5" s="66">
        <v>0.095</v>
      </c>
      <c r="I5" s="66">
        <v>0.0</v>
      </c>
      <c r="J5" s="66">
        <v>0.5</v>
      </c>
      <c r="K5" s="66">
        <f t="shared" si="1"/>
        <v>0.52</v>
      </c>
      <c r="L5" s="66">
        <f t="shared" si="2"/>
        <v>1.02</v>
      </c>
      <c r="M5" s="66"/>
      <c r="N5" s="66">
        <v>1.0</v>
      </c>
      <c r="O5" s="66">
        <v>0.0</v>
      </c>
      <c r="P5" s="66">
        <v>1.0</v>
      </c>
      <c r="Q5" s="66"/>
      <c r="R5" s="66">
        <f t="shared" si="3"/>
        <v>15</v>
      </c>
      <c r="S5" s="66">
        <f t="shared" si="4"/>
        <v>0</v>
      </c>
      <c r="T5" s="66">
        <f t="shared" si="5"/>
        <v>15</v>
      </c>
      <c r="U5" s="66">
        <f t="shared" si="6"/>
        <v>15</v>
      </c>
      <c r="V5" s="66"/>
      <c r="W5" s="66" t="s">
        <v>641</v>
      </c>
      <c r="X5" s="66"/>
      <c r="Y5" s="66"/>
      <c r="Z5" s="66"/>
    </row>
    <row r="6">
      <c r="A6" s="66">
        <v>4.0</v>
      </c>
      <c r="B6" s="66">
        <v>16.0</v>
      </c>
      <c r="C6" s="66" t="s">
        <v>643</v>
      </c>
      <c r="D6" s="66">
        <v>0.25</v>
      </c>
      <c r="E6" s="66">
        <v>0.0</v>
      </c>
      <c r="F6" s="66">
        <v>0.3</v>
      </c>
      <c r="G6" s="66">
        <v>0.0</v>
      </c>
      <c r="H6" s="66">
        <v>0.095</v>
      </c>
      <c r="I6" s="66">
        <v>0.0</v>
      </c>
      <c r="J6" s="66">
        <v>0.5</v>
      </c>
      <c r="K6" s="66">
        <f t="shared" si="1"/>
        <v>0.645</v>
      </c>
      <c r="L6" s="66">
        <f t="shared" si="2"/>
        <v>1.145</v>
      </c>
      <c r="M6" s="66"/>
      <c r="N6" s="66">
        <v>1.0</v>
      </c>
      <c r="O6" s="66">
        <v>0.0</v>
      </c>
      <c r="P6" s="66">
        <v>1.0</v>
      </c>
      <c r="Q6" s="66"/>
      <c r="R6" s="66">
        <f t="shared" si="3"/>
        <v>20</v>
      </c>
      <c r="S6" s="66">
        <f t="shared" si="4"/>
        <v>0</v>
      </c>
      <c r="T6" s="66">
        <f t="shared" si="5"/>
        <v>20</v>
      </c>
      <c r="U6" s="66">
        <f t="shared" si="6"/>
        <v>20</v>
      </c>
      <c r="V6" s="66"/>
      <c r="W6" s="66" t="s">
        <v>639</v>
      </c>
      <c r="X6" s="66"/>
      <c r="Y6" s="66"/>
      <c r="Z6" s="66"/>
    </row>
    <row r="7">
      <c r="A7" s="66">
        <v>4.0</v>
      </c>
      <c r="B7" s="66">
        <v>10.0</v>
      </c>
      <c r="C7" s="66" t="s">
        <v>644</v>
      </c>
      <c r="D7" s="66">
        <v>0.25</v>
      </c>
      <c r="E7" s="66">
        <v>0.125</v>
      </c>
      <c r="F7" s="66">
        <v>0.3</v>
      </c>
      <c r="G7" s="66">
        <v>0.0</v>
      </c>
      <c r="H7" s="66">
        <v>0.095</v>
      </c>
      <c r="I7" s="66">
        <v>0.0</v>
      </c>
      <c r="J7" s="66">
        <v>0.5</v>
      </c>
      <c r="K7" s="66">
        <f t="shared" si="1"/>
        <v>0.77</v>
      </c>
      <c r="L7" s="66">
        <f t="shared" si="2"/>
        <v>1.27</v>
      </c>
      <c r="M7" s="66"/>
      <c r="N7" s="66">
        <v>1.0</v>
      </c>
      <c r="O7" s="66">
        <v>0.0</v>
      </c>
      <c r="P7" s="66">
        <v>1.0</v>
      </c>
      <c r="Q7" s="66"/>
      <c r="R7" s="66">
        <f t="shared" si="3"/>
        <v>14</v>
      </c>
      <c r="S7" s="66">
        <f t="shared" si="4"/>
        <v>0</v>
      </c>
      <c r="T7" s="66">
        <f t="shared" si="5"/>
        <v>14</v>
      </c>
      <c r="U7" s="66">
        <f t="shared" si="6"/>
        <v>14</v>
      </c>
      <c r="V7" s="66"/>
      <c r="W7" s="66" t="s">
        <v>645</v>
      </c>
      <c r="X7" s="66"/>
      <c r="Y7" s="66"/>
      <c r="Z7" s="66"/>
    </row>
    <row r="8">
      <c r="A8" s="66">
        <v>9.0</v>
      </c>
      <c r="B8" s="66">
        <v>9.0</v>
      </c>
      <c r="C8" s="66" t="s">
        <v>646</v>
      </c>
      <c r="D8" s="66">
        <v>0.0</v>
      </c>
      <c r="E8" s="66">
        <v>0.0</v>
      </c>
      <c r="F8" s="66">
        <v>0.3</v>
      </c>
      <c r="G8" s="66">
        <v>0.105</v>
      </c>
      <c r="H8" s="66">
        <v>0.095</v>
      </c>
      <c r="I8" s="66">
        <v>0.0</v>
      </c>
      <c r="J8" s="66">
        <v>0.5</v>
      </c>
      <c r="K8" s="66">
        <f t="shared" si="1"/>
        <v>0.5</v>
      </c>
      <c r="L8" s="66">
        <f t="shared" si="2"/>
        <v>1</v>
      </c>
      <c r="M8" s="66"/>
      <c r="N8" s="66">
        <v>1.0</v>
      </c>
      <c r="O8" s="66">
        <v>0.0</v>
      </c>
      <c r="P8" s="66">
        <v>1.0</v>
      </c>
      <c r="Q8" s="66"/>
      <c r="R8" s="66">
        <f t="shared" si="3"/>
        <v>18</v>
      </c>
      <c r="S8" s="66">
        <f t="shared" si="4"/>
        <v>0</v>
      </c>
      <c r="T8" s="66">
        <f t="shared" si="5"/>
        <v>18</v>
      </c>
      <c r="U8" s="66">
        <f t="shared" si="6"/>
        <v>18</v>
      </c>
      <c r="V8" s="66"/>
      <c r="W8" s="66" t="s">
        <v>641</v>
      </c>
      <c r="X8" s="66"/>
      <c r="Y8" s="66"/>
      <c r="Z8" s="66"/>
    </row>
    <row r="9">
      <c r="A9" s="66">
        <v>9.0</v>
      </c>
      <c r="B9" s="66">
        <v>9.0</v>
      </c>
      <c r="C9" s="66" t="s">
        <v>647</v>
      </c>
      <c r="D9" s="66">
        <v>0.0</v>
      </c>
      <c r="E9" s="66">
        <v>0.0</v>
      </c>
      <c r="F9" s="66">
        <v>0.105</v>
      </c>
      <c r="G9" s="66">
        <v>0.105</v>
      </c>
      <c r="H9" s="66">
        <v>0.095</v>
      </c>
      <c r="I9" s="66">
        <v>0.095</v>
      </c>
      <c r="J9" s="66">
        <v>0.5</v>
      </c>
      <c r="K9" s="66">
        <f t="shared" si="1"/>
        <v>0.4</v>
      </c>
      <c r="L9" s="66">
        <f t="shared" si="2"/>
        <v>0.9</v>
      </c>
      <c r="M9" s="66"/>
      <c r="N9" s="66">
        <v>2.0</v>
      </c>
      <c r="O9" s="66">
        <v>0.0</v>
      </c>
      <c r="P9" s="66">
        <v>1.0</v>
      </c>
      <c r="Q9" s="66"/>
      <c r="R9" s="66">
        <f t="shared" si="3"/>
        <v>36</v>
      </c>
      <c r="S9" s="66">
        <f t="shared" si="4"/>
        <v>0</v>
      </c>
      <c r="T9" s="66">
        <f t="shared" si="5"/>
        <v>18</v>
      </c>
      <c r="U9" s="66">
        <f t="shared" si="6"/>
        <v>18</v>
      </c>
      <c r="V9" s="66"/>
      <c r="W9" s="66" t="s">
        <v>641</v>
      </c>
      <c r="X9" s="66"/>
      <c r="Y9" s="66"/>
      <c r="Z9" s="66"/>
    </row>
    <row r="10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 t="s">
        <v>648</v>
      </c>
      <c r="X12" s="66" t="s">
        <v>649</v>
      </c>
      <c r="Y12" s="66"/>
      <c r="Z12" s="66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 t="s">
        <v>650</v>
      </c>
      <c r="R13" s="66">
        <f t="shared" ref="R13:T13" si="7">SUM(R3:R9)</f>
        <v>221</v>
      </c>
      <c r="S13" s="66">
        <f t="shared" si="7"/>
        <v>59</v>
      </c>
      <c r="T13" s="66">
        <f t="shared" si="7"/>
        <v>85</v>
      </c>
      <c r="U13" s="66"/>
      <c r="V13" s="66"/>
      <c r="W13" s="66" t="s">
        <v>641</v>
      </c>
      <c r="X13" s="66">
        <f>SUM(U4,U5,U8,U9)</f>
        <v>68</v>
      </c>
      <c r="Y13" s="66"/>
      <c r="Z13" s="66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 t="s">
        <v>639</v>
      </c>
      <c r="X14" s="66">
        <f>SUM(U3,U6)</f>
        <v>62</v>
      </c>
      <c r="Y14" s="66"/>
      <c r="Z14" s="66"/>
    </row>
    <row r="15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 t="s">
        <v>645</v>
      </c>
      <c r="X15" s="66">
        <f>U7</f>
        <v>14</v>
      </c>
      <c r="Y15" s="66"/>
      <c r="Z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5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5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5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5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5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5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5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5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5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5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5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5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5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5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5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5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5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5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5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5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5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5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5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5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5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5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5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5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5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5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5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5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5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5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5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5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5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5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5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5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5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5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5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5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5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5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5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5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5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5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5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5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5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5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5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5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5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5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5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5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5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5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5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5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5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5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5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5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5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5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5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5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5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5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5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5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5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5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5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5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  <row r="101" ht="15.75" customHeight="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</row>
    <row r="102" ht="15.75" customHeight="1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</row>
    <row r="103" ht="15.75" customHeight="1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</row>
    <row r="104" ht="15.75" customHeight="1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</row>
    <row r="105" ht="15.75" customHeight="1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</row>
    <row r="106" ht="15.75" customHeight="1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</row>
    <row r="107" ht="15.75" customHeight="1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</row>
    <row r="108" ht="15.75" customHeight="1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</row>
    <row r="109" ht="15.75" customHeight="1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</row>
    <row r="110" ht="15.75" customHeight="1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</row>
    <row r="111" ht="15.75" customHeight="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</row>
    <row r="112" ht="15.75" customHeight="1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</row>
    <row r="113" ht="15.75" customHeight="1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</row>
    <row r="114" ht="15.75" customHeight="1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</row>
    <row r="115" ht="15.75" customHeight="1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</row>
    <row r="116" ht="15.75" customHeight="1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</row>
    <row r="117" ht="15.75" customHeight="1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</row>
    <row r="118" ht="15.75" customHeight="1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</row>
    <row r="119" ht="15.75" customHeight="1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</row>
    <row r="120" ht="15.75" customHeight="1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</row>
    <row r="121" ht="15.75" customHeight="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</row>
    <row r="122" ht="15.75" customHeight="1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</row>
    <row r="123" ht="15.75" customHeight="1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</row>
    <row r="124" ht="15.75" customHeight="1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</row>
    <row r="125" ht="15.75" customHeight="1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</row>
    <row r="126" ht="15.75" customHeight="1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</row>
    <row r="127" ht="15.75" customHeight="1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</row>
    <row r="128" ht="15.75" customHeight="1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</row>
    <row r="129" ht="15.75" customHeight="1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</row>
    <row r="130" ht="15.75" customHeight="1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</row>
    <row r="131" ht="15.75" customHeight="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</row>
    <row r="132" ht="15.75" customHeight="1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</row>
    <row r="133" ht="15.75" customHeight="1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</row>
    <row r="134" ht="15.75" customHeight="1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</row>
    <row r="135" ht="15.75" customHeight="1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</row>
    <row r="136" ht="15.75" customHeight="1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</row>
    <row r="137" ht="15.75" customHeight="1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</row>
    <row r="138" ht="15.75" customHeight="1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</row>
    <row r="139" ht="15.75" customHeight="1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</row>
    <row r="140" ht="15.75" customHeight="1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</row>
    <row r="141" ht="15.75" customHeight="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</row>
    <row r="142" ht="15.75" customHeight="1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</row>
    <row r="143" ht="15.75" customHeight="1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</row>
    <row r="144" ht="15.75" customHeight="1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</row>
    <row r="145" ht="15.75" customHeight="1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</row>
    <row r="146" ht="15.75" customHeight="1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</row>
    <row r="147" ht="15.75" customHeight="1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</row>
    <row r="148" ht="15.75" customHeight="1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</row>
    <row r="149" ht="15.75" customHeight="1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ht="15.75" customHeight="1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</row>
    <row r="151" ht="15.75" customHeight="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</row>
    <row r="152" ht="15.75" customHeight="1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</row>
    <row r="153" ht="15.75" customHeight="1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</row>
    <row r="154" ht="15.75" customHeight="1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</row>
    <row r="155" ht="15.75" customHeight="1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</row>
    <row r="156" ht="15.75" customHeight="1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</row>
    <row r="157" ht="15.75" customHeight="1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</row>
    <row r="158" ht="15.75" customHeight="1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</row>
    <row r="159" ht="15.75" customHeight="1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</row>
    <row r="160" ht="15.75" customHeight="1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</row>
    <row r="161" ht="15.75" customHeight="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</row>
    <row r="162" ht="15.75" customHeight="1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</row>
    <row r="163" ht="15.75" customHeight="1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</row>
    <row r="164" ht="15.75" customHeight="1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</row>
    <row r="165" ht="15.75" customHeight="1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</row>
    <row r="166" ht="15.75" customHeight="1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</row>
    <row r="167" ht="15.75" customHeight="1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</row>
    <row r="168" ht="15.75" customHeight="1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</row>
    <row r="169" ht="15.75" customHeight="1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</row>
    <row r="170" ht="15.75" customHeight="1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</row>
    <row r="171" ht="15.75" customHeight="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</row>
    <row r="172" ht="15.75" customHeight="1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</row>
    <row r="173" ht="15.75" customHeight="1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</row>
    <row r="174" ht="15.75" customHeight="1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</row>
    <row r="175" ht="15.75" customHeight="1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</row>
    <row r="176" ht="15.75" customHeight="1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</row>
    <row r="177" ht="15.75" customHeight="1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</row>
    <row r="178" ht="15.75" customHeight="1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</row>
    <row r="179" ht="15.75" customHeight="1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</row>
    <row r="180" ht="15.75" customHeight="1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</row>
    <row r="181" ht="15.75" customHeight="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</row>
    <row r="182" ht="15.75" customHeight="1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</row>
    <row r="183" ht="15.75" customHeight="1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</row>
    <row r="184" ht="15.75" customHeight="1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</row>
    <row r="185" ht="15.75" customHeight="1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</row>
    <row r="186" ht="15.75" customHeight="1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</row>
    <row r="187" ht="15.75" customHeight="1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</row>
    <row r="188" ht="15.75" customHeight="1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</row>
    <row r="189" ht="15.75" customHeight="1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</row>
    <row r="190" ht="15.75" customHeight="1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</row>
    <row r="191" ht="15.75" customHeight="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</row>
    <row r="192" ht="15.75" customHeight="1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</row>
    <row r="193" ht="15.75" customHeight="1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</row>
    <row r="194" ht="15.75" customHeight="1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</row>
    <row r="195" ht="15.75" customHeight="1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</row>
    <row r="196" ht="15.75" customHeight="1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</row>
    <row r="197" ht="15.75" customHeight="1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</row>
    <row r="198" ht="15.75" customHeight="1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</row>
    <row r="199" ht="15.75" customHeight="1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</row>
    <row r="200" ht="15.75" customHeight="1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</row>
    <row r="201" ht="15.75" customHeight="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</row>
    <row r="202" ht="15.75" customHeight="1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</row>
    <row r="203" ht="15.75" customHeight="1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</row>
    <row r="204" ht="15.75" customHeight="1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</row>
    <row r="205" ht="15.75" customHeight="1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</row>
    <row r="206" ht="15.75" customHeight="1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</row>
    <row r="207" ht="15.75" customHeight="1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</row>
    <row r="208" ht="15.75" customHeight="1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</row>
    <row r="209" ht="15.75" customHeight="1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</row>
    <row r="210" ht="15.75" customHeight="1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</row>
    <row r="211" ht="15.75" customHeight="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</row>
    <row r="212" ht="15.75" customHeight="1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</row>
    <row r="213" ht="15.75" customHeight="1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</row>
    <row r="214" ht="15.75" customHeight="1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</row>
    <row r="215" ht="15.75" customHeight="1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</row>
    <row r="216" ht="15.75" customHeight="1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</row>
    <row r="217" ht="15.75" customHeight="1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</row>
    <row r="218" ht="15.75" customHeight="1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</row>
    <row r="219" ht="15.75" customHeight="1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</row>
    <row r="220" ht="15.75" customHeight="1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</row>
    <row r="221" ht="15.75" customHeight="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</row>
    <row r="222" ht="15.75" customHeight="1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</row>
    <row r="223" ht="15.75" customHeight="1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</row>
    <row r="224" ht="15.75" customHeight="1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</row>
    <row r="225" ht="15.75" customHeight="1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</row>
    <row r="226" ht="15.75" customHeight="1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</row>
    <row r="227" ht="15.75" customHeight="1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</row>
    <row r="228" ht="15.75" customHeight="1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</row>
    <row r="229" ht="15.75" customHeight="1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</row>
    <row r="230" ht="15.75" customHeight="1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</row>
    <row r="231" ht="15.75" customHeight="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</row>
    <row r="232" ht="15.75" customHeight="1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</row>
    <row r="233" ht="15.75" customHeight="1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</row>
    <row r="234" ht="15.75" customHeight="1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</row>
    <row r="235" ht="15.75" customHeight="1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</row>
    <row r="236" ht="15.75" customHeight="1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</row>
    <row r="237" ht="15.75" customHeight="1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</row>
    <row r="238" ht="15.75" customHeight="1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</row>
    <row r="239" ht="15.75" customHeight="1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</row>
    <row r="240" ht="15.75" customHeight="1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</row>
    <row r="241" ht="15.75" customHeight="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</row>
    <row r="242" ht="15.75" customHeight="1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</row>
    <row r="243" ht="15.75" customHeight="1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</row>
    <row r="244" ht="15.75" customHeight="1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</row>
    <row r="245" ht="15.75" customHeight="1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</row>
    <row r="246" ht="15.75" customHeight="1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</row>
    <row r="247" ht="15.75" customHeight="1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</row>
    <row r="248" ht="15.75" customHeight="1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</row>
    <row r="249" ht="15.75" customHeight="1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</row>
    <row r="250" ht="15.75" customHeight="1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</row>
    <row r="251" ht="15.75" customHeight="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</row>
    <row r="252" ht="15.75" customHeight="1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</row>
    <row r="253" ht="15.75" customHeight="1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</row>
    <row r="254" ht="15.75" customHeight="1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</row>
    <row r="255" ht="15.75" customHeight="1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</row>
    <row r="256" ht="15.75" customHeight="1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</row>
    <row r="257" ht="15.75" customHeight="1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</row>
    <row r="258" ht="15.75" customHeight="1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</row>
    <row r="259" ht="15.75" customHeight="1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</row>
    <row r="260" ht="15.75" customHeight="1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</row>
    <row r="261" ht="15.75" customHeight="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</row>
    <row r="262" ht="15.75" customHeight="1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</row>
    <row r="263" ht="15.75" customHeight="1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</row>
    <row r="264" ht="15.75" customHeight="1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</row>
    <row r="265" ht="15.75" customHeight="1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</row>
    <row r="266" ht="15.75" customHeight="1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</row>
    <row r="267" ht="15.75" customHeight="1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</row>
    <row r="268" ht="15.75" customHeight="1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</row>
    <row r="269" ht="15.75" customHeight="1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</row>
    <row r="270" ht="15.75" customHeight="1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</row>
    <row r="271" ht="15.75" customHeight="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</row>
    <row r="272" ht="15.75" customHeight="1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</row>
    <row r="273" ht="15.75" customHeight="1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</row>
    <row r="274" ht="15.75" customHeight="1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</row>
    <row r="275" ht="15.75" customHeight="1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</row>
    <row r="276" ht="15.75" customHeight="1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</row>
    <row r="277" ht="15.75" customHeight="1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</row>
    <row r="278" ht="15.75" customHeight="1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</row>
    <row r="279" ht="15.75" customHeight="1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</row>
    <row r="280" ht="15.75" customHeight="1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</row>
    <row r="281" ht="15.75" customHeight="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</row>
    <row r="282" ht="15.75" customHeight="1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</row>
    <row r="283" ht="15.75" customHeight="1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</row>
    <row r="284" ht="15.75" customHeight="1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</row>
    <row r="285" ht="15.75" customHeight="1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</row>
    <row r="286" ht="15.75" customHeight="1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</row>
    <row r="287" ht="15.75" customHeight="1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</row>
    <row r="288" ht="15.75" customHeight="1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</row>
    <row r="289" ht="15.75" customHeight="1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</row>
    <row r="290" ht="15.75" customHeight="1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</row>
    <row r="291" ht="15.75" customHeight="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</row>
    <row r="292" ht="15.75" customHeight="1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</row>
    <row r="293" ht="15.75" customHeight="1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</row>
    <row r="294" ht="15.75" customHeight="1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</row>
    <row r="295" ht="15.75" customHeight="1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</row>
    <row r="296" ht="15.75" customHeight="1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</row>
    <row r="297" ht="15.75" customHeight="1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</row>
    <row r="298" ht="15.75" customHeight="1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</row>
    <row r="299" ht="15.75" customHeight="1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</row>
    <row r="300" ht="15.75" customHeight="1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</row>
    <row r="301" ht="15.75" customHeight="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</row>
    <row r="302" ht="15.75" customHeight="1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</row>
    <row r="303" ht="15.75" customHeight="1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</row>
    <row r="304" ht="15.75" customHeight="1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</row>
    <row r="305" ht="15.75" customHeight="1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</row>
    <row r="306" ht="15.75" customHeight="1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</row>
    <row r="307" ht="15.75" customHeight="1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</row>
    <row r="308" ht="15.75" customHeight="1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</row>
    <row r="309" ht="15.75" customHeight="1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</row>
    <row r="310" ht="15.75" customHeight="1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</row>
    <row r="311" ht="15.75" customHeight="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</row>
    <row r="312" ht="15.75" customHeight="1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</row>
    <row r="313" ht="15.75" customHeight="1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</row>
    <row r="314" ht="15.75" customHeight="1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</row>
    <row r="315" ht="15.75" customHeight="1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</row>
    <row r="316" ht="15.75" customHeight="1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</row>
    <row r="317" ht="15.75" customHeight="1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</row>
    <row r="318" ht="15.75" customHeight="1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</row>
    <row r="319" ht="15.75" customHeight="1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</row>
    <row r="320" ht="15.75" customHeight="1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</row>
    <row r="321" ht="15.75" customHeight="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</row>
    <row r="322" ht="15.75" customHeight="1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</row>
    <row r="323" ht="15.75" customHeight="1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</row>
    <row r="324" ht="15.75" customHeight="1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</row>
    <row r="325" ht="15.75" customHeight="1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</row>
    <row r="326" ht="15.75" customHeight="1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</row>
    <row r="327" ht="15.75" customHeight="1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</row>
    <row r="328" ht="15.75" customHeight="1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</row>
    <row r="329" ht="15.75" customHeight="1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</row>
    <row r="330" ht="15.75" customHeight="1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</row>
    <row r="331" ht="15.75" customHeight="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</row>
    <row r="332" ht="15.75" customHeight="1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</row>
    <row r="333" ht="15.75" customHeight="1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</row>
    <row r="334" ht="15.75" customHeight="1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</row>
    <row r="335" ht="15.75" customHeight="1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</row>
    <row r="336" ht="15.75" customHeight="1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</row>
    <row r="337" ht="15.75" customHeight="1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</row>
    <row r="338" ht="15.75" customHeight="1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</row>
    <row r="339" ht="15.75" customHeight="1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</row>
    <row r="340" ht="15.75" customHeight="1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</row>
    <row r="341" ht="15.75" customHeight="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</row>
    <row r="342" ht="15.75" customHeight="1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</row>
    <row r="343" ht="15.75" customHeight="1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</row>
    <row r="344" ht="15.75" customHeight="1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</row>
    <row r="345" ht="15.75" customHeight="1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</row>
    <row r="346" ht="15.75" customHeight="1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</row>
    <row r="347" ht="15.75" customHeight="1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</row>
    <row r="348" ht="15.75" customHeight="1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</row>
    <row r="349" ht="15.75" customHeight="1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</row>
    <row r="350" ht="15.75" customHeight="1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</row>
    <row r="351" ht="15.75" customHeight="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</row>
    <row r="352" ht="15.75" customHeight="1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</row>
    <row r="353" ht="15.75" customHeight="1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</row>
    <row r="354" ht="15.75" customHeight="1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</row>
    <row r="355" ht="15.75" customHeight="1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</row>
    <row r="356" ht="15.75" customHeight="1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</row>
    <row r="357" ht="15.75" customHeight="1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</row>
    <row r="358" ht="15.75" customHeight="1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</row>
    <row r="359" ht="15.75" customHeight="1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</row>
    <row r="360" ht="15.75" customHeight="1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</row>
    <row r="361" ht="15.75" customHeight="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</row>
    <row r="362" ht="15.75" customHeight="1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</row>
    <row r="363" ht="15.75" customHeight="1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</row>
    <row r="364" ht="15.75" customHeight="1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</row>
    <row r="365" ht="15.75" customHeight="1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</row>
    <row r="366" ht="15.75" customHeight="1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</row>
    <row r="367" ht="15.75" customHeight="1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</row>
    <row r="368" ht="15.75" customHeight="1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</row>
    <row r="369" ht="15.75" customHeight="1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</row>
    <row r="370" ht="15.75" customHeight="1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</row>
    <row r="371" ht="15.75" customHeight="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</row>
    <row r="372" ht="15.75" customHeight="1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</row>
    <row r="373" ht="15.75" customHeight="1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</row>
    <row r="374" ht="15.75" customHeight="1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</row>
    <row r="375" ht="15.75" customHeight="1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</row>
    <row r="376" ht="15.75" customHeight="1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</row>
    <row r="377" ht="15.75" customHeight="1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</row>
    <row r="378" ht="15.75" customHeight="1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</row>
    <row r="379" ht="15.75" customHeight="1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</row>
    <row r="380" ht="15.75" customHeight="1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</row>
    <row r="381" ht="15.75" customHeight="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</row>
    <row r="382" ht="15.75" customHeight="1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</row>
    <row r="383" ht="15.75" customHeight="1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</row>
    <row r="384" ht="15.75" customHeight="1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</row>
    <row r="385" ht="15.75" customHeight="1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</row>
    <row r="386" ht="15.75" customHeight="1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</row>
    <row r="387" ht="15.75" customHeight="1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</row>
    <row r="388" ht="15.75" customHeight="1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</row>
    <row r="389" ht="15.75" customHeight="1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</row>
    <row r="390" ht="15.75" customHeight="1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</row>
    <row r="391" ht="15.75" customHeight="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</row>
    <row r="392" ht="15.75" customHeight="1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</row>
    <row r="393" ht="15.75" customHeight="1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</row>
    <row r="394" ht="15.75" customHeight="1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</row>
    <row r="395" ht="15.75" customHeight="1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</row>
    <row r="396" ht="15.75" customHeight="1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</row>
    <row r="397" ht="15.75" customHeight="1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</row>
    <row r="398" ht="15.75" customHeight="1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</row>
    <row r="399" ht="15.75" customHeight="1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</row>
    <row r="400" ht="15.75" customHeight="1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</row>
    <row r="401" ht="15.75" customHeight="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</row>
    <row r="402" ht="15.75" customHeight="1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</row>
    <row r="403" ht="15.75" customHeight="1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</row>
    <row r="404" ht="15.75" customHeight="1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</row>
    <row r="405" ht="15.75" customHeight="1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</row>
    <row r="406" ht="15.75" customHeight="1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</row>
    <row r="407" ht="15.75" customHeight="1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</row>
    <row r="408" ht="15.75" customHeight="1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</row>
    <row r="409" ht="15.75" customHeight="1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</row>
    <row r="410" ht="15.75" customHeight="1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</row>
    <row r="411" ht="15.75" customHeight="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</row>
    <row r="412" ht="15.75" customHeight="1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</row>
    <row r="413" ht="15.75" customHeight="1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</row>
    <row r="414" ht="15.75" customHeight="1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</row>
    <row r="415" ht="15.75" customHeight="1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</row>
    <row r="416" ht="15.75" customHeight="1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</row>
    <row r="417" ht="15.75" customHeight="1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</row>
    <row r="418" ht="15.75" customHeight="1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</row>
    <row r="419" ht="15.75" customHeight="1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</row>
    <row r="420" ht="15.75" customHeight="1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</row>
    <row r="421" ht="15.75" customHeight="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</row>
    <row r="422" ht="15.75" customHeight="1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</row>
    <row r="423" ht="15.75" customHeight="1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</row>
    <row r="424" ht="15.75" customHeight="1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</row>
    <row r="425" ht="15.75" customHeight="1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</row>
    <row r="426" ht="15.75" customHeight="1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</row>
    <row r="427" ht="15.75" customHeight="1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</row>
    <row r="428" ht="15.75" customHeight="1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</row>
    <row r="429" ht="15.75" customHeight="1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</row>
    <row r="430" ht="15.75" customHeight="1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</row>
    <row r="431" ht="15.75" customHeight="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</row>
    <row r="432" ht="15.75" customHeight="1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</row>
    <row r="433" ht="15.75" customHeight="1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</row>
    <row r="434" ht="15.75" customHeight="1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</row>
    <row r="435" ht="15.75" customHeight="1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</row>
    <row r="436" ht="15.75" customHeight="1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</row>
    <row r="437" ht="15.75" customHeight="1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</row>
    <row r="438" ht="15.75" customHeight="1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</row>
    <row r="439" ht="15.75" customHeight="1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</row>
    <row r="440" ht="15.75" customHeight="1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</row>
    <row r="441" ht="15.75" customHeight="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</row>
    <row r="442" ht="15.75" customHeight="1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</row>
    <row r="443" ht="15.75" customHeight="1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</row>
    <row r="444" ht="15.75" customHeight="1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</row>
    <row r="445" ht="15.75" customHeight="1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</row>
    <row r="446" ht="15.75" customHeight="1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</row>
    <row r="447" ht="15.75" customHeight="1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</row>
    <row r="448" ht="15.75" customHeight="1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</row>
    <row r="449" ht="15.75" customHeight="1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</row>
    <row r="450" ht="15.75" customHeight="1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</row>
    <row r="451" ht="15.75" customHeight="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</row>
    <row r="452" ht="15.75" customHeight="1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</row>
    <row r="453" ht="15.75" customHeight="1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</row>
    <row r="454" ht="15.75" customHeight="1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</row>
    <row r="455" ht="15.75" customHeight="1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</row>
    <row r="456" ht="15.75" customHeight="1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</row>
    <row r="457" ht="15.75" customHeight="1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</row>
    <row r="458" ht="15.75" customHeight="1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</row>
    <row r="459" ht="15.75" customHeight="1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</row>
    <row r="460" ht="15.75" customHeight="1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</row>
    <row r="461" ht="15.75" customHeight="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</row>
    <row r="462" ht="15.75" customHeight="1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</row>
    <row r="463" ht="15.75" customHeight="1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</row>
    <row r="464" ht="15.75" customHeight="1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</row>
    <row r="465" ht="15.75" customHeight="1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</row>
    <row r="466" ht="15.75" customHeight="1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</row>
    <row r="467" ht="15.75" customHeight="1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</row>
    <row r="468" ht="15.75" customHeight="1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</row>
    <row r="469" ht="15.75" customHeight="1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</row>
    <row r="470" ht="15.75" customHeight="1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</row>
    <row r="471" ht="15.75" customHeight="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</row>
    <row r="472" ht="15.75" customHeight="1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</row>
    <row r="473" ht="15.75" customHeight="1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</row>
    <row r="474" ht="15.75" customHeight="1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</row>
    <row r="475" ht="15.75" customHeight="1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</row>
    <row r="476" ht="15.75" customHeight="1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</row>
    <row r="477" ht="15.75" customHeight="1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</row>
    <row r="478" ht="15.75" customHeight="1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</row>
    <row r="479" ht="15.75" customHeight="1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</row>
    <row r="480" ht="15.75" customHeight="1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</row>
    <row r="481" ht="15.75" customHeight="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</row>
    <row r="482" ht="15.75" customHeight="1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</row>
    <row r="483" ht="15.75" customHeight="1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</row>
    <row r="484" ht="15.75" customHeight="1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</row>
    <row r="485" ht="15.75" customHeight="1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</row>
    <row r="486" ht="15.75" customHeight="1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</row>
    <row r="487" ht="15.75" customHeight="1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</row>
    <row r="488" ht="15.75" customHeight="1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</row>
    <row r="489" ht="15.75" customHeight="1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</row>
    <row r="490" ht="15.75" customHeight="1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</row>
    <row r="491" ht="15.75" customHeight="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</row>
    <row r="492" ht="15.75" customHeight="1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</row>
    <row r="493" ht="15.75" customHeight="1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</row>
    <row r="494" ht="15.75" customHeight="1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</row>
    <row r="495" ht="15.75" customHeight="1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</row>
    <row r="496" ht="15.75" customHeight="1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</row>
    <row r="497" ht="15.75" customHeight="1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</row>
    <row r="498" ht="15.75" customHeight="1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</row>
    <row r="499" ht="15.75" customHeight="1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</row>
    <row r="500" ht="15.75" customHeight="1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</row>
    <row r="501" ht="15.75" customHeight="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</row>
    <row r="502" ht="15.75" customHeight="1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</row>
    <row r="503" ht="15.75" customHeight="1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</row>
    <row r="504" ht="15.75" customHeight="1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</row>
    <row r="505" ht="15.75" customHeight="1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</row>
    <row r="506" ht="15.75" customHeight="1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</row>
    <row r="507" ht="15.75" customHeight="1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</row>
    <row r="508" ht="15.75" customHeight="1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</row>
    <row r="509" ht="15.75" customHeight="1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</row>
    <row r="510" ht="15.75" customHeight="1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</row>
    <row r="511" ht="15.75" customHeight="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</row>
    <row r="512" ht="15.75" customHeight="1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</row>
    <row r="513" ht="15.75" customHeight="1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</row>
    <row r="514" ht="15.75" customHeight="1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</row>
    <row r="515" ht="15.75" customHeight="1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</row>
    <row r="516" ht="15.75" customHeight="1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</row>
    <row r="517" ht="15.75" customHeight="1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</row>
    <row r="518" ht="15.75" customHeight="1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</row>
    <row r="519" ht="15.75" customHeight="1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</row>
    <row r="520" ht="15.75" customHeight="1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</row>
    <row r="521" ht="15.75" customHeight="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</row>
    <row r="522" ht="15.75" customHeight="1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</row>
    <row r="523" ht="15.75" customHeight="1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</row>
    <row r="524" ht="15.75" customHeight="1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</row>
    <row r="525" ht="15.75" customHeight="1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</row>
    <row r="526" ht="15.75" customHeight="1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</row>
    <row r="527" ht="15.75" customHeight="1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</row>
    <row r="528" ht="15.75" customHeight="1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</row>
    <row r="529" ht="15.75" customHeight="1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</row>
    <row r="530" ht="15.75" customHeight="1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</row>
    <row r="531" ht="15.75" customHeight="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</row>
    <row r="532" ht="15.75" customHeight="1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</row>
    <row r="533" ht="15.75" customHeight="1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</row>
    <row r="534" ht="15.75" customHeight="1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</row>
    <row r="535" ht="15.75" customHeight="1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</row>
    <row r="536" ht="15.75" customHeight="1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</row>
    <row r="537" ht="15.75" customHeight="1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</row>
    <row r="538" ht="15.75" customHeight="1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</row>
    <row r="539" ht="15.75" customHeight="1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</row>
    <row r="540" ht="15.75" customHeight="1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</row>
    <row r="541" ht="15.75" customHeight="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</row>
    <row r="542" ht="15.75" customHeight="1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</row>
    <row r="543" ht="15.75" customHeight="1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</row>
    <row r="544" ht="15.75" customHeight="1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</row>
    <row r="545" ht="15.75" customHeight="1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</row>
    <row r="546" ht="15.75" customHeight="1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</row>
    <row r="547" ht="15.75" customHeight="1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</row>
    <row r="548" ht="15.75" customHeight="1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</row>
    <row r="549" ht="15.75" customHeight="1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</row>
    <row r="550" ht="15.75" customHeight="1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</row>
    <row r="551" ht="15.75" customHeight="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</row>
    <row r="552" ht="15.75" customHeight="1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</row>
    <row r="553" ht="15.75" customHeight="1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</row>
    <row r="554" ht="15.75" customHeight="1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</row>
    <row r="555" ht="15.75" customHeight="1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</row>
    <row r="556" ht="15.75" customHeight="1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</row>
    <row r="557" ht="15.75" customHeight="1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</row>
    <row r="558" ht="15.75" customHeight="1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</row>
    <row r="559" ht="15.75" customHeight="1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</row>
    <row r="560" ht="15.75" customHeight="1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</row>
    <row r="561" ht="15.75" customHeight="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</row>
    <row r="562" ht="15.75" customHeight="1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</row>
    <row r="563" ht="15.75" customHeight="1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</row>
    <row r="564" ht="15.75" customHeight="1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</row>
    <row r="565" ht="15.75" customHeight="1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</row>
    <row r="566" ht="15.75" customHeight="1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</row>
    <row r="567" ht="15.75" customHeight="1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</row>
    <row r="568" ht="15.75" customHeight="1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</row>
    <row r="569" ht="15.75" customHeight="1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</row>
    <row r="570" ht="15.75" customHeight="1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</row>
    <row r="571" ht="15.75" customHeight="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</row>
    <row r="572" ht="15.75" customHeight="1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</row>
    <row r="573" ht="15.75" customHeight="1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</row>
    <row r="574" ht="15.75" customHeight="1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</row>
    <row r="575" ht="15.75" customHeight="1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</row>
    <row r="576" ht="15.75" customHeight="1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</row>
    <row r="577" ht="15.75" customHeight="1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</row>
    <row r="578" ht="15.75" customHeight="1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</row>
    <row r="579" ht="15.75" customHeight="1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</row>
    <row r="580" ht="15.75" customHeight="1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</row>
    <row r="581" ht="15.75" customHeight="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</row>
    <row r="582" ht="15.75" customHeight="1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</row>
    <row r="583" ht="15.75" customHeight="1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</row>
    <row r="584" ht="15.75" customHeight="1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</row>
    <row r="585" ht="15.75" customHeight="1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</row>
    <row r="586" ht="15.75" customHeight="1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</row>
    <row r="587" ht="15.75" customHeight="1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</row>
    <row r="588" ht="15.75" customHeight="1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</row>
    <row r="589" ht="15.75" customHeight="1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</row>
    <row r="590" ht="15.75" customHeight="1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</row>
    <row r="591" ht="15.75" customHeight="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</row>
    <row r="592" ht="15.75" customHeight="1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</row>
    <row r="593" ht="15.75" customHeight="1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</row>
    <row r="594" ht="15.75" customHeight="1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</row>
    <row r="595" ht="15.75" customHeight="1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</row>
    <row r="596" ht="15.75" customHeight="1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</row>
    <row r="597" ht="15.75" customHeight="1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</row>
    <row r="598" ht="15.75" customHeight="1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</row>
    <row r="599" ht="15.75" customHeight="1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</row>
    <row r="600" ht="15.75" customHeight="1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</row>
    <row r="601" ht="15.75" customHeight="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</row>
    <row r="602" ht="15.75" customHeight="1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</row>
    <row r="603" ht="15.75" customHeight="1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</row>
    <row r="604" ht="15.75" customHeight="1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</row>
    <row r="605" ht="15.75" customHeight="1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</row>
    <row r="606" ht="15.75" customHeight="1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</row>
    <row r="607" ht="15.75" customHeight="1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</row>
    <row r="608" ht="15.75" customHeight="1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</row>
    <row r="609" ht="15.75" customHeight="1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</row>
    <row r="610" ht="15.75" customHeight="1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</row>
    <row r="611" ht="15.75" customHeight="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</row>
    <row r="612" ht="15.75" customHeight="1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</row>
    <row r="613" ht="15.75" customHeight="1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</row>
    <row r="614" ht="15.75" customHeight="1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</row>
    <row r="615" ht="15.75" customHeight="1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</row>
    <row r="616" ht="15.75" customHeight="1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</row>
    <row r="617" ht="15.75" customHeight="1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</row>
    <row r="618" ht="15.75" customHeight="1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</row>
    <row r="619" ht="15.75" customHeight="1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</row>
    <row r="620" ht="15.75" customHeight="1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</row>
    <row r="621" ht="15.75" customHeight="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</row>
    <row r="622" ht="15.75" customHeight="1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</row>
    <row r="623" ht="15.75" customHeight="1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</row>
    <row r="624" ht="15.75" customHeight="1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</row>
    <row r="625" ht="15.75" customHeight="1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</row>
    <row r="626" ht="15.75" customHeight="1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</row>
    <row r="627" ht="15.75" customHeight="1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</row>
    <row r="628" ht="15.75" customHeight="1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</row>
    <row r="629" ht="15.75" customHeight="1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</row>
    <row r="630" ht="15.75" customHeight="1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</row>
    <row r="631" ht="15.75" customHeight="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</row>
    <row r="632" ht="15.75" customHeight="1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</row>
    <row r="633" ht="15.75" customHeight="1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</row>
    <row r="634" ht="15.75" customHeight="1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</row>
    <row r="635" ht="15.75" customHeight="1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</row>
    <row r="636" ht="15.75" customHeight="1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</row>
    <row r="637" ht="15.75" customHeight="1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</row>
    <row r="638" ht="15.75" customHeight="1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</row>
    <row r="639" ht="15.75" customHeight="1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</row>
    <row r="640" ht="15.75" customHeight="1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</row>
    <row r="641" ht="15.75" customHeight="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</row>
    <row r="642" ht="15.75" customHeight="1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</row>
    <row r="643" ht="15.75" customHeight="1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</row>
    <row r="644" ht="15.75" customHeight="1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</row>
    <row r="645" ht="15.75" customHeight="1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</row>
    <row r="646" ht="15.75" customHeight="1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</row>
    <row r="647" ht="15.75" customHeight="1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</row>
    <row r="648" ht="15.75" customHeight="1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</row>
    <row r="649" ht="15.75" customHeight="1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</row>
    <row r="650" ht="15.75" customHeight="1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</row>
    <row r="651" ht="15.75" customHeight="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</row>
    <row r="652" ht="15.75" customHeight="1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</row>
    <row r="653" ht="15.75" customHeight="1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</row>
    <row r="654" ht="15.75" customHeight="1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</row>
    <row r="655" ht="15.75" customHeight="1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</row>
    <row r="656" ht="15.75" customHeight="1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</row>
    <row r="657" ht="15.75" customHeight="1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</row>
    <row r="658" ht="15.75" customHeight="1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</row>
    <row r="659" ht="15.75" customHeight="1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</row>
    <row r="660" ht="15.75" customHeight="1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</row>
    <row r="661" ht="15.75" customHeight="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</row>
    <row r="662" ht="15.75" customHeight="1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</row>
    <row r="663" ht="15.75" customHeight="1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</row>
    <row r="664" ht="15.75" customHeight="1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</row>
    <row r="665" ht="15.75" customHeight="1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</row>
    <row r="666" ht="15.75" customHeight="1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</row>
    <row r="667" ht="15.75" customHeight="1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</row>
    <row r="668" ht="15.75" customHeight="1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</row>
    <row r="669" ht="15.75" customHeight="1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</row>
    <row r="670" ht="15.75" customHeight="1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</row>
    <row r="671" ht="15.75" customHeight="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</row>
    <row r="672" ht="15.75" customHeight="1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</row>
    <row r="673" ht="15.75" customHeight="1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</row>
    <row r="674" ht="15.75" customHeight="1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</row>
    <row r="675" ht="15.75" customHeight="1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</row>
    <row r="676" ht="15.75" customHeight="1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</row>
    <row r="677" ht="15.75" customHeight="1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</row>
    <row r="678" ht="15.75" customHeight="1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</row>
    <row r="679" ht="15.75" customHeight="1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</row>
    <row r="680" ht="15.75" customHeight="1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</row>
    <row r="681" ht="15.75" customHeight="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</row>
    <row r="682" ht="15.75" customHeight="1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</row>
    <row r="683" ht="15.75" customHeight="1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</row>
    <row r="684" ht="15.75" customHeight="1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</row>
    <row r="685" ht="15.75" customHeight="1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</row>
    <row r="686" ht="15.75" customHeight="1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</row>
    <row r="687" ht="15.75" customHeight="1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</row>
    <row r="688" ht="15.75" customHeight="1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</row>
    <row r="689" ht="15.75" customHeight="1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</row>
    <row r="690" ht="15.75" customHeight="1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</row>
    <row r="691" ht="15.75" customHeight="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</row>
    <row r="692" ht="15.75" customHeight="1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</row>
    <row r="693" ht="15.75" customHeight="1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</row>
    <row r="694" ht="15.75" customHeight="1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</row>
    <row r="695" ht="15.75" customHeight="1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</row>
    <row r="696" ht="15.75" customHeight="1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</row>
    <row r="697" ht="15.75" customHeight="1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</row>
    <row r="698" ht="15.75" customHeight="1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</row>
    <row r="699" ht="15.75" customHeight="1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</row>
    <row r="700" ht="15.75" customHeight="1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</row>
    <row r="701" ht="15.75" customHeight="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</row>
    <row r="702" ht="15.75" customHeight="1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</row>
    <row r="703" ht="15.75" customHeight="1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</row>
    <row r="704" ht="15.75" customHeight="1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</row>
    <row r="705" ht="15.75" customHeight="1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</row>
    <row r="706" ht="15.75" customHeight="1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</row>
    <row r="707" ht="15.75" customHeight="1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</row>
    <row r="708" ht="15.75" customHeight="1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</row>
    <row r="709" ht="15.75" customHeight="1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</row>
    <row r="710" ht="15.75" customHeight="1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</row>
    <row r="711" ht="15.75" customHeight="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</row>
    <row r="712" ht="15.75" customHeight="1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</row>
    <row r="713" ht="15.75" customHeight="1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</row>
    <row r="714" ht="15.75" customHeight="1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</row>
    <row r="715" ht="15.75" customHeight="1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</row>
    <row r="716" ht="15.75" customHeight="1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</row>
    <row r="717" ht="15.75" customHeight="1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</row>
    <row r="718" ht="15.75" customHeight="1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</row>
    <row r="719" ht="15.75" customHeight="1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</row>
    <row r="720" ht="15.75" customHeight="1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</row>
    <row r="721" ht="15.75" customHeight="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</row>
    <row r="722" ht="15.75" customHeight="1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</row>
    <row r="723" ht="15.75" customHeight="1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</row>
    <row r="724" ht="15.75" customHeight="1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</row>
    <row r="725" ht="15.75" customHeight="1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</row>
    <row r="726" ht="15.75" customHeight="1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</row>
    <row r="727" ht="15.75" customHeight="1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</row>
    <row r="728" ht="15.75" customHeight="1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</row>
    <row r="729" ht="15.75" customHeight="1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</row>
    <row r="730" ht="15.75" customHeight="1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</row>
    <row r="731" ht="15.75" customHeight="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</row>
    <row r="732" ht="15.75" customHeight="1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</row>
    <row r="733" ht="15.75" customHeight="1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</row>
    <row r="734" ht="15.75" customHeight="1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</row>
    <row r="735" ht="15.75" customHeight="1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</row>
    <row r="736" ht="15.75" customHeight="1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</row>
    <row r="737" ht="15.75" customHeight="1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</row>
    <row r="738" ht="15.75" customHeight="1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</row>
    <row r="739" ht="15.75" customHeight="1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</row>
    <row r="740" ht="15.75" customHeight="1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</row>
    <row r="741" ht="15.75" customHeight="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</row>
    <row r="742" ht="15.75" customHeight="1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</row>
    <row r="743" ht="15.75" customHeight="1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</row>
    <row r="744" ht="15.75" customHeight="1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</row>
    <row r="745" ht="15.75" customHeight="1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</row>
    <row r="746" ht="15.75" customHeight="1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</row>
    <row r="747" ht="15.75" customHeight="1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</row>
    <row r="748" ht="15.75" customHeight="1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</row>
    <row r="749" ht="15.75" customHeight="1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</row>
    <row r="750" ht="15.75" customHeight="1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</row>
    <row r="751" ht="15.75" customHeight="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</row>
    <row r="752" ht="15.75" customHeight="1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</row>
    <row r="753" ht="15.75" customHeight="1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</row>
    <row r="754" ht="15.75" customHeight="1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</row>
    <row r="755" ht="15.75" customHeight="1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</row>
    <row r="756" ht="15.75" customHeight="1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</row>
    <row r="757" ht="15.75" customHeight="1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</row>
    <row r="758" ht="15.75" customHeight="1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</row>
    <row r="759" ht="15.75" customHeight="1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</row>
    <row r="760" ht="15.75" customHeight="1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</row>
    <row r="761" ht="15.75" customHeight="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</row>
    <row r="762" ht="15.75" customHeight="1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</row>
    <row r="763" ht="15.75" customHeight="1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</row>
    <row r="764" ht="15.75" customHeight="1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</row>
    <row r="765" ht="15.75" customHeight="1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</row>
    <row r="766" ht="15.75" customHeight="1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</row>
    <row r="767" ht="15.75" customHeight="1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</row>
    <row r="768" ht="15.75" customHeight="1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</row>
    <row r="769" ht="15.75" customHeight="1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</row>
    <row r="770" ht="15.75" customHeight="1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</row>
    <row r="771" ht="15.75" customHeight="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</row>
    <row r="772" ht="15.75" customHeight="1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</row>
    <row r="773" ht="15.75" customHeight="1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</row>
    <row r="774" ht="15.75" customHeight="1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</row>
    <row r="775" ht="15.75" customHeight="1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</row>
    <row r="776" ht="15.75" customHeight="1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</row>
    <row r="777" ht="15.75" customHeight="1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</row>
    <row r="778" ht="15.75" customHeight="1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</row>
    <row r="779" ht="15.75" customHeight="1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</row>
    <row r="780" ht="15.75" customHeight="1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</row>
    <row r="781" ht="15.75" customHeight="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</row>
    <row r="782" ht="15.75" customHeight="1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</row>
    <row r="783" ht="15.75" customHeight="1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</row>
    <row r="784" ht="15.75" customHeight="1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</row>
    <row r="785" ht="15.75" customHeight="1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</row>
    <row r="786" ht="15.75" customHeight="1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</row>
    <row r="787" ht="15.75" customHeight="1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</row>
    <row r="788" ht="15.75" customHeight="1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</row>
    <row r="789" ht="15.75" customHeight="1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</row>
    <row r="790" ht="15.75" customHeight="1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</row>
    <row r="791" ht="15.75" customHeight="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</row>
    <row r="792" ht="15.75" customHeight="1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</row>
    <row r="793" ht="15.75" customHeight="1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</row>
    <row r="794" ht="15.75" customHeight="1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</row>
    <row r="795" ht="15.75" customHeight="1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</row>
    <row r="796" ht="15.75" customHeight="1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</row>
    <row r="797" ht="15.75" customHeight="1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</row>
    <row r="798" ht="15.75" customHeight="1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</row>
    <row r="799" ht="15.75" customHeight="1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</row>
    <row r="800" ht="15.75" customHeight="1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</row>
    <row r="801" ht="15.75" customHeight="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</row>
    <row r="802" ht="15.75" customHeight="1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</row>
    <row r="803" ht="15.75" customHeight="1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</row>
    <row r="804" ht="15.75" customHeight="1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</row>
    <row r="805" ht="15.75" customHeight="1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</row>
    <row r="806" ht="15.75" customHeight="1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</row>
    <row r="807" ht="15.75" customHeight="1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</row>
    <row r="808" ht="15.75" customHeight="1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</row>
    <row r="809" ht="15.75" customHeight="1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</row>
    <row r="810" ht="15.75" customHeight="1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</row>
    <row r="811" ht="15.75" customHeight="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</row>
    <row r="812" ht="15.75" customHeight="1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</row>
    <row r="813" ht="15.75" customHeight="1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</row>
    <row r="814" ht="15.75" customHeight="1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</row>
    <row r="815" ht="15.75" customHeight="1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</row>
    <row r="816" ht="15.75" customHeight="1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</row>
    <row r="817" ht="15.75" customHeight="1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</row>
    <row r="818" ht="15.75" customHeight="1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</row>
    <row r="819" ht="15.75" customHeight="1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</row>
    <row r="820" ht="15.75" customHeight="1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</row>
    <row r="821" ht="15.75" customHeight="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</row>
    <row r="822" ht="15.75" customHeight="1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</row>
    <row r="823" ht="15.75" customHeight="1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</row>
    <row r="824" ht="15.75" customHeight="1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</row>
    <row r="825" ht="15.75" customHeight="1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</row>
    <row r="826" ht="15.75" customHeight="1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</row>
    <row r="827" ht="15.75" customHeight="1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</row>
    <row r="828" ht="15.75" customHeight="1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</row>
    <row r="829" ht="15.75" customHeight="1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</row>
    <row r="830" ht="15.75" customHeight="1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</row>
    <row r="831" ht="15.75" customHeight="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</row>
    <row r="832" ht="15.75" customHeight="1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</row>
    <row r="833" ht="15.75" customHeight="1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</row>
    <row r="834" ht="15.75" customHeight="1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</row>
    <row r="835" ht="15.75" customHeight="1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</row>
    <row r="836" ht="15.75" customHeight="1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</row>
    <row r="837" ht="15.75" customHeight="1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</row>
    <row r="838" ht="15.75" customHeight="1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</row>
    <row r="839" ht="15.75" customHeight="1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</row>
    <row r="840" ht="15.75" customHeight="1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</row>
    <row r="841" ht="15.75" customHeight="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</row>
    <row r="842" ht="15.75" customHeight="1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</row>
    <row r="843" ht="15.75" customHeight="1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</row>
    <row r="844" ht="15.75" customHeight="1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</row>
    <row r="845" ht="15.75" customHeight="1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</row>
    <row r="846" ht="15.75" customHeight="1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</row>
    <row r="847" ht="15.75" customHeight="1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</row>
    <row r="848" ht="15.75" customHeight="1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</row>
    <row r="849" ht="15.75" customHeight="1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</row>
    <row r="850" ht="15.75" customHeight="1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</row>
    <row r="851" ht="15.75" customHeight="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</row>
    <row r="852" ht="15.75" customHeight="1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</row>
    <row r="853" ht="15.75" customHeight="1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</row>
    <row r="854" ht="15.75" customHeight="1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</row>
    <row r="855" ht="15.75" customHeight="1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</row>
    <row r="856" ht="15.75" customHeight="1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</row>
    <row r="857" ht="15.75" customHeight="1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</row>
    <row r="858" ht="15.75" customHeight="1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</row>
    <row r="859" ht="15.75" customHeight="1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</row>
    <row r="860" ht="15.75" customHeight="1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</row>
    <row r="861" ht="15.75" customHeight="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</row>
    <row r="862" ht="15.75" customHeight="1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</row>
    <row r="863" ht="15.75" customHeight="1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</row>
    <row r="864" ht="15.75" customHeight="1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</row>
    <row r="865" ht="15.75" customHeight="1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</row>
    <row r="866" ht="15.75" customHeight="1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</row>
    <row r="867" ht="15.75" customHeight="1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</row>
    <row r="868" ht="15.75" customHeight="1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</row>
    <row r="869" ht="15.75" customHeight="1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</row>
    <row r="870" ht="15.75" customHeight="1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</row>
    <row r="871" ht="15.75" customHeight="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</row>
    <row r="872" ht="15.75" customHeight="1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</row>
    <row r="873" ht="15.75" customHeight="1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</row>
    <row r="874" ht="15.75" customHeight="1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</row>
    <row r="875" ht="15.75" customHeight="1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</row>
    <row r="876" ht="15.75" customHeight="1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</row>
    <row r="877" ht="15.75" customHeight="1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</row>
    <row r="878" ht="15.75" customHeight="1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</row>
    <row r="879" ht="15.75" customHeight="1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</row>
    <row r="880" ht="15.75" customHeight="1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</row>
    <row r="881" ht="15.75" customHeight="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</row>
    <row r="882" ht="15.75" customHeight="1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</row>
    <row r="883" ht="15.75" customHeight="1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</row>
    <row r="884" ht="15.75" customHeight="1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</row>
    <row r="885" ht="15.75" customHeight="1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</row>
    <row r="886" ht="15.75" customHeight="1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</row>
    <row r="887" ht="15.75" customHeight="1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</row>
    <row r="888" ht="15.75" customHeight="1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</row>
    <row r="889" ht="15.75" customHeight="1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</row>
    <row r="890" ht="15.75" customHeight="1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</row>
    <row r="891" ht="15.75" customHeight="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</row>
    <row r="892" ht="15.75" customHeight="1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</row>
    <row r="893" ht="15.75" customHeight="1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</row>
    <row r="894" ht="15.75" customHeight="1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</row>
    <row r="895" ht="15.75" customHeight="1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</row>
    <row r="896" ht="15.75" customHeight="1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</row>
    <row r="897" ht="15.75" customHeight="1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</row>
    <row r="898" ht="15.75" customHeight="1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</row>
    <row r="899" ht="15.75" customHeight="1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</row>
    <row r="900" ht="15.75" customHeight="1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</row>
    <row r="901" ht="15.75" customHeight="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</row>
    <row r="902" ht="15.75" customHeight="1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</row>
    <row r="903" ht="15.75" customHeight="1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</row>
    <row r="904" ht="15.75" customHeight="1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</row>
    <row r="905" ht="15.75" customHeight="1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</row>
    <row r="906" ht="15.75" customHeight="1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</row>
    <row r="907" ht="15.75" customHeight="1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</row>
    <row r="908" ht="15.75" customHeight="1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</row>
    <row r="909" ht="15.75" customHeight="1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</row>
    <row r="910" ht="15.75" customHeight="1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</row>
    <row r="911" ht="15.75" customHeight="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</row>
    <row r="912" ht="15.75" customHeight="1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</row>
    <row r="913" ht="15.75" customHeight="1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</row>
    <row r="914" ht="15.75" customHeight="1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</row>
    <row r="915" ht="15.75" customHeight="1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</row>
    <row r="916" ht="15.75" customHeight="1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</row>
    <row r="917" ht="15.75" customHeight="1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</row>
    <row r="918" ht="15.75" customHeight="1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</row>
    <row r="919" ht="15.75" customHeight="1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</row>
    <row r="920" ht="15.75" customHeight="1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</row>
    <row r="921" ht="15.75" customHeight="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</row>
    <row r="922" ht="15.75" customHeight="1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</row>
    <row r="923" ht="15.75" customHeight="1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</row>
    <row r="924" ht="15.75" customHeight="1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</row>
    <row r="925" ht="15.75" customHeight="1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</row>
    <row r="926" ht="15.75" customHeight="1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</row>
    <row r="927" ht="15.75" customHeight="1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</row>
    <row r="928" ht="15.75" customHeight="1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</row>
    <row r="929" ht="15.75" customHeight="1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</row>
    <row r="930" ht="15.75" customHeight="1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</row>
    <row r="931" ht="15.75" customHeight="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</row>
    <row r="932" ht="15.75" customHeight="1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</row>
    <row r="933" ht="15.75" customHeight="1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</row>
    <row r="934" ht="15.75" customHeight="1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</row>
    <row r="935" ht="15.75" customHeight="1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</row>
    <row r="936" ht="15.75" customHeight="1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</row>
    <row r="937" ht="15.75" customHeight="1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</row>
    <row r="938" ht="15.75" customHeight="1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</row>
    <row r="939" ht="15.75" customHeight="1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</row>
    <row r="940" ht="15.75" customHeight="1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</row>
    <row r="941" ht="15.75" customHeight="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</row>
    <row r="942" ht="15.75" customHeight="1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</row>
    <row r="943" ht="15.75" customHeight="1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</row>
    <row r="944" ht="15.75" customHeight="1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</row>
    <row r="945" ht="15.75" customHeight="1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</row>
    <row r="946" ht="15.75" customHeight="1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</row>
    <row r="947" ht="15.75" customHeight="1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</row>
    <row r="948" ht="15.75" customHeight="1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</row>
    <row r="949" ht="15.75" customHeight="1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</row>
    <row r="950" ht="15.75" customHeight="1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</row>
    <row r="951" ht="15.75" customHeight="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</row>
    <row r="952" ht="15.75" customHeight="1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</row>
    <row r="953" ht="15.75" customHeight="1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</row>
    <row r="954" ht="15.75" customHeight="1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</row>
    <row r="955" ht="15.75" customHeight="1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</row>
    <row r="956" ht="15.75" customHeight="1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</row>
    <row r="957" ht="15.75" customHeight="1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</row>
    <row r="958" ht="15.75" customHeight="1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</row>
    <row r="959" ht="15.75" customHeight="1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</row>
    <row r="960" ht="15.75" customHeight="1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</row>
    <row r="961" ht="15.75" customHeight="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</row>
    <row r="962" ht="15.75" customHeight="1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</row>
    <row r="963" ht="15.75" customHeight="1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</row>
    <row r="964" ht="15.75" customHeight="1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</row>
    <row r="965" ht="15.75" customHeight="1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</row>
    <row r="966" ht="15.75" customHeight="1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</row>
    <row r="967" ht="15.75" customHeight="1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</row>
    <row r="968" ht="15.75" customHeight="1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</row>
    <row r="969" ht="15.75" customHeight="1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</row>
    <row r="970" ht="15.75" customHeight="1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</row>
    <row r="971" ht="15.75" customHeight="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</row>
    <row r="972" ht="15.75" customHeight="1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</row>
    <row r="973" ht="15.75" customHeight="1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</row>
    <row r="974" ht="15.75" customHeight="1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</row>
    <row r="975" ht="15.75" customHeight="1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</row>
    <row r="976" ht="15.75" customHeight="1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</row>
    <row r="977" ht="15.75" customHeight="1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</row>
    <row r="978" ht="15.75" customHeight="1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</row>
    <row r="979" ht="15.75" customHeight="1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</row>
    <row r="980" ht="15.75" customHeight="1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</row>
    <row r="981" ht="15.75" customHeight="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</row>
    <row r="982" ht="15.75" customHeight="1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</row>
    <row r="983" ht="15.75" customHeight="1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</row>
    <row r="984" ht="15.75" customHeight="1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</row>
    <row r="985" ht="15.75" customHeight="1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</row>
    <row r="986" ht="15.75" customHeight="1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</row>
    <row r="987" ht="15.75" customHeight="1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</row>
    <row r="988" ht="15.75" customHeight="1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</row>
    <row r="989" ht="15.75" customHeight="1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</row>
    <row r="990" ht="15.75" customHeight="1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</row>
    <row r="991" ht="15.75" customHeight="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</row>
    <row r="992" ht="15.75" customHeight="1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</row>
    <row r="993" ht="15.75" customHeight="1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</row>
    <row r="994" ht="15.75" customHeight="1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</row>
    <row r="995" ht="15.75" customHeight="1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</row>
    <row r="996" ht="15.75" customHeight="1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</row>
    <row r="997" ht="15.75" customHeight="1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</row>
    <row r="998" ht="15.75" customHeight="1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</row>
    <row r="999" ht="15.75" customHeight="1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</row>
    <row r="1000" ht="15.75" customHeight="1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68.14"/>
    <col customWidth="1" min="3" max="3" width="15.0"/>
    <col customWidth="1" min="4" max="5" width="8.71"/>
    <col customWidth="1" min="6" max="6" width="8.86"/>
    <col customWidth="1" min="7" max="26" width="8.71"/>
  </cols>
  <sheetData>
    <row r="1" ht="12.75" customHeight="1">
      <c r="A1" s="67" t="s">
        <v>2</v>
      </c>
      <c r="B1" s="68" t="s">
        <v>651</v>
      </c>
      <c r="C1" s="69" t="s">
        <v>652</v>
      </c>
      <c r="D1" s="69" t="s">
        <v>653</v>
      </c>
    </row>
    <row r="2" ht="12.75" customHeight="1">
      <c r="A2" s="46">
        <v>2.0</v>
      </c>
      <c r="B2" s="45" t="s">
        <v>654</v>
      </c>
      <c r="C2" s="70" t="s">
        <v>655</v>
      </c>
      <c r="I2" s="20" t="s">
        <v>656</v>
      </c>
      <c r="J2" s="20">
        <v>469.32</v>
      </c>
    </row>
    <row r="3" ht="12.75" customHeight="1">
      <c r="A3" s="7">
        <v>4.0</v>
      </c>
      <c r="B3" s="45" t="s">
        <v>657</v>
      </c>
      <c r="C3" s="28">
        <v>7.6</v>
      </c>
      <c r="D3" s="28" t="s">
        <v>237</v>
      </c>
      <c r="F3" s="28">
        <f t="shared" ref="F3:F31" si="1">A3*C3</f>
        <v>30.4</v>
      </c>
      <c r="I3" s="20" t="s">
        <v>658</v>
      </c>
      <c r="J3" s="20">
        <v>6.93</v>
      </c>
      <c r="K3" s="20">
        <f t="shared" ref="K3:K39" si="2">J3*A3</f>
        <v>27.72</v>
      </c>
      <c r="L3" s="20">
        <f t="shared" ref="L3:L31" si="3">IF(C3&gt;J3,1,0)</f>
        <v>1</v>
      </c>
    </row>
    <row r="4" ht="12.75" customHeight="1">
      <c r="A4" s="7">
        <v>4.0</v>
      </c>
      <c r="B4" s="45" t="s">
        <v>659</v>
      </c>
      <c r="C4" s="28">
        <v>7.79</v>
      </c>
      <c r="D4" s="28" t="s">
        <v>237</v>
      </c>
      <c r="F4" s="28">
        <f t="shared" si="1"/>
        <v>31.16</v>
      </c>
      <c r="I4" s="20" t="s">
        <v>660</v>
      </c>
      <c r="J4" s="20">
        <v>5.7</v>
      </c>
      <c r="K4" s="20">
        <f t="shared" si="2"/>
        <v>22.8</v>
      </c>
      <c r="L4" s="20">
        <f t="shared" si="3"/>
        <v>1</v>
      </c>
    </row>
    <row r="5" ht="12.75" customHeight="1">
      <c r="A5" s="7">
        <v>2.0</v>
      </c>
      <c r="B5" s="7" t="s">
        <v>661</v>
      </c>
      <c r="C5" s="28">
        <v>10.89</v>
      </c>
      <c r="D5" s="28" t="s">
        <v>237</v>
      </c>
      <c r="F5" s="28">
        <f t="shared" si="1"/>
        <v>21.78</v>
      </c>
      <c r="I5" s="20" t="s">
        <v>662</v>
      </c>
      <c r="J5" s="20">
        <v>7.65</v>
      </c>
      <c r="K5" s="20">
        <f t="shared" si="2"/>
        <v>15.3</v>
      </c>
      <c r="L5" s="20">
        <f t="shared" si="3"/>
        <v>1</v>
      </c>
    </row>
    <row r="6" ht="12.75" customHeight="1">
      <c r="A6" s="7">
        <v>1.0</v>
      </c>
      <c r="B6" s="7" t="s">
        <v>663</v>
      </c>
      <c r="C6" s="28">
        <v>16.82</v>
      </c>
      <c r="D6" s="28" t="s">
        <v>237</v>
      </c>
      <c r="F6" s="28">
        <f t="shared" si="1"/>
        <v>16.82</v>
      </c>
      <c r="I6" s="20" t="s">
        <v>664</v>
      </c>
      <c r="J6" s="20">
        <v>11.68</v>
      </c>
      <c r="K6" s="20">
        <f t="shared" si="2"/>
        <v>11.68</v>
      </c>
      <c r="L6" s="20">
        <f t="shared" si="3"/>
        <v>1</v>
      </c>
    </row>
    <row r="7" ht="12.75" customHeight="1">
      <c r="A7" s="7">
        <v>5.0</v>
      </c>
      <c r="B7" s="7" t="s">
        <v>665</v>
      </c>
      <c r="C7" s="28">
        <v>32.57</v>
      </c>
      <c r="D7" s="28" t="s">
        <v>237</v>
      </c>
      <c r="F7" s="28">
        <f t="shared" si="1"/>
        <v>162.85</v>
      </c>
      <c r="I7" s="20" t="s">
        <v>666</v>
      </c>
      <c r="J7" s="20">
        <v>23.7</v>
      </c>
      <c r="K7" s="20">
        <f t="shared" si="2"/>
        <v>118.5</v>
      </c>
      <c r="L7" s="20">
        <f t="shared" si="3"/>
        <v>1</v>
      </c>
    </row>
    <row r="8" ht="12.75" customHeight="1">
      <c r="A8" s="7">
        <v>2.0</v>
      </c>
      <c r="B8" s="7" t="s">
        <v>667</v>
      </c>
      <c r="C8" s="28">
        <v>30.14</v>
      </c>
      <c r="D8" s="28" t="s">
        <v>237</v>
      </c>
      <c r="F8" s="28">
        <f t="shared" si="1"/>
        <v>60.28</v>
      </c>
      <c r="I8" s="20" t="s">
        <v>668</v>
      </c>
      <c r="J8" s="20">
        <v>21.65</v>
      </c>
      <c r="K8" s="20">
        <f t="shared" si="2"/>
        <v>43.3</v>
      </c>
      <c r="L8" s="20">
        <f t="shared" si="3"/>
        <v>1</v>
      </c>
    </row>
    <row r="9" ht="12.75" customHeight="1">
      <c r="A9" s="7">
        <v>1.0</v>
      </c>
      <c r="B9" s="7" t="s">
        <v>669</v>
      </c>
      <c r="C9" s="28">
        <v>44.68</v>
      </c>
      <c r="D9" s="28" t="s">
        <v>237</v>
      </c>
      <c r="F9" s="28">
        <f t="shared" si="1"/>
        <v>44.68</v>
      </c>
      <c r="I9" s="20" t="s">
        <v>670</v>
      </c>
      <c r="J9" s="20">
        <v>32.47</v>
      </c>
      <c r="K9" s="20">
        <f t="shared" si="2"/>
        <v>32.47</v>
      </c>
      <c r="L9" s="20">
        <f t="shared" si="3"/>
        <v>1</v>
      </c>
    </row>
    <row r="10" ht="12.75" customHeight="1">
      <c r="A10" s="7">
        <v>4.0</v>
      </c>
      <c r="B10" s="7" t="s">
        <v>671</v>
      </c>
      <c r="C10" s="28">
        <v>41.18</v>
      </c>
      <c r="D10" s="28" t="s">
        <v>237</v>
      </c>
      <c r="F10" s="28">
        <f t="shared" si="1"/>
        <v>164.72</v>
      </c>
      <c r="I10" s="20" t="s">
        <v>672</v>
      </c>
      <c r="J10" s="20">
        <v>25.53</v>
      </c>
      <c r="K10" s="20">
        <f t="shared" si="2"/>
        <v>102.12</v>
      </c>
      <c r="L10" s="20">
        <f t="shared" si="3"/>
        <v>1</v>
      </c>
    </row>
    <row r="11" ht="12.75" customHeight="1">
      <c r="A11" s="7">
        <v>1.0</v>
      </c>
      <c r="B11" s="7" t="s">
        <v>673</v>
      </c>
      <c r="C11" s="28">
        <v>66.26</v>
      </c>
      <c r="D11" s="28" t="s">
        <v>237</v>
      </c>
      <c r="F11" s="28">
        <f t="shared" si="1"/>
        <v>66.26</v>
      </c>
      <c r="I11" s="20" t="s">
        <v>674</v>
      </c>
      <c r="J11" s="20">
        <v>44.68</v>
      </c>
      <c r="K11" s="20">
        <f t="shared" si="2"/>
        <v>44.68</v>
      </c>
      <c r="L11" s="20">
        <f t="shared" si="3"/>
        <v>1</v>
      </c>
    </row>
    <row r="12" ht="12.75" customHeight="1">
      <c r="A12" s="7">
        <v>4.0</v>
      </c>
      <c r="B12" s="45" t="s">
        <v>675</v>
      </c>
      <c r="C12" s="28">
        <v>18.28</v>
      </c>
      <c r="D12" s="28" t="s">
        <v>200</v>
      </c>
      <c r="F12" s="28">
        <f t="shared" si="1"/>
        <v>73.12</v>
      </c>
      <c r="I12" s="20" t="s">
        <v>676</v>
      </c>
      <c r="J12" s="20">
        <v>23.38</v>
      </c>
      <c r="K12" s="20">
        <f t="shared" si="2"/>
        <v>93.52</v>
      </c>
      <c r="L12" s="20">
        <f t="shared" si="3"/>
        <v>0</v>
      </c>
    </row>
    <row r="13" ht="12.75" customHeight="1">
      <c r="A13" s="7">
        <v>2.0</v>
      </c>
      <c r="B13" s="7" t="s">
        <v>677</v>
      </c>
      <c r="C13" s="28">
        <v>9.38</v>
      </c>
      <c r="D13" s="28" t="s">
        <v>237</v>
      </c>
      <c r="F13" s="28">
        <f t="shared" si="1"/>
        <v>18.76</v>
      </c>
      <c r="I13" s="20" t="s">
        <v>678</v>
      </c>
      <c r="J13" s="20">
        <v>7.53</v>
      </c>
      <c r="K13" s="20">
        <f t="shared" si="2"/>
        <v>15.06</v>
      </c>
      <c r="L13" s="20">
        <f t="shared" si="3"/>
        <v>1</v>
      </c>
    </row>
    <row r="14" ht="12.75" customHeight="1">
      <c r="A14" s="7">
        <v>1.0</v>
      </c>
      <c r="B14" s="7" t="s">
        <v>679</v>
      </c>
      <c r="C14" s="28">
        <v>17.53</v>
      </c>
      <c r="D14" s="28" t="s">
        <v>237</v>
      </c>
      <c r="F14" s="28">
        <f t="shared" si="1"/>
        <v>17.53</v>
      </c>
      <c r="I14" s="20" t="s">
        <v>680</v>
      </c>
      <c r="J14" s="20">
        <v>12.85</v>
      </c>
      <c r="K14" s="20">
        <f t="shared" si="2"/>
        <v>12.85</v>
      </c>
      <c r="L14" s="20">
        <f t="shared" si="3"/>
        <v>1</v>
      </c>
    </row>
    <row r="15" ht="12.75" customHeight="1">
      <c r="A15" s="7">
        <v>5.0</v>
      </c>
      <c r="B15" s="7" t="s">
        <v>681</v>
      </c>
      <c r="C15" s="28">
        <v>14.97</v>
      </c>
      <c r="D15" s="28" t="s">
        <v>237</v>
      </c>
      <c r="F15" s="28">
        <f t="shared" si="1"/>
        <v>74.85</v>
      </c>
      <c r="I15" s="20" t="s">
        <v>682</v>
      </c>
      <c r="J15" s="20">
        <v>11.8</v>
      </c>
      <c r="K15" s="20">
        <f t="shared" si="2"/>
        <v>59</v>
      </c>
      <c r="L15" s="20">
        <f t="shared" si="3"/>
        <v>1</v>
      </c>
    </row>
    <row r="16" ht="12.75" customHeight="1">
      <c r="A16" s="7">
        <v>1.0</v>
      </c>
      <c r="B16" s="7" t="s">
        <v>683</v>
      </c>
      <c r="C16" s="28">
        <v>28.36</v>
      </c>
      <c r="D16" s="28" t="s">
        <v>237</v>
      </c>
      <c r="F16" s="28">
        <f t="shared" si="1"/>
        <v>28.36</v>
      </c>
      <c r="I16" s="20" t="s">
        <v>684</v>
      </c>
      <c r="J16" s="20">
        <v>18.33</v>
      </c>
      <c r="K16" s="20">
        <f t="shared" si="2"/>
        <v>18.33</v>
      </c>
      <c r="L16" s="20">
        <f t="shared" si="3"/>
        <v>1</v>
      </c>
    </row>
    <row r="17" ht="12.75" customHeight="1">
      <c r="A17" s="7">
        <v>2.0</v>
      </c>
      <c r="B17" s="7" t="s">
        <v>685</v>
      </c>
      <c r="C17" s="28">
        <v>25.92</v>
      </c>
      <c r="D17" s="28" t="s">
        <v>237</v>
      </c>
      <c r="F17" s="28">
        <f t="shared" si="1"/>
        <v>51.84</v>
      </c>
      <c r="I17" s="20" t="s">
        <v>686</v>
      </c>
      <c r="J17" s="20">
        <v>18.33</v>
      </c>
      <c r="K17" s="20">
        <f t="shared" si="2"/>
        <v>36.66</v>
      </c>
      <c r="L17" s="20">
        <f t="shared" si="3"/>
        <v>1</v>
      </c>
    </row>
    <row r="18" ht="12.75" customHeight="1">
      <c r="A18" s="7">
        <v>2.0</v>
      </c>
      <c r="B18" s="7" t="s">
        <v>687</v>
      </c>
      <c r="C18" s="28">
        <v>44.18</v>
      </c>
      <c r="D18" s="28" t="s">
        <v>237</v>
      </c>
      <c r="F18" s="28">
        <f t="shared" si="1"/>
        <v>88.36</v>
      </c>
      <c r="I18" s="20" t="s">
        <v>688</v>
      </c>
      <c r="J18" s="20">
        <v>53.05</v>
      </c>
      <c r="K18" s="20">
        <f t="shared" si="2"/>
        <v>106.1</v>
      </c>
      <c r="L18" s="20">
        <f t="shared" si="3"/>
        <v>0</v>
      </c>
    </row>
    <row r="19" ht="12.75" customHeight="1">
      <c r="A19" s="7">
        <v>2.0</v>
      </c>
      <c r="B19" s="7" t="s">
        <v>689</v>
      </c>
      <c r="C19" s="28">
        <v>51.56</v>
      </c>
      <c r="D19" s="28" t="s">
        <v>237</v>
      </c>
      <c r="F19" s="28">
        <f t="shared" si="1"/>
        <v>103.12</v>
      </c>
      <c r="I19" s="20" t="s">
        <v>690</v>
      </c>
      <c r="J19" s="20">
        <v>33.85</v>
      </c>
      <c r="K19" s="20">
        <f t="shared" si="2"/>
        <v>67.7</v>
      </c>
      <c r="L19" s="20">
        <f t="shared" si="3"/>
        <v>1</v>
      </c>
    </row>
    <row r="20" ht="12.75" customHeight="1">
      <c r="A20" s="7">
        <v>4.0</v>
      </c>
      <c r="B20" s="7" t="s">
        <v>691</v>
      </c>
      <c r="C20" s="28">
        <v>11.29</v>
      </c>
      <c r="D20" s="28" t="s">
        <v>237</v>
      </c>
      <c r="F20" s="28">
        <f t="shared" si="1"/>
        <v>45.16</v>
      </c>
      <c r="I20" s="20" t="s">
        <v>692</v>
      </c>
      <c r="J20" s="20">
        <v>9.15</v>
      </c>
      <c r="K20" s="20">
        <f t="shared" si="2"/>
        <v>36.6</v>
      </c>
      <c r="L20" s="20">
        <f t="shared" si="3"/>
        <v>1</v>
      </c>
    </row>
    <row r="21" ht="12.75" customHeight="1">
      <c r="A21" s="7">
        <v>4.0</v>
      </c>
      <c r="B21" s="7" t="s">
        <v>693</v>
      </c>
      <c r="C21" s="28">
        <v>20.91</v>
      </c>
      <c r="D21" s="28" t="s">
        <v>237</v>
      </c>
      <c r="F21" s="28">
        <f t="shared" si="1"/>
        <v>83.64</v>
      </c>
      <c r="I21" s="20" t="s">
        <v>694</v>
      </c>
      <c r="J21" s="20">
        <v>13.5</v>
      </c>
      <c r="K21" s="20">
        <f t="shared" si="2"/>
        <v>54</v>
      </c>
      <c r="L21" s="20">
        <f t="shared" si="3"/>
        <v>1</v>
      </c>
    </row>
    <row r="22" ht="12.75" customHeight="1">
      <c r="A22" s="7">
        <v>2.0</v>
      </c>
      <c r="B22" s="45" t="s">
        <v>695</v>
      </c>
      <c r="C22" s="28">
        <v>18.98</v>
      </c>
      <c r="D22" s="28" t="s">
        <v>237</v>
      </c>
      <c r="F22" s="28">
        <f t="shared" si="1"/>
        <v>37.96</v>
      </c>
      <c r="I22" s="20" t="s">
        <v>696</v>
      </c>
      <c r="J22" s="20">
        <v>13.5</v>
      </c>
      <c r="K22" s="20">
        <f t="shared" si="2"/>
        <v>27</v>
      </c>
      <c r="L22" s="20">
        <f t="shared" si="3"/>
        <v>1</v>
      </c>
    </row>
    <row r="23" ht="12.75" customHeight="1">
      <c r="A23" s="7">
        <v>7.0</v>
      </c>
      <c r="B23" s="45" t="s">
        <v>697</v>
      </c>
      <c r="C23" s="28">
        <v>31.12</v>
      </c>
      <c r="D23" s="28" t="s">
        <v>237</v>
      </c>
      <c r="F23" s="28">
        <f t="shared" si="1"/>
        <v>217.84</v>
      </c>
      <c r="I23" s="20" t="s">
        <v>698</v>
      </c>
      <c r="J23" s="20">
        <v>23.03</v>
      </c>
      <c r="K23" s="20">
        <f t="shared" si="2"/>
        <v>161.21</v>
      </c>
      <c r="L23" s="20">
        <f t="shared" si="3"/>
        <v>1</v>
      </c>
    </row>
    <row r="24" ht="12.75" customHeight="1">
      <c r="A24" s="7">
        <v>1.0</v>
      </c>
      <c r="B24" s="7" t="s">
        <v>699</v>
      </c>
      <c r="C24" s="28">
        <v>32.62</v>
      </c>
      <c r="D24" s="28" t="s">
        <v>237</v>
      </c>
      <c r="F24" s="28">
        <f t="shared" si="1"/>
        <v>32.62</v>
      </c>
      <c r="I24" s="20" t="s">
        <v>700</v>
      </c>
      <c r="J24" s="20">
        <v>23.03</v>
      </c>
      <c r="K24" s="20">
        <f t="shared" si="2"/>
        <v>23.03</v>
      </c>
      <c r="L24" s="20">
        <f t="shared" si="3"/>
        <v>1</v>
      </c>
    </row>
    <row r="25" ht="12.75" customHeight="1">
      <c r="A25" s="7">
        <v>2.0</v>
      </c>
      <c r="B25" s="45" t="s">
        <v>701</v>
      </c>
      <c r="C25" s="28">
        <v>39.27</v>
      </c>
      <c r="D25" s="28" t="s">
        <v>237</v>
      </c>
      <c r="F25" s="28">
        <f t="shared" si="1"/>
        <v>78.54</v>
      </c>
      <c r="I25" s="20" t="s">
        <v>702</v>
      </c>
      <c r="J25" s="20">
        <v>28.45</v>
      </c>
      <c r="K25" s="20">
        <f t="shared" si="2"/>
        <v>56.9</v>
      </c>
      <c r="L25" s="20">
        <f t="shared" si="3"/>
        <v>1</v>
      </c>
    </row>
    <row r="26" ht="12.75" customHeight="1">
      <c r="A26" s="7">
        <v>4.0</v>
      </c>
      <c r="B26" s="7" t="s">
        <v>703</v>
      </c>
      <c r="C26" s="28">
        <v>127.65</v>
      </c>
      <c r="D26" s="28" t="s">
        <v>237</v>
      </c>
      <c r="F26" s="28">
        <f t="shared" si="1"/>
        <v>510.6</v>
      </c>
      <c r="I26" s="20" t="s">
        <v>704</v>
      </c>
      <c r="J26" s="20">
        <v>106.02</v>
      </c>
      <c r="K26" s="20">
        <f t="shared" si="2"/>
        <v>424.08</v>
      </c>
      <c r="L26" s="20">
        <f t="shared" si="3"/>
        <v>1</v>
      </c>
    </row>
    <row r="27" ht="12.75" customHeight="1">
      <c r="A27" s="7">
        <v>2.0</v>
      </c>
      <c r="B27" s="7" t="s">
        <v>705</v>
      </c>
      <c r="C27" s="28">
        <v>77.75</v>
      </c>
      <c r="D27" s="28" t="s">
        <v>237</v>
      </c>
      <c r="F27" s="28">
        <f t="shared" si="1"/>
        <v>155.5</v>
      </c>
      <c r="I27" s="20" t="s">
        <v>706</v>
      </c>
      <c r="J27" s="20">
        <v>54.55</v>
      </c>
      <c r="K27" s="20">
        <f t="shared" si="2"/>
        <v>109.1</v>
      </c>
      <c r="L27" s="20">
        <f t="shared" si="3"/>
        <v>1</v>
      </c>
    </row>
    <row r="28" ht="12.75" customHeight="1">
      <c r="A28" s="7">
        <v>1.0</v>
      </c>
      <c r="B28" s="7" t="s">
        <v>707</v>
      </c>
      <c r="C28" s="28">
        <v>77.27</v>
      </c>
      <c r="D28" s="28" t="s">
        <v>200</v>
      </c>
      <c r="F28" s="28">
        <f t="shared" si="1"/>
        <v>77.27</v>
      </c>
      <c r="I28" s="20" t="s">
        <v>708</v>
      </c>
      <c r="J28" s="20">
        <v>74.32</v>
      </c>
      <c r="K28" s="20">
        <f t="shared" si="2"/>
        <v>74.32</v>
      </c>
      <c r="L28" s="20">
        <f t="shared" si="3"/>
        <v>1</v>
      </c>
    </row>
    <row r="29" ht="12.75" customHeight="1">
      <c r="A29" s="7">
        <v>1.0</v>
      </c>
      <c r="B29" s="7" t="s">
        <v>709</v>
      </c>
      <c r="C29" s="28">
        <v>66.9</v>
      </c>
      <c r="D29" s="28" t="s">
        <v>128</v>
      </c>
      <c r="F29" s="28">
        <f t="shared" si="1"/>
        <v>66.9</v>
      </c>
      <c r="I29" s="20" t="s">
        <v>710</v>
      </c>
      <c r="J29" s="20">
        <v>94.73</v>
      </c>
      <c r="K29" s="20">
        <f t="shared" si="2"/>
        <v>94.73</v>
      </c>
      <c r="L29" s="20">
        <f t="shared" si="3"/>
        <v>0</v>
      </c>
    </row>
    <row r="30" ht="12.75" customHeight="1">
      <c r="A30" s="7">
        <v>1.0</v>
      </c>
      <c r="B30" s="45" t="s">
        <v>711</v>
      </c>
      <c r="C30" s="28">
        <v>93.84</v>
      </c>
      <c r="D30" s="28" t="s">
        <v>128</v>
      </c>
      <c r="F30" s="28">
        <f t="shared" si="1"/>
        <v>93.84</v>
      </c>
      <c r="I30" s="20" t="s">
        <v>712</v>
      </c>
      <c r="J30" s="20">
        <v>148.88</v>
      </c>
      <c r="K30" s="20">
        <f t="shared" si="2"/>
        <v>148.88</v>
      </c>
      <c r="L30" s="20">
        <f t="shared" si="3"/>
        <v>0</v>
      </c>
    </row>
    <row r="31" ht="12.75" customHeight="1">
      <c r="A31" s="7">
        <v>2.0</v>
      </c>
      <c r="B31" s="7" t="s">
        <v>713</v>
      </c>
      <c r="C31" s="28">
        <v>77.22</v>
      </c>
      <c r="D31" s="28" t="s">
        <v>128</v>
      </c>
      <c r="F31" s="28">
        <f t="shared" si="1"/>
        <v>154.44</v>
      </c>
      <c r="I31" s="20" t="s">
        <v>714</v>
      </c>
      <c r="J31" s="20">
        <v>69.65</v>
      </c>
      <c r="K31" s="20">
        <f t="shared" si="2"/>
        <v>139.3</v>
      </c>
      <c r="L31" s="20">
        <f t="shared" si="3"/>
        <v>1</v>
      </c>
    </row>
    <row r="32" ht="12.75" customHeight="1">
      <c r="A32" s="7">
        <v>1.0</v>
      </c>
      <c r="B32" s="7" t="s">
        <v>715</v>
      </c>
      <c r="C32" s="28">
        <v>100.82</v>
      </c>
      <c r="D32" s="28" t="s">
        <v>128</v>
      </c>
      <c r="K32" s="20">
        <f t="shared" si="2"/>
        <v>0</v>
      </c>
    </row>
    <row r="33" ht="12.75" customHeight="1">
      <c r="A33" s="7">
        <v>4.0</v>
      </c>
      <c r="B33" s="7" t="s">
        <v>716</v>
      </c>
      <c r="C33" s="28">
        <v>134.81</v>
      </c>
      <c r="D33" s="28" t="s">
        <v>128</v>
      </c>
      <c r="K33" s="20">
        <f t="shared" si="2"/>
        <v>0</v>
      </c>
    </row>
    <row r="34" ht="12.75" customHeight="1">
      <c r="A34" s="7">
        <v>2.0</v>
      </c>
      <c r="B34" s="7" t="s">
        <v>717</v>
      </c>
      <c r="C34" s="28">
        <v>63.77</v>
      </c>
      <c r="D34" s="28" t="s">
        <v>200</v>
      </c>
      <c r="F34" s="28">
        <f t="shared" ref="F34:F37" si="4">A34*C34</f>
        <v>127.54</v>
      </c>
      <c r="I34" s="20" t="s">
        <v>718</v>
      </c>
      <c r="J34" s="20">
        <v>60.67</v>
      </c>
      <c r="K34" s="20">
        <f t="shared" si="2"/>
        <v>121.34</v>
      </c>
      <c r="L34" s="20">
        <f t="shared" ref="L34:L37" si="5">IF(C34&gt;J34,1,0)</f>
        <v>1</v>
      </c>
    </row>
    <row r="35" ht="12.75" customHeight="1">
      <c r="A35" s="7">
        <v>4.0</v>
      </c>
      <c r="B35" s="45" t="s">
        <v>719</v>
      </c>
      <c r="C35" s="28">
        <v>26.63</v>
      </c>
      <c r="D35" s="28" t="s">
        <v>237</v>
      </c>
      <c r="F35" s="28">
        <f t="shared" si="4"/>
        <v>106.52</v>
      </c>
      <c r="I35" s="20" t="s">
        <v>720</v>
      </c>
      <c r="J35" s="20">
        <v>14.9</v>
      </c>
      <c r="K35" s="20">
        <f t="shared" si="2"/>
        <v>59.6</v>
      </c>
      <c r="L35" s="20">
        <f t="shared" si="5"/>
        <v>1</v>
      </c>
    </row>
    <row r="36" ht="12.75" customHeight="1">
      <c r="A36" s="7">
        <v>2.0</v>
      </c>
      <c r="B36" s="45" t="s">
        <v>721</v>
      </c>
      <c r="C36" s="28">
        <v>33.04</v>
      </c>
      <c r="D36" s="28" t="s">
        <v>237</v>
      </c>
      <c r="F36" s="28">
        <f t="shared" si="4"/>
        <v>66.08</v>
      </c>
      <c r="I36" s="20" t="s">
        <v>722</v>
      </c>
      <c r="J36" s="20">
        <v>17.28</v>
      </c>
      <c r="K36" s="20">
        <f t="shared" si="2"/>
        <v>34.56</v>
      </c>
      <c r="L36" s="20">
        <f t="shared" si="5"/>
        <v>1</v>
      </c>
    </row>
    <row r="37" ht="12.75" customHeight="1">
      <c r="A37" s="7">
        <v>2.0</v>
      </c>
      <c r="B37" s="45" t="s">
        <v>270</v>
      </c>
      <c r="C37" s="28">
        <v>39.92</v>
      </c>
      <c r="D37" s="28" t="s">
        <v>237</v>
      </c>
      <c r="F37" s="28">
        <f t="shared" si="4"/>
        <v>79.84</v>
      </c>
      <c r="I37" s="20" t="s">
        <v>723</v>
      </c>
      <c r="J37" s="20">
        <v>24.3</v>
      </c>
      <c r="K37" s="20">
        <f t="shared" si="2"/>
        <v>48.6</v>
      </c>
      <c r="L37" s="20">
        <f t="shared" si="5"/>
        <v>1</v>
      </c>
    </row>
    <row r="38" ht="12.75" customHeight="1">
      <c r="A38" s="7">
        <v>1.0</v>
      </c>
      <c r="B38" s="7" t="s">
        <v>724</v>
      </c>
      <c r="C38" s="28">
        <v>70.59</v>
      </c>
      <c r="D38" s="28" t="s">
        <v>237</v>
      </c>
      <c r="K38" s="20">
        <f t="shared" si="2"/>
        <v>0</v>
      </c>
    </row>
    <row r="39" ht="12.75" customHeight="1">
      <c r="A39" s="7">
        <v>3.0</v>
      </c>
      <c r="B39" s="7" t="s">
        <v>725</v>
      </c>
      <c r="C39" s="28">
        <v>66.62</v>
      </c>
      <c r="D39" s="28" t="s">
        <v>237</v>
      </c>
      <c r="K39" s="20">
        <f t="shared" si="2"/>
        <v>0</v>
      </c>
    </row>
    <row r="40" ht="12.75" customHeight="1"/>
    <row r="41" ht="12.75" customHeight="1">
      <c r="F41" s="28">
        <f>SUM(F3:F39)</f>
        <v>2989.18</v>
      </c>
      <c r="K41" s="28">
        <f>SUM(K3:K39)</f>
        <v>2441.04</v>
      </c>
    </row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63.14"/>
    <col customWidth="1" min="3" max="3" width="15.0"/>
    <col customWidth="1" min="4" max="4" width="13.29"/>
    <col customWidth="1" min="5" max="11" width="8.71"/>
    <col customWidth="1" min="12" max="12" width="4.29"/>
    <col customWidth="1" min="13" max="26" width="8.71"/>
  </cols>
  <sheetData>
    <row r="1" ht="12.75" customHeight="1">
      <c r="A1" s="67" t="s">
        <v>2</v>
      </c>
      <c r="B1" s="68" t="s">
        <v>651</v>
      </c>
      <c r="C1" s="69" t="s">
        <v>652</v>
      </c>
      <c r="D1" s="69" t="s">
        <v>653</v>
      </c>
      <c r="M1" s="20" t="s">
        <v>726</v>
      </c>
      <c r="N1" s="20" t="s">
        <v>727</v>
      </c>
    </row>
    <row r="2" ht="12.75" customHeight="1">
      <c r="A2" s="46">
        <v>2.0</v>
      </c>
      <c r="B2" s="45" t="s">
        <v>654</v>
      </c>
      <c r="C2" s="70" t="s">
        <v>655</v>
      </c>
      <c r="I2" s="20" t="s">
        <v>656</v>
      </c>
      <c r="J2" s="20">
        <v>469.32</v>
      </c>
      <c r="M2" s="20" t="s">
        <v>728</v>
      </c>
      <c r="N2" s="20" t="s">
        <v>729</v>
      </c>
    </row>
    <row r="3" ht="12.75" customHeight="1">
      <c r="A3" s="7">
        <v>4.0</v>
      </c>
      <c r="B3" s="45" t="s">
        <v>730</v>
      </c>
      <c r="C3" s="28">
        <v>7.6</v>
      </c>
      <c r="D3" s="28" t="s">
        <v>237</v>
      </c>
      <c r="F3" s="28">
        <f t="shared" ref="F3:F31" si="1">A3*C3</f>
        <v>30.4</v>
      </c>
      <c r="I3" s="20" t="s">
        <v>658</v>
      </c>
      <c r="J3" s="20">
        <v>6.93</v>
      </c>
      <c r="K3" s="20">
        <f t="shared" ref="K3:K39" si="2">J3*A3</f>
        <v>27.72</v>
      </c>
      <c r="L3" s="20">
        <f t="shared" ref="L3:L31" si="3">IF(C3&gt;J3,1,0)</f>
        <v>1</v>
      </c>
      <c r="M3" s="20" t="s">
        <v>728</v>
      </c>
      <c r="N3" s="20" t="s">
        <v>729</v>
      </c>
    </row>
    <row r="4" ht="12.75" customHeight="1">
      <c r="A4" s="7">
        <v>4.0</v>
      </c>
      <c r="B4" s="45" t="s">
        <v>731</v>
      </c>
      <c r="C4" s="28">
        <v>7.79</v>
      </c>
      <c r="D4" s="28" t="s">
        <v>237</v>
      </c>
      <c r="F4" s="28">
        <f t="shared" si="1"/>
        <v>31.16</v>
      </c>
      <c r="I4" s="20" t="s">
        <v>660</v>
      </c>
      <c r="J4" s="20">
        <v>5.7</v>
      </c>
      <c r="K4" s="20">
        <f t="shared" si="2"/>
        <v>22.8</v>
      </c>
      <c r="L4" s="20">
        <f t="shared" si="3"/>
        <v>1</v>
      </c>
      <c r="M4" s="20" t="s">
        <v>728</v>
      </c>
      <c r="N4" s="20" t="s">
        <v>729</v>
      </c>
    </row>
    <row r="5" ht="12.75" customHeight="1">
      <c r="A5" s="7">
        <v>2.0</v>
      </c>
      <c r="B5" s="7" t="s">
        <v>732</v>
      </c>
      <c r="C5" s="28">
        <v>10.89</v>
      </c>
      <c r="D5" s="28" t="s">
        <v>237</v>
      </c>
      <c r="F5" s="28">
        <f t="shared" si="1"/>
        <v>21.78</v>
      </c>
      <c r="I5" s="20" t="s">
        <v>662</v>
      </c>
      <c r="J5" s="20">
        <v>7.65</v>
      </c>
      <c r="K5" s="20">
        <f t="shared" si="2"/>
        <v>15.3</v>
      </c>
      <c r="L5" s="20">
        <f t="shared" si="3"/>
        <v>1</v>
      </c>
      <c r="M5" s="20" t="s">
        <v>728</v>
      </c>
      <c r="N5" s="20" t="s">
        <v>729</v>
      </c>
    </row>
    <row r="6" ht="12.75" customHeight="1">
      <c r="A6" s="7">
        <v>1.0</v>
      </c>
      <c r="B6" s="7" t="s">
        <v>733</v>
      </c>
      <c r="C6" s="28">
        <v>16.82</v>
      </c>
      <c r="D6" s="28" t="s">
        <v>237</v>
      </c>
      <c r="F6" s="28">
        <f t="shared" si="1"/>
        <v>16.82</v>
      </c>
      <c r="I6" s="20" t="s">
        <v>664</v>
      </c>
      <c r="J6" s="20">
        <v>11.68</v>
      </c>
      <c r="K6" s="20">
        <f t="shared" si="2"/>
        <v>11.68</v>
      </c>
      <c r="L6" s="20">
        <f t="shared" si="3"/>
        <v>1</v>
      </c>
      <c r="M6" s="20" t="s">
        <v>728</v>
      </c>
      <c r="N6" s="20" t="s">
        <v>729</v>
      </c>
    </row>
    <row r="7" ht="12.75" customHeight="1">
      <c r="A7" s="7">
        <v>5.0</v>
      </c>
      <c r="B7" s="7" t="s">
        <v>734</v>
      </c>
      <c r="C7" s="28">
        <v>32.57</v>
      </c>
      <c r="D7" s="28" t="s">
        <v>237</v>
      </c>
      <c r="F7" s="28">
        <f t="shared" si="1"/>
        <v>162.85</v>
      </c>
      <c r="I7" s="20" t="s">
        <v>666</v>
      </c>
      <c r="J7" s="20">
        <v>23.7</v>
      </c>
      <c r="K7" s="20">
        <f t="shared" si="2"/>
        <v>118.5</v>
      </c>
      <c r="L7" s="20">
        <f t="shared" si="3"/>
        <v>1</v>
      </c>
      <c r="M7" s="20" t="s">
        <v>728</v>
      </c>
      <c r="N7" s="20" t="s">
        <v>729</v>
      </c>
    </row>
    <row r="8" ht="12.75" customHeight="1">
      <c r="A8" s="7">
        <v>2.0</v>
      </c>
      <c r="B8" s="7" t="s">
        <v>735</v>
      </c>
      <c r="C8" s="28">
        <v>30.14</v>
      </c>
      <c r="D8" s="28" t="s">
        <v>237</v>
      </c>
      <c r="F8" s="28">
        <f t="shared" si="1"/>
        <v>60.28</v>
      </c>
      <c r="I8" s="20" t="s">
        <v>668</v>
      </c>
      <c r="J8" s="20">
        <v>21.65</v>
      </c>
      <c r="K8" s="20">
        <f t="shared" si="2"/>
        <v>43.3</v>
      </c>
      <c r="L8" s="20">
        <f t="shared" si="3"/>
        <v>1</v>
      </c>
      <c r="M8" s="20" t="s">
        <v>728</v>
      </c>
      <c r="N8" s="20" t="s">
        <v>729</v>
      </c>
    </row>
    <row r="9" ht="12.75" customHeight="1">
      <c r="A9" s="7">
        <v>1.0</v>
      </c>
      <c r="B9" s="7" t="s">
        <v>736</v>
      </c>
      <c r="C9" s="28">
        <v>44.68</v>
      </c>
      <c r="D9" s="28" t="s">
        <v>237</v>
      </c>
      <c r="F9" s="28">
        <f t="shared" si="1"/>
        <v>44.68</v>
      </c>
      <c r="I9" s="20" t="s">
        <v>670</v>
      </c>
      <c r="J9" s="20">
        <v>32.47</v>
      </c>
      <c r="K9" s="20">
        <f t="shared" si="2"/>
        <v>32.47</v>
      </c>
      <c r="L9" s="20">
        <f t="shared" si="3"/>
        <v>1</v>
      </c>
      <c r="M9" s="20" t="s">
        <v>728</v>
      </c>
      <c r="N9" s="20" t="s">
        <v>729</v>
      </c>
    </row>
    <row r="10" ht="12.75" customHeight="1">
      <c r="A10" s="7">
        <v>4.0</v>
      </c>
      <c r="B10" s="7" t="s">
        <v>737</v>
      </c>
      <c r="C10" s="28">
        <v>41.18</v>
      </c>
      <c r="D10" s="28" t="s">
        <v>237</v>
      </c>
      <c r="F10" s="28">
        <f t="shared" si="1"/>
        <v>164.72</v>
      </c>
      <c r="I10" s="20" t="s">
        <v>672</v>
      </c>
      <c r="J10" s="20">
        <v>25.53</v>
      </c>
      <c r="K10" s="20">
        <f t="shared" si="2"/>
        <v>102.12</v>
      </c>
      <c r="L10" s="20">
        <f t="shared" si="3"/>
        <v>1</v>
      </c>
      <c r="M10" s="20" t="s">
        <v>728</v>
      </c>
      <c r="N10" s="20" t="s">
        <v>729</v>
      </c>
    </row>
    <row r="11" ht="12.75" customHeight="1">
      <c r="A11" s="7">
        <v>1.0</v>
      </c>
      <c r="B11" s="7" t="s">
        <v>738</v>
      </c>
      <c r="C11" s="28">
        <v>66.26</v>
      </c>
      <c r="D11" s="28" t="s">
        <v>237</v>
      </c>
      <c r="F11" s="28">
        <f t="shared" si="1"/>
        <v>66.26</v>
      </c>
      <c r="I11" s="20" t="s">
        <v>674</v>
      </c>
      <c r="J11" s="20">
        <v>44.68</v>
      </c>
      <c r="K11" s="20">
        <f t="shared" si="2"/>
        <v>44.68</v>
      </c>
      <c r="L11" s="20">
        <f t="shared" si="3"/>
        <v>1</v>
      </c>
      <c r="M11" s="20" t="s">
        <v>728</v>
      </c>
      <c r="N11" s="20" t="s">
        <v>729</v>
      </c>
    </row>
    <row r="12" ht="12.75" customHeight="1">
      <c r="A12" s="7">
        <v>4.0</v>
      </c>
      <c r="B12" s="45" t="s">
        <v>739</v>
      </c>
      <c r="C12" s="28">
        <v>18.28</v>
      </c>
      <c r="D12" s="28" t="s">
        <v>200</v>
      </c>
      <c r="F12" s="28">
        <f t="shared" si="1"/>
        <v>73.12</v>
      </c>
      <c r="I12" s="20" t="s">
        <v>676</v>
      </c>
      <c r="J12" s="20">
        <v>23.38</v>
      </c>
      <c r="K12" s="20">
        <f t="shared" si="2"/>
        <v>93.52</v>
      </c>
      <c r="L12" s="20">
        <f t="shared" si="3"/>
        <v>0</v>
      </c>
      <c r="M12" s="20" t="s">
        <v>728</v>
      </c>
      <c r="N12" s="20" t="s">
        <v>729</v>
      </c>
    </row>
    <row r="13" ht="12.75" customHeight="1">
      <c r="A13" s="7">
        <v>2.0</v>
      </c>
      <c r="B13" s="7" t="s">
        <v>740</v>
      </c>
      <c r="C13" s="28">
        <v>9.38</v>
      </c>
      <c r="D13" s="28" t="s">
        <v>237</v>
      </c>
      <c r="F13" s="28">
        <f t="shared" si="1"/>
        <v>18.76</v>
      </c>
      <c r="I13" s="20" t="s">
        <v>678</v>
      </c>
      <c r="J13" s="20">
        <v>7.53</v>
      </c>
      <c r="K13" s="20">
        <f t="shared" si="2"/>
        <v>15.06</v>
      </c>
      <c r="L13" s="20">
        <f t="shared" si="3"/>
        <v>1</v>
      </c>
      <c r="M13" s="20" t="s">
        <v>728</v>
      </c>
      <c r="N13" s="20" t="s">
        <v>729</v>
      </c>
    </row>
    <row r="14" ht="12.75" customHeight="1">
      <c r="A14" s="7">
        <v>1.0</v>
      </c>
      <c r="B14" s="7" t="s">
        <v>741</v>
      </c>
      <c r="C14" s="28">
        <v>17.53</v>
      </c>
      <c r="D14" s="28" t="s">
        <v>237</v>
      </c>
      <c r="F14" s="28">
        <f t="shared" si="1"/>
        <v>17.53</v>
      </c>
      <c r="I14" s="20" t="s">
        <v>680</v>
      </c>
      <c r="J14" s="20">
        <v>12.85</v>
      </c>
      <c r="K14" s="20">
        <f t="shared" si="2"/>
        <v>12.85</v>
      </c>
      <c r="L14" s="20">
        <f t="shared" si="3"/>
        <v>1</v>
      </c>
      <c r="M14" s="20" t="s">
        <v>728</v>
      </c>
      <c r="N14" s="20" t="s">
        <v>729</v>
      </c>
    </row>
    <row r="15" ht="12.75" customHeight="1">
      <c r="A15" s="7">
        <v>5.0</v>
      </c>
      <c r="B15" s="7" t="s">
        <v>742</v>
      </c>
      <c r="C15" s="28">
        <v>14.97</v>
      </c>
      <c r="D15" s="28" t="s">
        <v>237</v>
      </c>
      <c r="F15" s="28">
        <f t="shared" si="1"/>
        <v>74.85</v>
      </c>
      <c r="I15" s="20" t="s">
        <v>682</v>
      </c>
      <c r="J15" s="20">
        <v>11.8</v>
      </c>
      <c r="K15" s="20">
        <f t="shared" si="2"/>
        <v>59</v>
      </c>
      <c r="L15" s="20">
        <f t="shared" si="3"/>
        <v>1</v>
      </c>
      <c r="M15" s="20" t="s">
        <v>728</v>
      </c>
      <c r="N15" s="20" t="s">
        <v>729</v>
      </c>
    </row>
    <row r="16" ht="12.75" customHeight="1">
      <c r="A16" s="7">
        <v>1.0</v>
      </c>
      <c r="B16" s="7" t="s">
        <v>743</v>
      </c>
      <c r="C16" s="28">
        <v>28.36</v>
      </c>
      <c r="D16" s="28" t="s">
        <v>237</v>
      </c>
      <c r="F16" s="28">
        <f t="shared" si="1"/>
        <v>28.36</v>
      </c>
      <c r="I16" s="20" t="s">
        <v>684</v>
      </c>
      <c r="J16" s="20">
        <v>18.33</v>
      </c>
      <c r="K16" s="20">
        <f t="shared" si="2"/>
        <v>18.33</v>
      </c>
      <c r="L16" s="20">
        <f t="shared" si="3"/>
        <v>1</v>
      </c>
      <c r="M16" s="20" t="s">
        <v>728</v>
      </c>
      <c r="N16" s="20" t="s">
        <v>729</v>
      </c>
    </row>
    <row r="17" ht="12.75" customHeight="1">
      <c r="A17" s="7">
        <v>2.0</v>
      </c>
      <c r="B17" s="7" t="s">
        <v>744</v>
      </c>
      <c r="C17" s="28">
        <v>25.92</v>
      </c>
      <c r="D17" s="28" t="s">
        <v>237</v>
      </c>
      <c r="F17" s="28">
        <f t="shared" si="1"/>
        <v>51.84</v>
      </c>
      <c r="I17" s="20" t="s">
        <v>686</v>
      </c>
      <c r="J17" s="20">
        <v>18.33</v>
      </c>
      <c r="K17" s="20">
        <f t="shared" si="2"/>
        <v>36.66</v>
      </c>
      <c r="L17" s="20">
        <f t="shared" si="3"/>
        <v>1</v>
      </c>
      <c r="M17" s="20" t="s">
        <v>728</v>
      </c>
      <c r="N17" s="20" t="s">
        <v>729</v>
      </c>
    </row>
    <row r="18" ht="12.75" customHeight="1">
      <c r="A18" s="7">
        <v>2.0</v>
      </c>
      <c r="B18" s="7" t="s">
        <v>687</v>
      </c>
      <c r="C18" s="28">
        <v>44.18</v>
      </c>
      <c r="D18" s="28" t="s">
        <v>237</v>
      </c>
      <c r="F18" s="28">
        <f t="shared" si="1"/>
        <v>88.36</v>
      </c>
      <c r="I18" s="20" t="s">
        <v>688</v>
      </c>
      <c r="J18" s="20">
        <v>53.05</v>
      </c>
      <c r="K18" s="20">
        <f t="shared" si="2"/>
        <v>106.1</v>
      </c>
      <c r="L18" s="20">
        <f t="shared" si="3"/>
        <v>0</v>
      </c>
      <c r="M18" s="20" t="s">
        <v>745</v>
      </c>
      <c r="N18" s="20" t="s">
        <v>729</v>
      </c>
    </row>
    <row r="19" ht="12.75" customHeight="1">
      <c r="A19" s="7">
        <v>2.0</v>
      </c>
      <c r="B19" s="7" t="s">
        <v>746</v>
      </c>
      <c r="C19" s="28">
        <v>51.56</v>
      </c>
      <c r="D19" s="28" t="s">
        <v>237</v>
      </c>
      <c r="F19" s="28">
        <f t="shared" si="1"/>
        <v>103.12</v>
      </c>
      <c r="I19" s="20" t="s">
        <v>690</v>
      </c>
      <c r="J19" s="20">
        <v>33.85</v>
      </c>
      <c r="K19" s="20">
        <f t="shared" si="2"/>
        <v>67.7</v>
      </c>
      <c r="L19" s="20">
        <f t="shared" si="3"/>
        <v>1</v>
      </c>
      <c r="M19" s="20" t="s">
        <v>728</v>
      </c>
      <c r="N19" s="20" t="s">
        <v>729</v>
      </c>
    </row>
    <row r="20" ht="12.75" customHeight="1">
      <c r="A20" s="7">
        <v>4.0</v>
      </c>
      <c r="B20" s="7" t="s">
        <v>747</v>
      </c>
      <c r="C20" s="28">
        <v>11.29</v>
      </c>
      <c r="D20" s="28" t="s">
        <v>237</v>
      </c>
      <c r="F20" s="28">
        <f t="shared" si="1"/>
        <v>45.16</v>
      </c>
      <c r="I20" s="20" t="s">
        <v>692</v>
      </c>
      <c r="J20" s="20">
        <v>9.15</v>
      </c>
      <c r="K20" s="20">
        <f t="shared" si="2"/>
        <v>36.6</v>
      </c>
      <c r="L20" s="20">
        <f t="shared" si="3"/>
        <v>1</v>
      </c>
      <c r="M20" s="20" t="s">
        <v>728</v>
      </c>
      <c r="N20" s="20" t="s">
        <v>729</v>
      </c>
    </row>
    <row r="21" ht="12.75" customHeight="1">
      <c r="A21" s="7">
        <v>4.0</v>
      </c>
      <c r="B21" s="7" t="s">
        <v>748</v>
      </c>
      <c r="C21" s="28">
        <v>20.91</v>
      </c>
      <c r="D21" s="28" t="s">
        <v>237</v>
      </c>
      <c r="F21" s="28">
        <f t="shared" si="1"/>
        <v>83.64</v>
      </c>
      <c r="I21" s="20" t="s">
        <v>694</v>
      </c>
      <c r="J21" s="20">
        <v>13.5</v>
      </c>
      <c r="K21" s="20">
        <f t="shared" si="2"/>
        <v>54</v>
      </c>
      <c r="L21" s="20">
        <f t="shared" si="3"/>
        <v>1</v>
      </c>
      <c r="M21" s="20" t="s">
        <v>728</v>
      </c>
      <c r="N21" s="20" t="s">
        <v>729</v>
      </c>
    </row>
    <row r="22" ht="12.75" customHeight="1">
      <c r="A22" s="7">
        <v>2.0</v>
      </c>
      <c r="B22" s="45" t="s">
        <v>749</v>
      </c>
      <c r="C22" s="28">
        <v>18.98</v>
      </c>
      <c r="D22" s="28" t="s">
        <v>237</v>
      </c>
      <c r="F22" s="28">
        <f t="shared" si="1"/>
        <v>37.96</v>
      </c>
      <c r="I22" s="20" t="s">
        <v>696</v>
      </c>
      <c r="J22" s="20">
        <v>13.5</v>
      </c>
      <c r="K22" s="20">
        <f t="shared" si="2"/>
        <v>27</v>
      </c>
      <c r="L22" s="20">
        <f t="shared" si="3"/>
        <v>1</v>
      </c>
      <c r="M22" s="20" t="s">
        <v>728</v>
      </c>
      <c r="N22" s="20" t="s">
        <v>729</v>
      </c>
    </row>
    <row r="23" ht="12.75" customHeight="1">
      <c r="A23" s="7">
        <v>7.0</v>
      </c>
      <c r="B23" s="45" t="s">
        <v>750</v>
      </c>
      <c r="C23" s="28">
        <v>31.12</v>
      </c>
      <c r="D23" s="28" t="s">
        <v>237</v>
      </c>
      <c r="F23" s="28">
        <f t="shared" si="1"/>
        <v>217.84</v>
      </c>
      <c r="I23" s="20" t="s">
        <v>698</v>
      </c>
      <c r="J23" s="20">
        <v>23.03</v>
      </c>
      <c r="K23" s="20">
        <f t="shared" si="2"/>
        <v>161.21</v>
      </c>
      <c r="L23" s="20">
        <f t="shared" si="3"/>
        <v>1</v>
      </c>
      <c r="M23" s="20" t="s">
        <v>728</v>
      </c>
      <c r="N23" s="20" t="s">
        <v>729</v>
      </c>
    </row>
    <row r="24" ht="12.75" customHeight="1">
      <c r="A24" s="7">
        <v>1.0</v>
      </c>
      <c r="B24" s="7" t="s">
        <v>751</v>
      </c>
      <c r="C24" s="28">
        <v>32.62</v>
      </c>
      <c r="D24" s="28" t="s">
        <v>237</v>
      </c>
      <c r="F24" s="28">
        <f t="shared" si="1"/>
        <v>32.62</v>
      </c>
      <c r="I24" s="20" t="s">
        <v>700</v>
      </c>
      <c r="J24" s="20">
        <v>23.03</v>
      </c>
      <c r="K24" s="20">
        <f t="shared" si="2"/>
        <v>23.03</v>
      </c>
      <c r="L24" s="20">
        <f t="shared" si="3"/>
        <v>1</v>
      </c>
      <c r="M24" s="20" t="s">
        <v>728</v>
      </c>
      <c r="N24" s="20" t="s">
        <v>729</v>
      </c>
    </row>
    <row r="25" ht="12.75" customHeight="1">
      <c r="A25" s="7">
        <v>2.0</v>
      </c>
      <c r="B25" s="45" t="s">
        <v>752</v>
      </c>
      <c r="C25" s="28">
        <v>39.27</v>
      </c>
      <c r="D25" s="28" t="s">
        <v>237</v>
      </c>
      <c r="F25" s="28">
        <f t="shared" si="1"/>
        <v>78.54</v>
      </c>
      <c r="I25" s="20" t="s">
        <v>702</v>
      </c>
      <c r="J25" s="20">
        <v>28.45</v>
      </c>
      <c r="K25" s="20">
        <f t="shared" si="2"/>
        <v>56.9</v>
      </c>
      <c r="L25" s="20">
        <f t="shared" si="3"/>
        <v>1</v>
      </c>
      <c r="M25" s="20" t="s">
        <v>728</v>
      </c>
      <c r="N25" s="20" t="s">
        <v>729</v>
      </c>
    </row>
    <row r="26" ht="12.75" customHeight="1">
      <c r="A26" s="7">
        <v>4.0</v>
      </c>
      <c r="B26" s="7" t="s">
        <v>753</v>
      </c>
      <c r="C26" s="28">
        <v>127.65</v>
      </c>
      <c r="D26" s="28" t="s">
        <v>237</v>
      </c>
      <c r="F26" s="28">
        <f t="shared" si="1"/>
        <v>510.6</v>
      </c>
      <c r="I26" s="20" t="s">
        <v>704</v>
      </c>
      <c r="J26" s="20">
        <v>106.02</v>
      </c>
      <c r="K26" s="20">
        <f t="shared" si="2"/>
        <v>424.08</v>
      </c>
      <c r="L26" s="20">
        <f t="shared" si="3"/>
        <v>1</v>
      </c>
      <c r="M26" s="20" t="s">
        <v>728</v>
      </c>
      <c r="N26" s="20" t="s">
        <v>729</v>
      </c>
    </row>
    <row r="27" ht="12.75" customHeight="1">
      <c r="A27" s="7">
        <v>2.0</v>
      </c>
      <c r="B27" s="7" t="s">
        <v>754</v>
      </c>
      <c r="C27" s="28">
        <v>77.75</v>
      </c>
      <c r="D27" s="28" t="s">
        <v>237</v>
      </c>
      <c r="F27" s="28">
        <f t="shared" si="1"/>
        <v>155.5</v>
      </c>
      <c r="I27" s="20" t="s">
        <v>706</v>
      </c>
      <c r="J27" s="20">
        <v>54.55</v>
      </c>
      <c r="K27" s="20">
        <f t="shared" si="2"/>
        <v>109.1</v>
      </c>
      <c r="L27" s="20">
        <f t="shared" si="3"/>
        <v>1</v>
      </c>
      <c r="M27" s="20" t="s">
        <v>728</v>
      </c>
      <c r="N27" s="20" t="s">
        <v>729</v>
      </c>
    </row>
    <row r="28" ht="12.75" customHeight="1">
      <c r="A28" s="7">
        <v>1.0</v>
      </c>
      <c r="B28" s="7" t="s">
        <v>755</v>
      </c>
      <c r="C28" s="28">
        <v>77.27</v>
      </c>
      <c r="D28" s="28" t="s">
        <v>200</v>
      </c>
      <c r="F28" s="28">
        <f t="shared" si="1"/>
        <v>77.27</v>
      </c>
      <c r="I28" s="20" t="s">
        <v>708</v>
      </c>
      <c r="J28" s="20">
        <v>74.32</v>
      </c>
      <c r="K28" s="20">
        <f t="shared" si="2"/>
        <v>74.32</v>
      </c>
      <c r="L28" s="20">
        <f t="shared" si="3"/>
        <v>1</v>
      </c>
      <c r="M28" s="20" t="s">
        <v>728</v>
      </c>
      <c r="N28" s="20" t="s">
        <v>729</v>
      </c>
    </row>
    <row r="29" ht="12.75" customHeight="1">
      <c r="A29" s="7">
        <v>1.0</v>
      </c>
      <c r="B29" s="7" t="s">
        <v>756</v>
      </c>
      <c r="C29" s="28">
        <v>66.9</v>
      </c>
      <c r="D29" s="28" t="s">
        <v>128</v>
      </c>
      <c r="F29" s="28">
        <f t="shared" si="1"/>
        <v>66.9</v>
      </c>
      <c r="I29" s="20" t="s">
        <v>710</v>
      </c>
      <c r="J29" s="20">
        <v>94.73</v>
      </c>
      <c r="K29" s="20">
        <f t="shared" si="2"/>
        <v>94.73</v>
      </c>
      <c r="L29" s="20">
        <f t="shared" si="3"/>
        <v>0</v>
      </c>
      <c r="M29" s="20" t="s">
        <v>757</v>
      </c>
      <c r="N29" s="20" t="s">
        <v>729</v>
      </c>
    </row>
    <row r="30" ht="12.75" customHeight="1">
      <c r="A30" s="7">
        <v>1.0</v>
      </c>
      <c r="B30" s="45" t="s">
        <v>758</v>
      </c>
      <c r="C30" s="28">
        <v>93.84</v>
      </c>
      <c r="D30" s="28" t="s">
        <v>128</v>
      </c>
      <c r="F30" s="28">
        <f t="shared" si="1"/>
        <v>93.84</v>
      </c>
      <c r="I30" s="20" t="s">
        <v>712</v>
      </c>
      <c r="J30" s="20">
        <v>148.88</v>
      </c>
      <c r="K30" s="20">
        <f t="shared" si="2"/>
        <v>148.88</v>
      </c>
      <c r="L30" s="20">
        <f t="shared" si="3"/>
        <v>0</v>
      </c>
      <c r="M30" s="20" t="s">
        <v>757</v>
      </c>
      <c r="N30" s="20" t="s">
        <v>729</v>
      </c>
    </row>
    <row r="31" ht="12.75" customHeight="1">
      <c r="A31" s="7">
        <v>2.0</v>
      </c>
      <c r="B31" s="7" t="s">
        <v>759</v>
      </c>
      <c r="C31" s="28">
        <v>77.22</v>
      </c>
      <c r="D31" s="28" t="s">
        <v>128</v>
      </c>
      <c r="F31" s="28">
        <f t="shared" si="1"/>
        <v>154.44</v>
      </c>
      <c r="I31" s="20" t="s">
        <v>714</v>
      </c>
      <c r="J31" s="20">
        <v>69.65</v>
      </c>
      <c r="K31" s="20">
        <f t="shared" si="2"/>
        <v>139.3</v>
      </c>
      <c r="L31" s="20">
        <f t="shared" si="3"/>
        <v>1</v>
      </c>
      <c r="M31" s="20" t="s">
        <v>728</v>
      </c>
      <c r="N31" s="20" t="s">
        <v>729</v>
      </c>
    </row>
    <row r="32" ht="12.75" customHeight="1">
      <c r="A32" s="7">
        <v>1.0</v>
      </c>
      <c r="B32" s="7" t="s">
        <v>760</v>
      </c>
      <c r="C32" s="28">
        <v>100.82</v>
      </c>
      <c r="D32" s="28" t="s">
        <v>128</v>
      </c>
      <c r="K32" s="20">
        <f t="shared" si="2"/>
        <v>0</v>
      </c>
      <c r="M32" s="20" t="s">
        <v>757</v>
      </c>
      <c r="N32" s="20" t="s">
        <v>729</v>
      </c>
    </row>
    <row r="33" ht="12.75" customHeight="1">
      <c r="A33" s="7">
        <v>4.0</v>
      </c>
      <c r="B33" s="7" t="s">
        <v>761</v>
      </c>
      <c r="C33" s="28">
        <v>134.81</v>
      </c>
      <c r="D33" s="28" t="s">
        <v>128</v>
      </c>
      <c r="K33" s="20">
        <f t="shared" si="2"/>
        <v>0</v>
      </c>
      <c r="M33" s="20" t="s">
        <v>757</v>
      </c>
      <c r="N33" s="20" t="s">
        <v>729</v>
      </c>
    </row>
    <row r="34" ht="12.75" customHeight="1">
      <c r="A34" s="7">
        <v>2.0</v>
      </c>
      <c r="B34" s="7" t="s">
        <v>762</v>
      </c>
      <c r="C34" s="28">
        <v>63.77</v>
      </c>
      <c r="D34" s="28" t="s">
        <v>200</v>
      </c>
      <c r="F34" s="28">
        <f t="shared" ref="F34:F37" si="4">A34*C34</f>
        <v>127.54</v>
      </c>
      <c r="I34" s="20" t="s">
        <v>718</v>
      </c>
      <c r="J34" s="20">
        <v>60.67</v>
      </c>
      <c r="K34" s="20">
        <f t="shared" si="2"/>
        <v>121.34</v>
      </c>
      <c r="L34" s="20">
        <f t="shared" ref="L34:L37" si="5">IF(C34&gt;J34,1,0)</f>
        <v>1</v>
      </c>
      <c r="M34" s="20" t="s">
        <v>728</v>
      </c>
      <c r="N34" s="20" t="s">
        <v>729</v>
      </c>
    </row>
    <row r="35" ht="12.75" customHeight="1">
      <c r="A35" s="7">
        <v>4.0</v>
      </c>
      <c r="B35" s="45" t="s">
        <v>763</v>
      </c>
      <c r="C35" s="28">
        <v>26.63</v>
      </c>
      <c r="D35" s="28" t="s">
        <v>237</v>
      </c>
      <c r="F35" s="28">
        <f t="shared" si="4"/>
        <v>106.52</v>
      </c>
      <c r="I35" s="20" t="s">
        <v>720</v>
      </c>
      <c r="J35" s="20">
        <v>14.9</v>
      </c>
      <c r="K35" s="20">
        <f t="shared" si="2"/>
        <v>59.6</v>
      </c>
      <c r="L35" s="20">
        <f t="shared" si="5"/>
        <v>1</v>
      </c>
      <c r="M35" s="20" t="s">
        <v>728</v>
      </c>
      <c r="N35" s="20" t="s">
        <v>729</v>
      </c>
    </row>
    <row r="36" ht="12.75" customHeight="1">
      <c r="A36" s="7">
        <v>2.0</v>
      </c>
      <c r="B36" s="45" t="s">
        <v>764</v>
      </c>
      <c r="C36" s="28">
        <v>33.04</v>
      </c>
      <c r="D36" s="28" t="s">
        <v>237</v>
      </c>
      <c r="F36" s="28">
        <f t="shared" si="4"/>
        <v>66.08</v>
      </c>
      <c r="I36" s="20" t="s">
        <v>722</v>
      </c>
      <c r="J36" s="20">
        <v>17.28</v>
      </c>
      <c r="K36" s="20">
        <f t="shared" si="2"/>
        <v>34.56</v>
      </c>
      <c r="L36" s="20">
        <f t="shared" si="5"/>
        <v>1</v>
      </c>
      <c r="M36" s="20" t="s">
        <v>728</v>
      </c>
      <c r="N36" s="20" t="s">
        <v>729</v>
      </c>
    </row>
    <row r="37" ht="12.75" customHeight="1">
      <c r="A37" s="7">
        <v>2.0</v>
      </c>
      <c r="B37" s="45" t="s">
        <v>765</v>
      </c>
      <c r="C37" s="28">
        <v>39.92</v>
      </c>
      <c r="D37" s="28" t="s">
        <v>237</v>
      </c>
      <c r="F37" s="28">
        <f t="shared" si="4"/>
        <v>79.84</v>
      </c>
      <c r="I37" s="20" t="s">
        <v>723</v>
      </c>
      <c r="J37" s="20">
        <v>24.3</v>
      </c>
      <c r="K37" s="20">
        <f t="shared" si="2"/>
        <v>48.6</v>
      </c>
      <c r="L37" s="20">
        <f t="shared" si="5"/>
        <v>1</v>
      </c>
      <c r="M37" s="20" t="s">
        <v>728</v>
      </c>
      <c r="N37" s="20" t="s">
        <v>729</v>
      </c>
    </row>
    <row r="38" ht="12.75" customHeight="1">
      <c r="A38" s="7">
        <v>1.0</v>
      </c>
      <c r="B38" s="7" t="s">
        <v>724</v>
      </c>
      <c r="C38" s="28">
        <v>70.59</v>
      </c>
      <c r="D38" s="28" t="s">
        <v>237</v>
      </c>
      <c r="K38" s="20">
        <f t="shared" si="2"/>
        <v>0</v>
      </c>
      <c r="M38" s="20" t="s">
        <v>745</v>
      </c>
      <c r="N38" s="20" t="s">
        <v>729</v>
      </c>
    </row>
    <row r="39" ht="12.75" customHeight="1">
      <c r="A39" s="7">
        <v>3.0</v>
      </c>
      <c r="B39" s="7" t="s">
        <v>725</v>
      </c>
      <c r="C39" s="28">
        <v>66.62</v>
      </c>
      <c r="D39" s="28" t="s">
        <v>237</v>
      </c>
      <c r="K39" s="20">
        <f t="shared" si="2"/>
        <v>0</v>
      </c>
      <c r="M39" s="20" t="s">
        <v>745</v>
      </c>
      <c r="N39" s="20" t="s">
        <v>729</v>
      </c>
    </row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65.29"/>
    <col customWidth="1" min="2" max="2" width="19.29"/>
    <col customWidth="1" min="3" max="3" width="10.14"/>
    <col customWidth="1" min="4" max="4" width="9.86"/>
    <col customWidth="1" min="5" max="5" width="13.86"/>
    <col customWidth="1" min="6" max="6" width="17.29"/>
    <col customWidth="1" min="7" max="7" width="23.29"/>
    <col customWidth="1" min="8" max="8" width="13.29"/>
    <col customWidth="1" min="9" max="9" width="30.86"/>
    <col customWidth="1" min="10" max="11" width="11.29"/>
    <col customWidth="1" min="12" max="14" width="13.29"/>
    <col customWidth="1" min="15" max="26" width="14.29"/>
  </cols>
  <sheetData>
    <row r="1" ht="12.75" customHeight="1">
      <c r="A1" s="68" t="s">
        <v>0</v>
      </c>
      <c r="B1" s="69" t="s">
        <v>1</v>
      </c>
      <c r="C1" s="67" t="s">
        <v>2</v>
      </c>
      <c r="D1" s="71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</row>
    <row r="2" ht="12.75" customHeight="1">
      <c r="A2" s="73" t="s">
        <v>349</v>
      </c>
      <c r="B2" s="10">
        <v>943.0</v>
      </c>
      <c r="C2" s="74">
        <v>1.0</v>
      </c>
      <c r="D2" s="75">
        <f t="shared" ref="D2:D6" si="1">C2*B2</f>
        <v>943</v>
      </c>
      <c r="E2" s="76">
        <v>45142.0</v>
      </c>
      <c r="F2" s="77" t="s">
        <v>345</v>
      </c>
      <c r="G2" s="74" t="s">
        <v>350</v>
      </c>
      <c r="H2" s="77" t="s">
        <v>345</v>
      </c>
      <c r="I2" s="74" t="s">
        <v>350</v>
      </c>
      <c r="J2" s="7" t="s">
        <v>45</v>
      </c>
    </row>
    <row r="3" ht="12.75" customHeight="1">
      <c r="A3" s="73" t="s">
        <v>351</v>
      </c>
      <c r="B3" s="10">
        <v>718.0</v>
      </c>
      <c r="C3" s="74">
        <v>1.0</v>
      </c>
      <c r="D3" s="75">
        <f t="shared" si="1"/>
        <v>718</v>
      </c>
      <c r="E3" s="76">
        <v>45142.0</v>
      </c>
      <c r="F3" s="77" t="s">
        <v>345</v>
      </c>
      <c r="G3" s="74" t="s">
        <v>352</v>
      </c>
      <c r="H3" s="77" t="s">
        <v>345</v>
      </c>
      <c r="I3" s="74" t="s">
        <v>352</v>
      </c>
      <c r="J3" s="7" t="s">
        <v>45</v>
      </c>
    </row>
    <row r="4" ht="12.75" customHeight="1">
      <c r="A4" s="73" t="s">
        <v>347</v>
      </c>
      <c r="B4" s="10">
        <v>1053.0</v>
      </c>
      <c r="C4" s="74">
        <v>1.0</v>
      </c>
      <c r="D4" s="75">
        <f t="shared" si="1"/>
        <v>1053</v>
      </c>
      <c r="E4" s="76">
        <v>45142.0</v>
      </c>
      <c r="F4" s="77" t="s">
        <v>345</v>
      </c>
      <c r="G4" s="74" t="s">
        <v>348</v>
      </c>
      <c r="H4" s="77" t="s">
        <v>345</v>
      </c>
      <c r="I4" s="74" t="s">
        <v>348</v>
      </c>
      <c r="J4" s="7" t="s">
        <v>45</v>
      </c>
    </row>
    <row r="5" ht="12.75" customHeight="1">
      <c r="A5" s="73" t="s">
        <v>344</v>
      </c>
      <c r="B5" s="10">
        <v>1215.0</v>
      </c>
      <c r="C5" s="74">
        <v>1.0</v>
      </c>
      <c r="D5" s="75">
        <f t="shared" si="1"/>
        <v>1215</v>
      </c>
      <c r="E5" s="76">
        <v>45142.0</v>
      </c>
      <c r="F5" s="77" t="s">
        <v>345</v>
      </c>
      <c r="G5" s="74" t="s">
        <v>346</v>
      </c>
      <c r="H5" s="77" t="s">
        <v>345</v>
      </c>
      <c r="I5" s="74" t="s">
        <v>346</v>
      </c>
      <c r="J5" s="7" t="s">
        <v>45</v>
      </c>
    </row>
    <row r="6" ht="12.75" customHeight="1">
      <c r="A6" s="15" t="s">
        <v>766</v>
      </c>
      <c r="B6" s="10">
        <v>22.0</v>
      </c>
      <c r="C6" s="16">
        <v>1.0</v>
      </c>
      <c r="D6" s="75">
        <f t="shared" si="1"/>
        <v>22</v>
      </c>
      <c r="E6" s="7"/>
      <c r="F6" s="7" t="s">
        <v>49</v>
      </c>
      <c r="G6" s="16" t="s">
        <v>767</v>
      </c>
      <c r="H6" s="16" t="s">
        <v>112</v>
      </c>
      <c r="I6" s="16" t="s">
        <v>768</v>
      </c>
      <c r="J6" s="7"/>
    </row>
    <row r="7" ht="12.75" customHeight="1">
      <c r="A7" s="15" t="s">
        <v>265</v>
      </c>
      <c r="B7" s="10">
        <v>234.99</v>
      </c>
      <c r="C7" s="16">
        <v>6.0</v>
      </c>
      <c r="D7" s="17">
        <f t="shared" ref="D7:D8" si="2">B7*C7</f>
        <v>1409.94</v>
      </c>
      <c r="E7" s="22">
        <v>45191.0</v>
      </c>
      <c r="F7" s="16" t="s">
        <v>49</v>
      </c>
      <c r="G7" s="16"/>
      <c r="H7" s="16" t="s">
        <v>266</v>
      </c>
      <c r="I7" s="16" t="s">
        <v>267</v>
      </c>
      <c r="J7" s="7"/>
    </row>
    <row r="8" ht="12.75" customHeight="1">
      <c r="A8" s="15" t="s">
        <v>439</v>
      </c>
      <c r="B8" s="10">
        <v>120.0</v>
      </c>
      <c r="C8" s="16">
        <v>1.0</v>
      </c>
      <c r="D8" s="17">
        <f t="shared" si="2"/>
        <v>120</v>
      </c>
      <c r="F8" s="16" t="s">
        <v>49</v>
      </c>
      <c r="H8" s="16" t="s">
        <v>440</v>
      </c>
      <c r="J8" s="7" t="s">
        <v>442</v>
      </c>
    </row>
    <row r="9" ht="12.75" customHeight="1">
      <c r="A9" s="15" t="s">
        <v>119</v>
      </c>
      <c r="B9" s="10">
        <v>177.89</v>
      </c>
      <c r="C9" s="16">
        <v>1.0</v>
      </c>
      <c r="D9" s="75">
        <f t="shared" ref="D9:D20" si="3">C9*B9</f>
        <v>177.89</v>
      </c>
      <c r="E9" s="7"/>
      <c r="F9" s="16" t="s">
        <v>49</v>
      </c>
      <c r="G9" s="16"/>
      <c r="H9" s="16" t="s">
        <v>120</v>
      </c>
      <c r="I9" s="16" t="s">
        <v>121</v>
      </c>
      <c r="J9" s="16"/>
    </row>
    <row r="10" ht="12.75" customHeight="1">
      <c r="A10" s="15" t="s">
        <v>427</v>
      </c>
      <c r="B10" s="10">
        <v>1152.24</v>
      </c>
      <c r="C10" s="16">
        <v>1.0</v>
      </c>
      <c r="D10" s="75">
        <f t="shared" si="3"/>
        <v>1152.24</v>
      </c>
      <c r="E10" s="22">
        <v>45302.0</v>
      </c>
      <c r="F10" s="16" t="s">
        <v>160</v>
      </c>
      <c r="G10" s="16">
        <v>216143.0</v>
      </c>
      <c r="H10" s="7" t="s">
        <v>428</v>
      </c>
      <c r="I10" s="7"/>
      <c r="J10" s="78"/>
    </row>
    <row r="11" ht="12.75" customHeight="1">
      <c r="A11" s="15" t="s">
        <v>455</v>
      </c>
      <c r="B11" s="10">
        <v>9706.93</v>
      </c>
      <c r="C11" s="16">
        <v>1.0</v>
      </c>
      <c r="D11" s="75">
        <f t="shared" si="3"/>
        <v>9706.93</v>
      </c>
      <c r="E11" s="22">
        <v>45302.0</v>
      </c>
      <c r="F11" s="16" t="s">
        <v>160</v>
      </c>
      <c r="G11" s="7" t="s">
        <v>456</v>
      </c>
      <c r="H11" s="16" t="s">
        <v>160</v>
      </c>
      <c r="J11" s="7" t="s">
        <v>457</v>
      </c>
    </row>
    <row r="12" ht="12.75" customHeight="1">
      <c r="A12" s="73" t="s">
        <v>534</v>
      </c>
      <c r="B12" s="10">
        <v>359.0</v>
      </c>
      <c r="C12" s="74">
        <v>1.0</v>
      </c>
      <c r="D12" s="75">
        <f t="shared" si="3"/>
        <v>359</v>
      </c>
      <c r="E12" s="76">
        <v>45142.0</v>
      </c>
      <c r="F12" s="77" t="s">
        <v>530</v>
      </c>
      <c r="G12" s="74" t="s">
        <v>531</v>
      </c>
      <c r="H12" s="74" t="s">
        <v>532</v>
      </c>
      <c r="I12" s="77" t="s">
        <v>533</v>
      </c>
      <c r="J12" s="7" t="s">
        <v>45</v>
      </c>
    </row>
    <row r="13" ht="12.75" customHeight="1">
      <c r="A13" s="73" t="s">
        <v>529</v>
      </c>
      <c r="B13" s="10">
        <v>359.0</v>
      </c>
      <c r="C13" s="74">
        <v>1.0</v>
      </c>
      <c r="D13" s="75">
        <f t="shared" si="3"/>
        <v>359</v>
      </c>
      <c r="E13" s="76">
        <v>45142.0</v>
      </c>
      <c r="F13" s="77" t="s">
        <v>530</v>
      </c>
      <c r="G13" s="74" t="s">
        <v>531</v>
      </c>
      <c r="H13" s="74" t="s">
        <v>532</v>
      </c>
      <c r="I13" s="77" t="s">
        <v>533</v>
      </c>
      <c r="J13" s="7" t="s">
        <v>45</v>
      </c>
    </row>
    <row r="14" ht="12.75" customHeight="1">
      <c r="A14" s="79" t="s">
        <v>217</v>
      </c>
      <c r="B14" s="10">
        <v>1484.51</v>
      </c>
      <c r="C14" s="80">
        <v>1.0</v>
      </c>
      <c r="D14" s="75">
        <f t="shared" si="3"/>
        <v>1484.51</v>
      </c>
      <c r="E14" s="76">
        <v>45142.0</v>
      </c>
      <c r="F14" s="74" t="s">
        <v>218</v>
      </c>
      <c r="G14" s="74" t="s">
        <v>219</v>
      </c>
      <c r="H14" s="74" t="s">
        <v>218</v>
      </c>
      <c r="I14" s="74" t="s">
        <v>220</v>
      </c>
      <c r="J14" s="7" t="s">
        <v>45</v>
      </c>
    </row>
    <row r="15" ht="12.75" customHeight="1">
      <c r="A15" s="79" t="s">
        <v>217</v>
      </c>
      <c r="B15" s="10">
        <v>1484.51</v>
      </c>
      <c r="C15" s="80">
        <v>1.0</v>
      </c>
      <c r="D15" s="75">
        <f t="shared" si="3"/>
        <v>1484.51</v>
      </c>
      <c r="E15" s="76">
        <v>45142.0</v>
      </c>
      <c r="F15" s="74" t="s">
        <v>218</v>
      </c>
      <c r="G15" s="74" t="s">
        <v>219</v>
      </c>
      <c r="H15" s="74" t="s">
        <v>218</v>
      </c>
      <c r="I15" s="74" t="s">
        <v>240</v>
      </c>
      <c r="J15" s="7" t="s">
        <v>45</v>
      </c>
    </row>
    <row r="16" ht="12.75" customHeight="1">
      <c r="A16" s="79" t="s">
        <v>221</v>
      </c>
      <c r="B16" s="10">
        <v>1484.51</v>
      </c>
      <c r="C16" s="80">
        <v>1.0</v>
      </c>
      <c r="D16" s="75">
        <f t="shared" si="3"/>
        <v>1484.51</v>
      </c>
      <c r="E16" s="76">
        <v>45142.0</v>
      </c>
      <c r="F16" s="74" t="s">
        <v>218</v>
      </c>
      <c r="G16" s="74" t="s">
        <v>219</v>
      </c>
      <c r="H16" s="74" t="s">
        <v>218</v>
      </c>
      <c r="I16" s="74" t="s">
        <v>222</v>
      </c>
      <c r="J16" s="7" t="s">
        <v>45</v>
      </c>
    </row>
    <row r="17" ht="12.75" customHeight="1">
      <c r="A17" s="15" t="s">
        <v>769</v>
      </c>
      <c r="B17" s="10">
        <v>3.36</v>
      </c>
      <c r="C17" s="16">
        <v>10.0</v>
      </c>
      <c r="D17" s="75">
        <f t="shared" si="3"/>
        <v>33.6</v>
      </c>
      <c r="E17" s="7"/>
      <c r="F17" s="16" t="s">
        <v>200</v>
      </c>
      <c r="G17" s="16" t="s">
        <v>770</v>
      </c>
      <c r="H17" s="16"/>
      <c r="I17" s="16"/>
      <c r="J17" s="16"/>
    </row>
    <row r="18" ht="12.75" customHeight="1">
      <c r="A18" s="15" t="s">
        <v>771</v>
      </c>
      <c r="B18" s="28">
        <v>177.8</v>
      </c>
      <c r="C18" s="74">
        <v>2.0</v>
      </c>
      <c r="D18" s="75">
        <f t="shared" si="3"/>
        <v>355.6</v>
      </c>
      <c r="E18" s="76"/>
      <c r="F18" s="16" t="s">
        <v>200</v>
      </c>
      <c r="I18" s="74"/>
      <c r="J18" s="7" t="s">
        <v>772</v>
      </c>
    </row>
    <row r="19" ht="12.75" customHeight="1">
      <c r="A19" s="15" t="s">
        <v>771</v>
      </c>
      <c r="B19" s="28">
        <v>177.8</v>
      </c>
      <c r="C19" s="74">
        <v>2.0</v>
      </c>
      <c r="D19" s="75">
        <f t="shared" si="3"/>
        <v>355.6</v>
      </c>
      <c r="E19" s="76"/>
      <c r="F19" s="16" t="s">
        <v>200</v>
      </c>
      <c r="I19" s="74"/>
      <c r="J19" s="7" t="s">
        <v>772</v>
      </c>
    </row>
    <row r="20" ht="12.75" customHeight="1">
      <c r="A20" s="15" t="s">
        <v>769</v>
      </c>
      <c r="B20" s="28">
        <v>4.08</v>
      </c>
      <c r="C20" s="74">
        <v>6.0</v>
      </c>
      <c r="D20" s="75">
        <f t="shared" si="3"/>
        <v>24.48</v>
      </c>
      <c r="E20" s="76"/>
      <c r="F20" s="16" t="s">
        <v>200</v>
      </c>
      <c r="I20" s="74"/>
      <c r="J20" s="7"/>
    </row>
    <row r="21" ht="12.75" customHeight="1">
      <c r="A21" s="15" t="s">
        <v>773</v>
      </c>
      <c r="B21" s="28">
        <v>411.12</v>
      </c>
      <c r="C21" s="16">
        <v>2.0</v>
      </c>
      <c r="D21" s="17">
        <f t="shared" ref="D21:D24" si="4">B21*C21</f>
        <v>822.24</v>
      </c>
      <c r="F21" s="16" t="s">
        <v>774</v>
      </c>
      <c r="J21" s="16" t="s">
        <v>775</v>
      </c>
    </row>
    <row r="22" ht="12.75" customHeight="1">
      <c r="A22" s="15" t="s">
        <v>776</v>
      </c>
      <c r="B22" s="10">
        <v>101.84</v>
      </c>
      <c r="C22" s="16">
        <v>2.0</v>
      </c>
      <c r="D22" s="17">
        <f t="shared" si="4"/>
        <v>203.68</v>
      </c>
      <c r="E22" s="22"/>
      <c r="F22" s="16" t="s">
        <v>774</v>
      </c>
      <c r="G22" s="16"/>
      <c r="H22" s="16"/>
      <c r="I22" s="16"/>
      <c r="J22" s="7" t="s">
        <v>777</v>
      </c>
    </row>
    <row r="23" ht="12.75" customHeight="1">
      <c r="A23" s="15" t="s">
        <v>778</v>
      </c>
      <c r="B23" s="10">
        <v>96.08</v>
      </c>
      <c r="C23" s="16">
        <v>2.0</v>
      </c>
      <c r="D23" s="17">
        <f t="shared" si="4"/>
        <v>192.16</v>
      </c>
      <c r="E23" s="22"/>
      <c r="F23" s="16" t="s">
        <v>774</v>
      </c>
      <c r="G23" s="16"/>
      <c r="H23" s="16"/>
      <c r="I23" s="16"/>
      <c r="J23" s="7" t="s">
        <v>777</v>
      </c>
    </row>
    <row r="24" ht="12.75" customHeight="1">
      <c r="A24" s="15" t="s">
        <v>779</v>
      </c>
      <c r="B24" s="10">
        <v>103.3</v>
      </c>
      <c r="C24" s="16">
        <v>4.0</v>
      </c>
      <c r="D24" s="17">
        <f t="shared" si="4"/>
        <v>413.2</v>
      </c>
      <c r="E24" s="22"/>
      <c r="F24" s="16" t="s">
        <v>774</v>
      </c>
      <c r="G24" s="16"/>
      <c r="H24" s="16"/>
      <c r="I24" s="16"/>
      <c r="J24" s="7" t="s">
        <v>780</v>
      </c>
    </row>
    <row r="25" ht="12.75" customHeight="1">
      <c r="A25" s="15" t="s">
        <v>325</v>
      </c>
      <c r="B25" s="10">
        <v>99.0</v>
      </c>
      <c r="C25" s="16">
        <v>7.0</v>
      </c>
      <c r="D25" s="75">
        <f t="shared" ref="D25:D29" si="5">C25*B25</f>
        <v>693</v>
      </c>
      <c r="E25" s="22">
        <v>45224.0</v>
      </c>
      <c r="F25" s="7" t="s">
        <v>326</v>
      </c>
      <c r="G25" s="16"/>
      <c r="H25" s="16" t="s">
        <v>327</v>
      </c>
      <c r="I25" s="16" t="s">
        <v>328</v>
      </c>
      <c r="J25" s="16"/>
    </row>
    <row r="26" ht="12.75" customHeight="1">
      <c r="A26" s="15" t="s">
        <v>482</v>
      </c>
      <c r="B26" s="10">
        <v>304.0</v>
      </c>
      <c r="C26" s="16">
        <v>4.0</v>
      </c>
      <c r="D26" s="75">
        <f t="shared" si="5"/>
        <v>1216</v>
      </c>
      <c r="E26" s="22">
        <v>45224.0</v>
      </c>
      <c r="F26" s="16" t="s">
        <v>326</v>
      </c>
      <c r="H26" s="16" t="s">
        <v>330</v>
      </c>
      <c r="I26" s="16" t="s">
        <v>483</v>
      </c>
      <c r="J26" s="7"/>
    </row>
    <row r="27" ht="12.75" customHeight="1">
      <c r="A27" s="15" t="s">
        <v>329</v>
      </c>
      <c r="B27" s="10">
        <v>75.0</v>
      </c>
      <c r="C27" s="16">
        <v>2.0</v>
      </c>
      <c r="D27" s="75">
        <f t="shared" si="5"/>
        <v>150</v>
      </c>
      <c r="E27" s="22">
        <v>45224.0</v>
      </c>
      <c r="F27" s="7" t="s">
        <v>326</v>
      </c>
      <c r="G27" s="7"/>
      <c r="H27" s="16" t="s">
        <v>330</v>
      </c>
      <c r="I27" s="16" t="s">
        <v>331</v>
      </c>
      <c r="J27" s="49"/>
    </row>
    <row r="28" ht="12.75" customHeight="1">
      <c r="A28" s="15" t="s">
        <v>502</v>
      </c>
      <c r="B28" s="10">
        <v>289.0</v>
      </c>
      <c r="C28" s="16">
        <v>2.0</v>
      </c>
      <c r="D28" s="75">
        <f t="shared" si="5"/>
        <v>578</v>
      </c>
      <c r="E28" s="22">
        <v>45224.0</v>
      </c>
      <c r="F28" s="16" t="s">
        <v>326</v>
      </c>
      <c r="H28" s="16" t="s">
        <v>330</v>
      </c>
      <c r="I28" s="16" t="s">
        <v>503</v>
      </c>
      <c r="J28" s="7"/>
    </row>
    <row r="29" ht="12.75" customHeight="1">
      <c r="A29" s="15" t="s">
        <v>498</v>
      </c>
      <c r="B29" s="10">
        <v>1281.0</v>
      </c>
      <c r="C29" s="16">
        <v>2.0</v>
      </c>
      <c r="D29" s="75">
        <f t="shared" si="5"/>
        <v>2562</v>
      </c>
      <c r="E29" s="22">
        <v>45224.0</v>
      </c>
      <c r="F29" s="16" t="s">
        <v>326</v>
      </c>
      <c r="H29" s="16" t="s">
        <v>499</v>
      </c>
      <c r="I29" s="16" t="s">
        <v>500</v>
      </c>
      <c r="J29" s="16" t="s">
        <v>501</v>
      </c>
    </row>
    <row r="30" ht="12.75" customHeight="1">
      <c r="A30" s="15" t="s">
        <v>434</v>
      </c>
      <c r="B30" s="10">
        <v>2.35</v>
      </c>
      <c r="C30" s="16">
        <v>8.0</v>
      </c>
      <c r="D30" s="17">
        <f t="shared" ref="D30:D34" si="6">B30*C30</f>
        <v>18.8</v>
      </c>
      <c r="F30" s="16" t="s">
        <v>150</v>
      </c>
      <c r="G30" s="16">
        <v>23916.0</v>
      </c>
      <c r="J30" s="7" t="s">
        <v>435</v>
      </c>
    </row>
    <row r="31" ht="12.75" customHeight="1">
      <c r="A31" s="15" t="s">
        <v>460</v>
      </c>
      <c r="B31" s="10">
        <v>4.2</v>
      </c>
      <c r="C31" s="16">
        <v>8.0</v>
      </c>
      <c r="D31" s="17">
        <f t="shared" si="6"/>
        <v>33.6</v>
      </c>
      <c r="F31" s="16" t="s">
        <v>150</v>
      </c>
      <c r="G31" s="16">
        <v>23918.0</v>
      </c>
      <c r="J31" s="7"/>
    </row>
    <row r="32" ht="12.75" customHeight="1">
      <c r="A32" s="15" t="s">
        <v>436</v>
      </c>
      <c r="B32" s="10">
        <v>0.32</v>
      </c>
      <c r="C32" s="16">
        <v>8.0</v>
      </c>
      <c r="D32" s="17">
        <f t="shared" si="6"/>
        <v>2.56</v>
      </c>
      <c r="F32" s="16" t="s">
        <v>150</v>
      </c>
      <c r="G32" s="16">
        <v>33819.0</v>
      </c>
      <c r="J32" s="7"/>
    </row>
    <row r="33" ht="12.75" customHeight="1">
      <c r="A33" s="15" t="s">
        <v>436</v>
      </c>
      <c r="B33" s="10">
        <v>0.32</v>
      </c>
      <c r="C33" s="16">
        <v>2.0</v>
      </c>
      <c r="D33" s="17">
        <f t="shared" si="6"/>
        <v>0.64</v>
      </c>
      <c r="F33" s="16" t="s">
        <v>150</v>
      </c>
      <c r="G33" s="16">
        <v>33819.0</v>
      </c>
      <c r="J33" s="7"/>
    </row>
    <row r="34" ht="12.75" customHeight="1">
      <c r="A34" s="16" t="s">
        <v>781</v>
      </c>
      <c r="B34" s="28">
        <v>3.61</v>
      </c>
      <c r="C34" s="7">
        <v>4.0</v>
      </c>
      <c r="D34" s="17">
        <f t="shared" si="6"/>
        <v>14.44</v>
      </c>
      <c r="F34" s="16" t="s">
        <v>150</v>
      </c>
      <c r="J34" s="7"/>
    </row>
    <row r="35" ht="12.75" customHeight="1">
      <c r="A35" s="73" t="s">
        <v>241</v>
      </c>
      <c r="B35" s="10">
        <v>582.5</v>
      </c>
      <c r="C35" s="74">
        <v>1.0</v>
      </c>
      <c r="D35" s="75">
        <f t="shared" ref="D35:D40" si="7">C35*B35</f>
        <v>582.5</v>
      </c>
      <c r="E35" s="76">
        <v>45142.0</v>
      </c>
      <c r="F35" s="77" t="s">
        <v>224</v>
      </c>
      <c r="G35" s="74" t="s">
        <v>242</v>
      </c>
      <c r="H35" s="74" t="s">
        <v>243</v>
      </c>
      <c r="I35" s="74" t="s">
        <v>244</v>
      </c>
      <c r="J35" s="7" t="s">
        <v>45</v>
      </c>
    </row>
    <row r="36" ht="12.75" customHeight="1">
      <c r="A36" s="73" t="s">
        <v>223</v>
      </c>
      <c r="B36" s="10">
        <v>715.0</v>
      </c>
      <c r="C36" s="74">
        <v>1.0</v>
      </c>
      <c r="D36" s="75">
        <f t="shared" si="7"/>
        <v>715</v>
      </c>
      <c r="E36" s="76">
        <v>45142.0</v>
      </c>
      <c r="F36" s="77" t="s">
        <v>224</v>
      </c>
      <c r="G36" s="74" t="s">
        <v>225</v>
      </c>
      <c r="H36" s="74" t="s">
        <v>226</v>
      </c>
      <c r="I36" s="74" t="s">
        <v>227</v>
      </c>
      <c r="J36" s="7" t="s">
        <v>45</v>
      </c>
    </row>
    <row r="37" ht="12.75" customHeight="1">
      <c r="A37" s="73" t="s">
        <v>245</v>
      </c>
      <c r="B37" s="10">
        <v>2187.5</v>
      </c>
      <c r="C37" s="74">
        <v>1.0</v>
      </c>
      <c r="D37" s="75">
        <f t="shared" si="7"/>
        <v>2187.5</v>
      </c>
      <c r="E37" s="76">
        <v>45142.0</v>
      </c>
      <c r="F37" s="77" t="s">
        <v>224</v>
      </c>
      <c r="G37" s="74" t="s">
        <v>246</v>
      </c>
      <c r="H37" s="74" t="s">
        <v>230</v>
      </c>
      <c r="I37" s="74" t="s">
        <v>247</v>
      </c>
      <c r="J37" s="7" t="s">
        <v>45</v>
      </c>
    </row>
    <row r="38" ht="12.75" customHeight="1">
      <c r="A38" s="73" t="s">
        <v>228</v>
      </c>
      <c r="B38" s="10">
        <v>523.0</v>
      </c>
      <c r="C38" s="74">
        <v>1.0</v>
      </c>
      <c r="D38" s="75">
        <f t="shared" si="7"/>
        <v>523</v>
      </c>
      <c r="E38" s="76">
        <v>45142.0</v>
      </c>
      <c r="F38" s="77" t="s">
        <v>224</v>
      </c>
      <c r="G38" s="74" t="s">
        <v>229</v>
      </c>
      <c r="H38" s="74" t="s">
        <v>230</v>
      </c>
      <c r="I38" s="74" t="s">
        <v>229</v>
      </c>
      <c r="J38" s="7" t="s">
        <v>45</v>
      </c>
    </row>
    <row r="39" ht="12.75" customHeight="1">
      <c r="A39" s="73" t="s">
        <v>304</v>
      </c>
      <c r="B39" s="10">
        <v>455.5</v>
      </c>
      <c r="C39" s="74">
        <v>1.0</v>
      </c>
      <c r="D39" s="75">
        <f t="shared" si="7"/>
        <v>455.5</v>
      </c>
      <c r="E39" s="76">
        <v>45142.0</v>
      </c>
      <c r="F39" s="77" t="s">
        <v>224</v>
      </c>
      <c r="G39" s="74" t="s">
        <v>305</v>
      </c>
      <c r="H39" s="74" t="s">
        <v>306</v>
      </c>
      <c r="I39" s="77" t="s">
        <v>305</v>
      </c>
      <c r="J39" s="16" t="s">
        <v>307</v>
      </c>
    </row>
    <row r="40" ht="12.75" customHeight="1">
      <c r="A40" s="73" t="s">
        <v>538</v>
      </c>
      <c r="B40" s="10">
        <v>1627.5</v>
      </c>
      <c r="C40" s="74">
        <v>1.0</v>
      </c>
      <c r="D40" s="75">
        <f t="shared" si="7"/>
        <v>1627.5</v>
      </c>
      <c r="E40" s="76">
        <v>45142.0</v>
      </c>
      <c r="F40" s="77" t="s">
        <v>539</v>
      </c>
      <c r="G40" s="74" t="s">
        <v>540</v>
      </c>
      <c r="H40" s="77" t="s">
        <v>539</v>
      </c>
      <c r="I40" s="74" t="s">
        <v>540</v>
      </c>
      <c r="J40" s="7" t="s">
        <v>45</v>
      </c>
    </row>
    <row r="41" ht="12.75" customHeight="1">
      <c r="A41" s="15" t="s">
        <v>782</v>
      </c>
      <c r="B41" s="10">
        <v>14.82</v>
      </c>
      <c r="C41" s="16">
        <v>2.0</v>
      </c>
      <c r="D41" s="17">
        <f t="shared" ref="D41:D51" si="8">B41*C41</f>
        <v>29.64</v>
      </c>
      <c r="E41" s="7"/>
      <c r="F41" s="77" t="s">
        <v>26</v>
      </c>
      <c r="G41" s="16" t="s">
        <v>783</v>
      </c>
      <c r="H41" s="7"/>
      <c r="I41" s="7"/>
      <c r="J41" s="7"/>
    </row>
    <row r="42" ht="12.75" customHeight="1">
      <c r="A42" s="15" t="s">
        <v>782</v>
      </c>
      <c r="B42" s="10">
        <v>14.82</v>
      </c>
      <c r="C42" s="16"/>
      <c r="D42" s="17">
        <f t="shared" si="8"/>
        <v>0</v>
      </c>
      <c r="E42" s="7"/>
      <c r="F42" s="77" t="s">
        <v>26</v>
      </c>
      <c r="G42" s="16" t="s">
        <v>783</v>
      </c>
      <c r="H42" s="7"/>
      <c r="I42" s="7"/>
      <c r="J42" s="7"/>
    </row>
    <row r="43" ht="12.75" customHeight="1">
      <c r="A43" s="15" t="s">
        <v>784</v>
      </c>
      <c r="B43" s="10">
        <v>4.69</v>
      </c>
      <c r="C43" s="16">
        <v>3.0</v>
      </c>
      <c r="D43" s="17">
        <f t="shared" si="8"/>
        <v>14.07</v>
      </c>
      <c r="E43" s="7"/>
      <c r="F43" s="77" t="s">
        <v>26</v>
      </c>
      <c r="G43" s="16" t="s">
        <v>785</v>
      </c>
      <c r="H43" s="7"/>
      <c r="I43" s="7"/>
      <c r="J43" s="7"/>
    </row>
    <row r="44" ht="12.75" customHeight="1">
      <c r="A44" s="15" t="s">
        <v>784</v>
      </c>
      <c r="B44" s="10">
        <v>4.69</v>
      </c>
      <c r="C44" s="16"/>
      <c r="D44" s="17">
        <f t="shared" si="8"/>
        <v>0</v>
      </c>
      <c r="E44" s="7"/>
      <c r="F44" s="77" t="s">
        <v>26</v>
      </c>
      <c r="G44" s="16" t="s">
        <v>785</v>
      </c>
      <c r="H44" s="7"/>
      <c r="I44" s="7"/>
      <c r="J44" s="7"/>
    </row>
    <row r="45" ht="12.75" customHeight="1">
      <c r="A45" s="15" t="s">
        <v>406</v>
      </c>
      <c r="B45" s="10">
        <v>16.11</v>
      </c>
      <c r="C45" s="16">
        <v>1.0</v>
      </c>
      <c r="D45" s="17">
        <f t="shared" si="8"/>
        <v>16.11</v>
      </c>
      <c r="E45" s="7"/>
      <c r="F45" s="77" t="s">
        <v>26</v>
      </c>
      <c r="G45" s="16" t="s">
        <v>407</v>
      </c>
      <c r="H45" s="7"/>
      <c r="I45" s="7"/>
      <c r="J45" s="7" t="s">
        <v>408</v>
      </c>
    </row>
    <row r="46" ht="12.75" customHeight="1">
      <c r="A46" s="15" t="s">
        <v>406</v>
      </c>
      <c r="B46" s="10">
        <v>16.11</v>
      </c>
      <c r="C46" s="16">
        <v>1.0</v>
      </c>
      <c r="D46" s="17">
        <f t="shared" si="8"/>
        <v>16.11</v>
      </c>
      <c r="E46" s="7"/>
      <c r="F46" s="77" t="s">
        <v>26</v>
      </c>
      <c r="G46" s="16" t="s">
        <v>407</v>
      </c>
      <c r="H46" s="7"/>
      <c r="I46" s="7"/>
      <c r="J46" s="7" t="s">
        <v>408</v>
      </c>
    </row>
    <row r="47" ht="12.75" customHeight="1">
      <c r="A47" s="15" t="s">
        <v>420</v>
      </c>
      <c r="B47" s="10">
        <v>43.06</v>
      </c>
      <c r="C47" s="16">
        <v>1.0</v>
      </c>
      <c r="D47" s="17">
        <f t="shared" si="8"/>
        <v>43.06</v>
      </c>
      <c r="E47" s="7"/>
      <c r="F47" s="77" t="s">
        <v>26</v>
      </c>
      <c r="G47" s="16" t="s">
        <v>421</v>
      </c>
      <c r="H47" s="7"/>
      <c r="I47" s="7"/>
      <c r="J47" s="7"/>
    </row>
    <row r="48" ht="12.75" customHeight="1">
      <c r="A48" s="15" t="s">
        <v>420</v>
      </c>
      <c r="B48" s="10">
        <v>43.06</v>
      </c>
      <c r="C48" s="16"/>
      <c r="D48" s="17">
        <f t="shared" si="8"/>
        <v>0</v>
      </c>
      <c r="E48" s="7"/>
      <c r="F48" s="77" t="s">
        <v>26</v>
      </c>
      <c r="G48" s="16" t="s">
        <v>421</v>
      </c>
      <c r="H48" s="7"/>
      <c r="I48" s="7"/>
      <c r="J48" s="7"/>
    </row>
    <row r="49" ht="12.75" customHeight="1">
      <c r="A49" s="15" t="s">
        <v>268</v>
      </c>
      <c r="B49" s="10">
        <v>25.61</v>
      </c>
      <c r="C49" s="16">
        <v>1.0</v>
      </c>
      <c r="D49" s="17">
        <f t="shared" si="8"/>
        <v>25.61</v>
      </c>
      <c r="E49" s="7"/>
      <c r="F49" s="16" t="s">
        <v>26</v>
      </c>
      <c r="G49" s="16" t="s">
        <v>269</v>
      </c>
      <c r="H49" s="7"/>
      <c r="I49" s="7"/>
      <c r="J49" s="7"/>
    </row>
    <row r="50" ht="12.75" customHeight="1">
      <c r="A50" s="15" t="s">
        <v>786</v>
      </c>
      <c r="B50" s="10">
        <v>7.092</v>
      </c>
      <c r="C50" s="16">
        <v>35.0</v>
      </c>
      <c r="D50" s="17">
        <f t="shared" si="8"/>
        <v>248.22</v>
      </c>
      <c r="E50" s="7"/>
      <c r="F50" s="77" t="s">
        <v>26</v>
      </c>
      <c r="G50" s="16" t="s">
        <v>413</v>
      </c>
      <c r="H50" s="16"/>
      <c r="J50" s="7" t="s">
        <v>392</v>
      </c>
    </row>
    <row r="51" ht="12.75" customHeight="1">
      <c r="A51" s="15" t="s">
        <v>786</v>
      </c>
      <c r="B51" s="10">
        <v>7.092</v>
      </c>
      <c r="C51" s="16"/>
      <c r="D51" s="17">
        <f t="shared" si="8"/>
        <v>0</v>
      </c>
      <c r="E51" s="7"/>
      <c r="F51" s="77" t="s">
        <v>26</v>
      </c>
      <c r="G51" s="16" t="s">
        <v>413</v>
      </c>
      <c r="H51" s="16"/>
      <c r="J51" s="7" t="s">
        <v>392</v>
      </c>
    </row>
    <row r="52" ht="12.75" customHeight="1">
      <c r="A52" s="15" t="s">
        <v>787</v>
      </c>
      <c r="B52" s="10">
        <v>16.7</v>
      </c>
      <c r="C52" s="16">
        <v>1.0</v>
      </c>
      <c r="D52" s="75">
        <f t="shared" ref="D52:D54" si="9">C52*B52</f>
        <v>16.7</v>
      </c>
      <c r="E52" s="7"/>
      <c r="F52" s="16" t="s">
        <v>26</v>
      </c>
      <c r="G52" s="7"/>
      <c r="H52" s="16" t="s">
        <v>79</v>
      </c>
      <c r="I52" s="7" t="s">
        <v>788</v>
      </c>
      <c r="J52" s="7"/>
    </row>
    <row r="53" ht="12.75" customHeight="1">
      <c r="A53" s="73" t="s">
        <v>300</v>
      </c>
      <c r="B53" s="10">
        <v>2031.5</v>
      </c>
      <c r="C53" s="74">
        <v>1.0</v>
      </c>
      <c r="D53" s="75">
        <f t="shared" si="9"/>
        <v>2031.5</v>
      </c>
      <c r="E53" s="76">
        <v>45142.0</v>
      </c>
      <c r="F53" s="77" t="s">
        <v>301</v>
      </c>
      <c r="G53" s="74" t="s">
        <v>302</v>
      </c>
      <c r="H53" s="74" t="s">
        <v>303</v>
      </c>
      <c r="I53" s="74" t="s">
        <v>302</v>
      </c>
      <c r="J53" s="7" t="s">
        <v>45</v>
      </c>
    </row>
    <row r="54" ht="12.75" customHeight="1">
      <c r="A54" s="73" t="s">
        <v>71</v>
      </c>
      <c r="B54" s="10">
        <v>586.5</v>
      </c>
      <c r="C54" s="74">
        <v>1.0</v>
      </c>
      <c r="D54" s="75">
        <f t="shared" si="9"/>
        <v>586.5</v>
      </c>
      <c r="E54" s="76">
        <v>45142.0</v>
      </c>
      <c r="F54" s="77" t="s">
        <v>72</v>
      </c>
      <c r="G54" s="74"/>
      <c r="H54" s="74" t="s">
        <v>73</v>
      </c>
      <c r="I54" s="77" t="s">
        <v>74</v>
      </c>
      <c r="J54" s="7" t="s">
        <v>45</v>
      </c>
    </row>
    <row r="55" ht="12.75" customHeight="1">
      <c r="A55" s="15" t="s">
        <v>789</v>
      </c>
      <c r="B55" s="10">
        <v>11.89</v>
      </c>
      <c r="C55" s="16">
        <v>2.0</v>
      </c>
      <c r="D55" s="17">
        <f t="shared" ref="D55:D64" si="10">B55*C55</f>
        <v>23.78</v>
      </c>
      <c r="E55" s="22"/>
      <c r="F55" s="16" t="s">
        <v>161</v>
      </c>
      <c r="G55" s="16" t="s">
        <v>790</v>
      </c>
      <c r="H55" s="16"/>
      <c r="I55" s="16"/>
      <c r="J55" s="7"/>
    </row>
    <row r="56" ht="12.75" customHeight="1">
      <c r="A56" s="15" t="s">
        <v>791</v>
      </c>
      <c r="B56" s="10">
        <v>7.6</v>
      </c>
      <c r="C56" s="16">
        <v>4.0</v>
      </c>
      <c r="D56" s="17">
        <f t="shared" si="10"/>
        <v>30.4</v>
      </c>
      <c r="E56" s="22"/>
      <c r="F56" s="16" t="s">
        <v>161</v>
      </c>
      <c r="G56" s="16" t="s">
        <v>792</v>
      </c>
      <c r="H56" s="16"/>
      <c r="I56" s="16"/>
      <c r="J56" s="7"/>
    </row>
    <row r="57" ht="12.75" customHeight="1">
      <c r="A57" s="15" t="s">
        <v>793</v>
      </c>
      <c r="B57" s="10">
        <v>7.79</v>
      </c>
      <c r="C57" s="16">
        <v>4.0</v>
      </c>
      <c r="D57" s="17">
        <f t="shared" si="10"/>
        <v>31.16</v>
      </c>
      <c r="E57" s="22"/>
      <c r="F57" s="16" t="s">
        <v>161</v>
      </c>
      <c r="G57" s="16" t="s">
        <v>794</v>
      </c>
      <c r="H57" s="16"/>
      <c r="I57" s="16"/>
      <c r="J57" s="7"/>
    </row>
    <row r="58" ht="12.75" customHeight="1">
      <c r="A58" s="15" t="s">
        <v>795</v>
      </c>
      <c r="B58" s="10">
        <v>41.18</v>
      </c>
      <c r="C58" s="16">
        <v>7.0</v>
      </c>
      <c r="D58" s="17">
        <f t="shared" si="10"/>
        <v>288.26</v>
      </c>
      <c r="E58" s="7"/>
      <c r="F58" s="16" t="s">
        <v>237</v>
      </c>
      <c r="G58" s="16" t="s">
        <v>796</v>
      </c>
      <c r="H58" s="16"/>
      <c r="J58" s="7"/>
    </row>
    <row r="59" ht="12.75" customHeight="1">
      <c r="A59" s="15" t="s">
        <v>797</v>
      </c>
      <c r="B59" s="10">
        <v>20.91</v>
      </c>
      <c r="C59" s="16">
        <v>2.0</v>
      </c>
      <c r="D59" s="17">
        <f t="shared" si="10"/>
        <v>41.82</v>
      </c>
      <c r="E59" s="22"/>
      <c r="F59" s="16" t="s">
        <v>161</v>
      </c>
      <c r="G59" s="16" t="s">
        <v>798</v>
      </c>
      <c r="H59" s="16"/>
      <c r="I59" s="16"/>
      <c r="J59" s="7"/>
    </row>
    <row r="60" ht="12.75" customHeight="1">
      <c r="A60" s="15" t="s">
        <v>799</v>
      </c>
      <c r="B60" s="10">
        <v>31.12</v>
      </c>
      <c r="C60" s="16">
        <v>3.0</v>
      </c>
      <c r="D60" s="17">
        <f t="shared" si="10"/>
        <v>93.36</v>
      </c>
      <c r="E60" s="7"/>
      <c r="F60" s="16" t="s">
        <v>237</v>
      </c>
      <c r="G60" s="16" t="s">
        <v>375</v>
      </c>
      <c r="H60" s="16"/>
      <c r="I60" s="16" t="s">
        <v>375</v>
      </c>
      <c r="J60" s="7"/>
    </row>
    <row r="61" ht="12.75" customHeight="1">
      <c r="A61" s="15" t="s">
        <v>800</v>
      </c>
      <c r="B61" s="28">
        <v>103.48</v>
      </c>
      <c r="C61" s="16">
        <v>2.0</v>
      </c>
      <c r="D61" s="17">
        <f t="shared" si="10"/>
        <v>206.96</v>
      </c>
      <c r="F61" s="16" t="s">
        <v>237</v>
      </c>
      <c r="G61" s="16" t="s">
        <v>801</v>
      </c>
      <c r="J61" s="49" t="s">
        <v>802</v>
      </c>
    </row>
    <row r="62" ht="12.75" customHeight="1">
      <c r="A62" s="15" t="s">
        <v>803</v>
      </c>
      <c r="B62" s="10">
        <v>26.63</v>
      </c>
      <c r="C62" s="16">
        <v>4.0</v>
      </c>
      <c r="D62" s="17">
        <f t="shared" si="10"/>
        <v>106.52</v>
      </c>
      <c r="E62" s="22"/>
      <c r="F62" s="16" t="s">
        <v>161</v>
      </c>
      <c r="G62" s="16" t="s">
        <v>804</v>
      </c>
      <c r="H62" s="16"/>
      <c r="I62" s="16"/>
      <c r="J62" s="7"/>
    </row>
    <row r="63" ht="12.75" customHeight="1">
      <c r="A63" s="15" t="s">
        <v>805</v>
      </c>
      <c r="B63" s="10">
        <v>33.04</v>
      </c>
      <c r="C63" s="16">
        <v>2.0</v>
      </c>
      <c r="D63" s="17">
        <f t="shared" si="10"/>
        <v>66.08</v>
      </c>
      <c r="E63" s="22"/>
      <c r="F63" s="16" t="s">
        <v>161</v>
      </c>
      <c r="G63" s="16" t="s">
        <v>806</v>
      </c>
      <c r="H63" s="16"/>
      <c r="I63" s="16"/>
      <c r="J63" s="7"/>
    </row>
    <row r="64" ht="12.75" customHeight="1">
      <c r="A64" s="15" t="s">
        <v>807</v>
      </c>
      <c r="B64" s="10">
        <v>39.92</v>
      </c>
      <c r="C64" s="16">
        <v>2.0</v>
      </c>
      <c r="D64" s="17">
        <f t="shared" si="10"/>
        <v>79.84</v>
      </c>
      <c r="E64" s="22"/>
      <c r="F64" s="16" t="s">
        <v>161</v>
      </c>
      <c r="G64" s="16" t="s">
        <v>808</v>
      </c>
      <c r="H64" s="16"/>
      <c r="I64" s="16"/>
      <c r="J64" s="7"/>
    </row>
    <row r="65" ht="12.75" customHeight="1">
      <c r="A65" s="16" t="s">
        <v>809</v>
      </c>
      <c r="B65" s="28">
        <v>70.59</v>
      </c>
      <c r="C65" s="74">
        <v>1.0</v>
      </c>
      <c r="D65" s="75">
        <f t="shared" ref="D65:D67" si="11">C65*B65</f>
        <v>70.59</v>
      </c>
      <c r="E65" s="76"/>
      <c r="F65" s="16" t="s">
        <v>161</v>
      </c>
      <c r="G65" s="16" t="s">
        <v>810</v>
      </c>
      <c r="H65" s="74"/>
      <c r="I65" s="74"/>
      <c r="J65" s="7"/>
    </row>
    <row r="66" ht="12.75" customHeight="1">
      <c r="A66" s="16" t="s">
        <v>809</v>
      </c>
      <c r="B66" s="28">
        <v>70.59</v>
      </c>
      <c r="C66" s="74">
        <v>0.0</v>
      </c>
      <c r="D66" s="75">
        <f t="shared" si="11"/>
        <v>0</v>
      </c>
      <c r="E66" s="76"/>
      <c r="F66" s="16" t="s">
        <v>161</v>
      </c>
      <c r="G66" s="16" t="s">
        <v>810</v>
      </c>
      <c r="H66" s="74"/>
      <c r="I66" s="74"/>
      <c r="J66" s="7"/>
    </row>
    <row r="67" ht="12.75" customHeight="1">
      <c r="A67" s="16" t="s">
        <v>811</v>
      </c>
      <c r="B67" s="28">
        <v>79.81</v>
      </c>
      <c r="C67" s="74">
        <v>1.0</v>
      </c>
      <c r="D67" s="75">
        <f t="shared" si="11"/>
        <v>79.81</v>
      </c>
      <c r="E67" s="76"/>
      <c r="F67" s="16" t="s">
        <v>161</v>
      </c>
      <c r="G67" s="16" t="s">
        <v>812</v>
      </c>
      <c r="H67" s="74"/>
      <c r="I67" s="74"/>
      <c r="J67" s="7"/>
    </row>
    <row r="68" ht="12.75" customHeight="1">
      <c r="A68" s="15" t="s">
        <v>262</v>
      </c>
      <c r="B68" s="10">
        <v>525.0</v>
      </c>
      <c r="C68" s="16">
        <v>6.0</v>
      </c>
      <c r="D68" s="17">
        <f>B68*C68</f>
        <v>3150</v>
      </c>
      <c r="E68" s="22">
        <v>45203.0</v>
      </c>
      <c r="F68" s="16" t="s">
        <v>263</v>
      </c>
      <c r="G68" s="16" t="s">
        <v>264</v>
      </c>
      <c r="H68" s="16" t="s">
        <v>263</v>
      </c>
      <c r="I68" s="16" t="s">
        <v>264</v>
      </c>
      <c r="J68" s="7"/>
    </row>
    <row r="69" ht="12.75" customHeight="1">
      <c r="A69" s="73" t="s">
        <v>524</v>
      </c>
      <c r="B69" s="10">
        <v>172.5</v>
      </c>
      <c r="C69" s="74">
        <v>2.0</v>
      </c>
      <c r="D69" s="75">
        <f t="shared" ref="D69:D73" si="12">C69*B69</f>
        <v>345</v>
      </c>
      <c r="E69" s="76">
        <v>45142.0</v>
      </c>
      <c r="F69" s="74" t="s">
        <v>525</v>
      </c>
      <c r="G69" s="74" t="s">
        <v>526</v>
      </c>
      <c r="H69" s="74" t="s">
        <v>525</v>
      </c>
      <c r="I69" s="74" t="s">
        <v>526</v>
      </c>
      <c r="J69" s="7" t="s">
        <v>45</v>
      </c>
    </row>
    <row r="70" ht="12.75" customHeight="1">
      <c r="A70" s="73" t="s">
        <v>527</v>
      </c>
      <c r="B70" s="10">
        <v>64.5</v>
      </c>
      <c r="C70" s="74">
        <v>7.0</v>
      </c>
      <c r="D70" s="75">
        <f t="shared" si="12"/>
        <v>451.5</v>
      </c>
      <c r="E70" s="76">
        <v>45142.0</v>
      </c>
      <c r="F70" s="77" t="s">
        <v>17</v>
      </c>
      <c r="G70" s="74" t="s">
        <v>528</v>
      </c>
      <c r="H70" s="81"/>
      <c r="I70" s="77"/>
      <c r="J70" s="7" t="s">
        <v>45</v>
      </c>
    </row>
    <row r="71" ht="12.75" customHeight="1">
      <c r="A71" s="73" t="s">
        <v>75</v>
      </c>
      <c r="B71" s="10">
        <v>319.5</v>
      </c>
      <c r="C71" s="74">
        <v>1.0</v>
      </c>
      <c r="D71" s="75">
        <f t="shared" si="12"/>
        <v>319.5</v>
      </c>
      <c r="E71" s="76">
        <v>45142.0</v>
      </c>
      <c r="F71" s="77" t="s">
        <v>76</v>
      </c>
      <c r="G71" s="74" t="s">
        <v>77</v>
      </c>
      <c r="H71" s="81"/>
      <c r="I71" s="77"/>
      <c r="J71" s="7" t="s">
        <v>45</v>
      </c>
    </row>
    <row r="72" ht="12.75" customHeight="1">
      <c r="A72" s="73" t="s">
        <v>89</v>
      </c>
      <c r="B72" s="10">
        <v>204.5</v>
      </c>
      <c r="C72" s="74">
        <v>1.0</v>
      </c>
      <c r="D72" s="75">
        <f t="shared" si="12"/>
        <v>204.5</v>
      </c>
      <c r="E72" s="76">
        <v>45142.0</v>
      </c>
      <c r="F72" s="77" t="s">
        <v>76</v>
      </c>
      <c r="G72" s="74" t="s">
        <v>90</v>
      </c>
      <c r="H72" s="81"/>
      <c r="I72" s="77"/>
      <c r="J72" s="7" t="s">
        <v>45</v>
      </c>
    </row>
    <row r="73" ht="12.75" customHeight="1">
      <c r="A73" s="73" t="s">
        <v>338</v>
      </c>
      <c r="B73" s="10">
        <v>356.0</v>
      </c>
      <c r="C73" s="74">
        <v>2.0</v>
      </c>
      <c r="D73" s="75">
        <f t="shared" si="12"/>
        <v>712</v>
      </c>
      <c r="E73" s="76">
        <v>45142.0</v>
      </c>
      <c r="F73" s="77" t="s">
        <v>17</v>
      </c>
      <c r="G73" s="74" t="s">
        <v>339</v>
      </c>
      <c r="H73" s="81" t="s">
        <v>340</v>
      </c>
      <c r="I73" s="77" t="s">
        <v>341</v>
      </c>
      <c r="J73" s="7" t="s">
        <v>342</v>
      </c>
    </row>
    <row r="74" ht="12.75" customHeight="1">
      <c r="A74" s="15" t="s">
        <v>467</v>
      </c>
      <c r="B74" s="16">
        <v>23.07</v>
      </c>
      <c r="C74" s="16">
        <v>1.0</v>
      </c>
      <c r="D74" s="17">
        <f t="shared" ref="D74:D84" si="13">B74*C74</f>
        <v>23.07</v>
      </c>
      <c r="F74" s="16" t="s">
        <v>17</v>
      </c>
      <c r="G74" s="16" t="s">
        <v>468</v>
      </c>
    </row>
    <row r="75" ht="12.75" customHeight="1">
      <c r="A75" s="15" t="s">
        <v>208</v>
      </c>
      <c r="B75" s="10">
        <v>3.5</v>
      </c>
      <c r="C75" s="16">
        <v>12.0</v>
      </c>
      <c r="D75" s="17">
        <f t="shared" si="13"/>
        <v>42</v>
      </c>
      <c r="E75" s="7"/>
      <c r="F75" s="7" t="s">
        <v>128</v>
      </c>
      <c r="G75" s="16" t="s">
        <v>209</v>
      </c>
      <c r="H75" s="7"/>
      <c r="I75" s="7"/>
      <c r="J75" s="7"/>
    </row>
    <row r="76" ht="12.75" customHeight="1">
      <c r="A76" s="15" t="s">
        <v>404</v>
      </c>
      <c r="B76" s="10">
        <v>22.86</v>
      </c>
      <c r="C76" s="16">
        <v>1.0</v>
      </c>
      <c r="D76" s="17">
        <f t="shared" si="13"/>
        <v>22.86</v>
      </c>
      <c r="E76" s="7"/>
      <c r="F76" s="16" t="s">
        <v>128</v>
      </c>
      <c r="G76" s="16" t="s">
        <v>405</v>
      </c>
      <c r="H76" s="7"/>
      <c r="I76" s="7"/>
      <c r="J76" s="7"/>
    </row>
    <row r="77" ht="12.75" customHeight="1">
      <c r="A77" s="15" t="s">
        <v>404</v>
      </c>
      <c r="B77" s="10">
        <v>22.86</v>
      </c>
      <c r="C77" s="16">
        <v>1.0</v>
      </c>
      <c r="D77" s="17">
        <f t="shared" si="13"/>
        <v>22.86</v>
      </c>
      <c r="E77" s="7"/>
      <c r="F77" s="16" t="s">
        <v>128</v>
      </c>
      <c r="G77" s="16" t="s">
        <v>405</v>
      </c>
      <c r="H77" s="7"/>
      <c r="I77" s="7"/>
      <c r="J77" s="7"/>
    </row>
    <row r="78" ht="12.75" customHeight="1">
      <c r="A78" s="15" t="s">
        <v>398</v>
      </c>
      <c r="B78" s="10">
        <v>3.35</v>
      </c>
      <c r="C78" s="16">
        <v>5.0</v>
      </c>
      <c r="D78" s="17">
        <f t="shared" si="13"/>
        <v>16.75</v>
      </c>
      <c r="E78" s="7"/>
      <c r="F78" s="77" t="s">
        <v>128</v>
      </c>
      <c r="G78" s="16" t="s">
        <v>399</v>
      </c>
      <c r="H78" s="7"/>
      <c r="I78" s="7"/>
      <c r="J78" s="7"/>
    </row>
    <row r="79" ht="12.75" customHeight="1">
      <c r="A79" s="15" t="s">
        <v>398</v>
      </c>
      <c r="B79" s="10">
        <v>3.35</v>
      </c>
      <c r="C79" s="16"/>
      <c r="D79" s="17">
        <f t="shared" si="13"/>
        <v>0</v>
      </c>
      <c r="E79" s="7"/>
      <c r="F79" s="77" t="s">
        <v>128</v>
      </c>
      <c r="G79" s="16" t="s">
        <v>399</v>
      </c>
      <c r="H79" s="7"/>
      <c r="I79" s="7"/>
      <c r="J79" s="7"/>
    </row>
    <row r="80" ht="12.75" customHeight="1">
      <c r="A80" s="15" t="s">
        <v>396</v>
      </c>
      <c r="B80" s="10">
        <v>5.26</v>
      </c>
      <c r="C80" s="16">
        <v>8.0</v>
      </c>
      <c r="D80" s="17">
        <f t="shared" si="13"/>
        <v>42.08</v>
      </c>
      <c r="E80" s="7"/>
      <c r="F80" s="77" t="s">
        <v>128</v>
      </c>
      <c r="G80" s="16" t="s">
        <v>397</v>
      </c>
      <c r="H80" s="7"/>
      <c r="I80" s="7"/>
      <c r="J80" s="7"/>
    </row>
    <row r="81" ht="12.75" customHeight="1">
      <c r="A81" s="15" t="s">
        <v>396</v>
      </c>
      <c r="B81" s="10">
        <v>5.26</v>
      </c>
      <c r="C81" s="16"/>
      <c r="D81" s="17">
        <f t="shared" si="13"/>
        <v>0</v>
      </c>
      <c r="E81" s="7"/>
      <c r="F81" s="77" t="s">
        <v>128</v>
      </c>
      <c r="G81" s="16" t="s">
        <v>397</v>
      </c>
      <c r="H81" s="7"/>
      <c r="I81" s="7"/>
      <c r="J81" s="7"/>
    </row>
    <row r="82" ht="12.75" customHeight="1">
      <c r="A82" s="15" t="s">
        <v>394</v>
      </c>
      <c r="B82" s="10">
        <v>4.28</v>
      </c>
      <c r="C82" s="16">
        <v>8.0</v>
      </c>
      <c r="D82" s="17">
        <f t="shared" si="13"/>
        <v>34.24</v>
      </c>
      <c r="E82" s="7"/>
      <c r="F82" s="77" t="s">
        <v>128</v>
      </c>
      <c r="G82" s="16" t="s">
        <v>395</v>
      </c>
      <c r="H82" s="16"/>
      <c r="J82" s="7"/>
    </row>
    <row r="83" ht="12.75" customHeight="1">
      <c r="A83" s="15" t="s">
        <v>394</v>
      </c>
      <c r="B83" s="10">
        <v>4.28</v>
      </c>
      <c r="C83" s="16"/>
      <c r="D83" s="17">
        <f t="shared" si="13"/>
        <v>0</v>
      </c>
      <c r="E83" s="7"/>
      <c r="F83" s="77" t="s">
        <v>128</v>
      </c>
      <c r="G83" s="16" t="s">
        <v>395</v>
      </c>
      <c r="H83" s="16"/>
      <c r="J83" s="7"/>
    </row>
    <row r="84" ht="15.0" customHeight="1">
      <c r="A84" s="15" t="s">
        <v>813</v>
      </c>
      <c r="B84" s="10">
        <v>116.99</v>
      </c>
      <c r="C84" s="16">
        <v>3.0</v>
      </c>
      <c r="D84" s="17">
        <f t="shared" si="13"/>
        <v>350.97</v>
      </c>
      <c r="E84" s="7"/>
      <c r="F84" s="16" t="s">
        <v>128</v>
      </c>
      <c r="G84" s="16" t="s">
        <v>369</v>
      </c>
      <c r="H84" s="16"/>
      <c r="I84" s="16" t="s">
        <v>370</v>
      </c>
    </row>
    <row r="85" ht="12.75" customHeight="1">
      <c r="A85" s="15" t="s">
        <v>814</v>
      </c>
      <c r="B85" s="10"/>
      <c r="C85" s="16"/>
      <c r="D85" s="17"/>
      <c r="E85" s="7"/>
      <c r="F85" s="77" t="s">
        <v>128</v>
      </c>
      <c r="G85" s="16" t="s">
        <v>133</v>
      </c>
      <c r="H85" s="7"/>
      <c r="I85" s="7"/>
      <c r="J85" s="7"/>
    </row>
    <row r="86" ht="12.75" customHeight="1">
      <c r="A86" s="73" t="s">
        <v>535</v>
      </c>
      <c r="B86" s="10">
        <v>565.0</v>
      </c>
      <c r="C86" s="74">
        <v>1.0</v>
      </c>
      <c r="D86" s="75">
        <f>C86*B86</f>
        <v>565</v>
      </c>
      <c r="E86" s="76">
        <v>45142.0</v>
      </c>
      <c r="F86" s="77" t="s">
        <v>536</v>
      </c>
      <c r="G86" s="74" t="s">
        <v>537</v>
      </c>
      <c r="H86" s="77" t="s">
        <v>536</v>
      </c>
      <c r="I86" s="74" t="s">
        <v>537</v>
      </c>
      <c r="J86" s="7" t="s">
        <v>45</v>
      </c>
    </row>
    <row r="87" ht="12.75" customHeight="1">
      <c r="A87" s="15" t="s">
        <v>356</v>
      </c>
      <c r="B87" s="10">
        <v>1885.0</v>
      </c>
      <c r="C87" s="16">
        <v>1.0</v>
      </c>
      <c r="D87" s="17">
        <f t="shared" ref="D87:D90" si="14">B87*C87</f>
        <v>1885</v>
      </c>
      <c r="E87" s="22">
        <v>45215.0</v>
      </c>
      <c r="F87" s="16" t="s">
        <v>354</v>
      </c>
      <c r="G87" s="16" t="s">
        <v>357</v>
      </c>
      <c r="H87" s="16" t="s">
        <v>354</v>
      </c>
      <c r="I87" s="16" t="s">
        <v>357</v>
      </c>
      <c r="J87" s="7"/>
    </row>
    <row r="88" ht="12.75" customHeight="1">
      <c r="A88" s="15" t="s">
        <v>353</v>
      </c>
      <c r="B88" s="10">
        <v>2385.0</v>
      </c>
      <c r="C88" s="16">
        <v>2.0</v>
      </c>
      <c r="D88" s="17">
        <f t="shared" si="14"/>
        <v>4770</v>
      </c>
      <c r="E88" s="22">
        <v>45215.0</v>
      </c>
      <c r="F88" s="16" t="s">
        <v>354</v>
      </c>
      <c r="G88" s="16" t="s">
        <v>355</v>
      </c>
      <c r="H88" s="16" t="s">
        <v>354</v>
      </c>
      <c r="I88" s="16" t="s">
        <v>355</v>
      </c>
      <c r="J88" s="7"/>
    </row>
    <row r="89" ht="12.75" customHeight="1">
      <c r="A89" s="15" t="s">
        <v>358</v>
      </c>
      <c r="B89" s="10">
        <v>78.0</v>
      </c>
      <c r="C89" s="16">
        <v>3.0</v>
      </c>
      <c r="D89" s="17">
        <f t="shared" si="14"/>
        <v>234</v>
      </c>
      <c r="E89" s="22" t="s">
        <v>815</v>
      </c>
      <c r="F89" s="16" t="s">
        <v>354</v>
      </c>
      <c r="G89" s="16" t="s">
        <v>359</v>
      </c>
      <c r="H89" s="16" t="s">
        <v>354</v>
      </c>
      <c r="I89" s="16" t="s">
        <v>359</v>
      </c>
      <c r="J89" s="16" t="s">
        <v>360</v>
      </c>
    </row>
    <row r="90" ht="12.75" customHeight="1">
      <c r="A90" s="15" t="s">
        <v>361</v>
      </c>
      <c r="B90" s="10">
        <v>50.0</v>
      </c>
      <c r="C90" s="16">
        <v>7.0</v>
      </c>
      <c r="D90" s="17">
        <f t="shared" si="14"/>
        <v>350</v>
      </c>
      <c r="E90" s="22" t="s">
        <v>815</v>
      </c>
      <c r="F90" s="16" t="s">
        <v>354</v>
      </c>
      <c r="G90" s="16" t="s">
        <v>362</v>
      </c>
      <c r="H90" s="16" t="s">
        <v>354</v>
      </c>
      <c r="I90" s="16" t="s">
        <v>362</v>
      </c>
      <c r="J90" s="7"/>
    </row>
    <row r="91" ht="12.75" customHeight="1">
      <c r="A91" s="82" t="s">
        <v>42</v>
      </c>
      <c r="B91" s="10">
        <v>250.0</v>
      </c>
      <c r="C91" s="74">
        <v>1.0</v>
      </c>
      <c r="D91" s="75">
        <f>C91*B91</f>
        <v>250</v>
      </c>
      <c r="E91" s="76">
        <v>45142.0</v>
      </c>
      <c r="F91" s="77" t="s">
        <v>43</v>
      </c>
      <c r="G91" s="74" t="s">
        <v>44</v>
      </c>
      <c r="H91" s="74" t="s">
        <v>44</v>
      </c>
      <c r="I91" s="7"/>
      <c r="J91" s="7" t="s">
        <v>45</v>
      </c>
    </row>
    <row r="92" ht="12.75" customHeight="1">
      <c r="A92" s="15" t="s">
        <v>816</v>
      </c>
      <c r="B92" s="10">
        <v>11.52</v>
      </c>
      <c r="C92" s="16">
        <v>1.0</v>
      </c>
      <c r="D92" s="17"/>
      <c r="E92" s="7"/>
      <c r="F92" s="7"/>
      <c r="G92" s="16" t="s">
        <v>131</v>
      </c>
      <c r="H92" s="7"/>
      <c r="I92" s="7"/>
      <c r="J92" s="7"/>
    </row>
    <row r="93" ht="12.75" customHeight="1">
      <c r="A93" s="15" t="s">
        <v>293</v>
      </c>
      <c r="B93" s="10">
        <v>17.13</v>
      </c>
      <c r="C93" s="16">
        <v>1.0</v>
      </c>
      <c r="D93" s="17">
        <f t="shared" ref="D93:D107" si="15">B93*C93</f>
        <v>17.13</v>
      </c>
      <c r="E93" s="7"/>
      <c r="F93" s="7"/>
      <c r="G93" s="15" t="s">
        <v>293</v>
      </c>
      <c r="H93" s="7"/>
      <c r="I93" s="7"/>
      <c r="J93" s="7"/>
    </row>
    <row r="94" ht="12.75" customHeight="1">
      <c r="A94" s="15" t="s">
        <v>295</v>
      </c>
      <c r="B94" s="10">
        <v>3.35</v>
      </c>
      <c r="C94" s="16">
        <v>2.0</v>
      </c>
      <c r="D94" s="17">
        <f t="shared" si="15"/>
        <v>6.7</v>
      </c>
      <c r="E94" s="7"/>
      <c r="F94" s="7"/>
      <c r="G94" s="15" t="s">
        <v>295</v>
      </c>
      <c r="H94" s="7"/>
      <c r="I94" s="7"/>
      <c r="J94" s="7"/>
      <c r="N94" s="16" t="s">
        <v>363</v>
      </c>
    </row>
    <row r="95" ht="12.75" customHeight="1">
      <c r="A95" s="15" t="s">
        <v>277</v>
      </c>
      <c r="B95" s="10">
        <v>1.26</v>
      </c>
      <c r="C95" s="16">
        <v>6.0</v>
      </c>
      <c r="D95" s="17">
        <f t="shared" si="15"/>
        <v>7.56</v>
      </c>
      <c r="E95" s="7"/>
      <c r="F95" s="7"/>
      <c r="G95" s="15" t="s">
        <v>277</v>
      </c>
      <c r="H95" s="7"/>
      <c r="I95" s="7"/>
      <c r="J95" s="7"/>
    </row>
    <row r="96" ht="12.75" customHeight="1">
      <c r="A96" s="15" t="s">
        <v>297</v>
      </c>
      <c r="B96" s="10">
        <v>0.95</v>
      </c>
      <c r="C96" s="16">
        <v>2.0</v>
      </c>
      <c r="D96" s="17">
        <f t="shared" si="15"/>
        <v>1.9</v>
      </c>
      <c r="E96" s="7"/>
      <c r="F96" s="7"/>
      <c r="G96" s="15" t="s">
        <v>297</v>
      </c>
      <c r="H96" s="7"/>
      <c r="I96" s="7"/>
      <c r="J96" s="7"/>
    </row>
    <row r="97" ht="12.75" customHeight="1">
      <c r="A97" s="15" t="s">
        <v>106</v>
      </c>
      <c r="B97" s="10">
        <v>1.26</v>
      </c>
      <c r="C97" s="16">
        <v>4.0</v>
      </c>
      <c r="D97" s="17">
        <f t="shared" si="15"/>
        <v>5.04</v>
      </c>
      <c r="E97" s="7"/>
      <c r="F97" s="7"/>
      <c r="G97" s="15" t="s">
        <v>106</v>
      </c>
      <c r="H97" s="7"/>
      <c r="I97" s="7"/>
      <c r="J97" s="7"/>
    </row>
    <row r="98" ht="12.75" customHeight="1">
      <c r="A98" s="15" t="s">
        <v>294</v>
      </c>
      <c r="B98" s="10">
        <v>1.43</v>
      </c>
      <c r="C98" s="16">
        <v>2.0</v>
      </c>
      <c r="D98" s="17">
        <f t="shared" si="15"/>
        <v>2.86</v>
      </c>
      <c r="E98" s="7"/>
      <c r="F98" s="7"/>
      <c r="G98" s="15" t="s">
        <v>294</v>
      </c>
      <c r="H98" s="7"/>
      <c r="I98" s="7"/>
      <c r="J98" s="7"/>
    </row>
    <row r="99" ht="12.75" customHeight="1">
      <c r="A99" s="15" t="s">
        <v>298</v>
      </c>
      <c r="B99" s="10">
        <v>2.64</v>
      </c>
      <c r="C99" s="16">
        <v>1.0</v>
      </c>
      <c r="D99" s="17">
        <f t="shared" si="15"/>
        <v>2.64</v>
      </c>
      <c r="E99" s="7"/>
      <c r="F99" s="7"/>
      <c r="G99" s="15" t="s">
        <v>298</v>
      </c>
      <c r="H99" s="7"/>
      <c r="I99" s="7"/>
      <c r="J99" s="7"/>
    </row>
    <row r="100" ht="12.75" customHeight="1">
      <c r="A100" s="15" t="s">
        <v>57</v>
      </c>
      <c r="B100" s="10">
        <v>2.66</v>
      </c>
      <c r="C100" s="16">
        <v>2.0</v>
      </c>
      <c r="D100" s="17">
        <f t="shared" si="15"/>
        <v>5.32</v>
      </c>
      <c r="E100" s="7"/>
      <c r="F100" s="7"/>
      <c r="G100" s="15" t="s">
        <v>57</v>
      </c>
      <c r="H100" s="11">
        <f>SUM(D99:D109,B67:B68,)</f>
        <v>662.53</v>
      </c>
      <c r="I100" s="7"/>
      <c r="J100" s="7"/>
    </row>
    <row r="101" ht="12.75" customHeight="1">
      <c r="A101" s="15" t="s">
        <v>101</v>
      </c>
      <c r="B101" s="10">
        <v>2.39</v>
      </c>
      <c r="C101" s="16">
        <v>1.0</v>
      </c>
      <c r="D101" s="17">
        <f t="shared" si="15"/>
        <v>2.39</v>
      </c>
      <c r="E101" s="7"/>
      <c r="F101" s="7"/>
      <c r="G101" s="15" t="s">
        <v>101</v>
      </c>
      <c r="H101" s="7"/>
      <c r="I101" s="7"/>
      <c r="J101" s="7"/>
    </row>
    <row r="102" ht="12.75" customHeight="1">
      <c r="A102" s="15" t="s">
        <v>276</v>
      </c>
      <c r="B102" s="10">
        <v>2.74</v>
      </c>
      <c r="C102" s="16">
        <v>6.0</v>
      </c>
      <c r="D102" s="17">
        <f t="shared" si="15"/>
        <v>16.44</v>
      </c>
      <c r="E102" s="7"/>
      <c r="F102" s="7"/>
      <c r="G102" s="15" t="s">
        <v>276</v>
      </c>
      <c r="H102" s="7"/>
      <c r="I102" s="7"/>
      <c r="J102" s="7"/>
    </row>
    <row r="103" ht="12.75" customHeight="1">
      <c r="A103" s="15" t="s">
        <v>292</v>
      </c>
      <c r="B103" s="10">
        <v>30.93</v>
      </c>
      <c r="C103" s="16">
        <v>1.0</v>
      </c>
      <c r="D103" s="17">
        <f t="shared" si="15"/>
        <v>30.93</v>
      </c>
      <c r="E103" s="22"/>
      <c r="F103" s="16"/>
      <c r="G103" s="15" t="s">
        <v>292</v>
      </c>
      <c r="H103" s="16"/>
      <c r="I103" s="16"/>
      <c r="J103" s="7"/>
    </row>
    <row r="104" ht="12.75" customHeight="1">
      <c r="A104" s="15" t="s">
        <v>364</v>
      </c>
      <c r="B104" s="10">
        <v>0.0</v>
      </c>
      <c r="C104" s="16">
        <v>2.0</v>
      </c>
      <c r="D104" s="17">
        <f t="shared" si="15"/>
        <v>0</v>
      </c>
      <c r="E104" s="76">
        <v>45142.0</v>
      </c>
      <c r="F104" s="77"/>
      <c r="G104" s="16" t="s">
        <v>365</v>
      </c>
      <c r="H104" s="16" t="s">
        <v>354</v>
      </c>
      <c r="I104" s="16" t="s">
        <v>365</v>
      </c>
      <c r="J104" s="7" t="s">
        <v>45</v>
      </c>
    </row>
    <row r="105" ht="12.75" customHeight="1">
      <c r="A105" s="15" t="s">
        <v>358</v>
      </c>
      <c r="B105" s="10">
        <v>0.0</v>
      </c>
      <c r="C105" s="16">
        <v>2.0</v>
      </c>
      <c r="D105" s="17">
        <f t="shared" si="15"/>
        <v>0</v>
      </c>
      <c r="E105" s="76">
        <v>45142.0</v>
      </c>
      <c r="F105" s="77"/>
      <c r="G105" s="16" t="s">
        <v>359</v>
      </c>
      <c r="H105" s="16" t="s">
        <v>354</v>
      </c>
      <c r="I105" s="16" t="s">
        <v>359</v>
      </c>
      <c r="J105" s="7" t="s">
        <v>45</v>
      </c>
    </row>
    <row r="106" ht="12.75" customHeight="1">
      <c r="A106" s="15" t="s">
        <v>361</v>
      </c>
      <c r="B106" s="10">
        <v>0.0</v>
      </c>
      <c r="C106" s="16">
        <v>2.0</v>
      </c>
      <c r="D106" s="17">
        <f t="shared" si="15"/>
        <v>0</v>
      </c>
      <c r="E106" s="76">
        <v>45142.0</v>
      </c>
      <c r="F106" s="77"/>
      <c r="G106" s="16" t="s">
        <v>362</v>
      </c>
      <c r="H106" s="16" t="s">
        <v>354</v>
      </c>
      <c r="I106" s="16" t="s">
        <v>362</v>
      </c>
      <c r="J106" s="7" t="s">
        <v>45</v>
      </c>
    </row>
    <row r="107" ht="12.75" customHeight="1">
      <c r="A107" s="15" t="s">
        <v>366</v>
      </c>
      <c r="B107" s="10">
        <v>0.0</v>
      </c>
      <c r="C107" s="16">
        <v>2.0</v>
      </c>
      <c r="D107" s="17">
        <f t="shared" si="15"/>
        <v>0</v>
      </c>
      <c r="E107" s="76">
        <v>45142.0</v>
      </c>
      <c r="F107" s="77"/>
      <c r="G107" s="16" t="s">
        <v>367</v>
      </c>
      <c r="H107" s="16" t="s">
        <v>354</v>
      </c>
      <c r="I107" s="16" t="s">
        <v>367</v>
      </c>
      <c r="J107" s="7" t="s">
        <v>45</v>
      </c>
    </row>
    <row r="108" ht="12.75" customHeight="1">
      <c r="A108" s="16" t="s">
        <v>817</v>
      </c>
      <c r="B108" s="28">
        <v>66.26</v>
      </c>
      <c r="C108" s="74">
        <v>0.0</v>
      </c>
      <c r="D108" s="75">
        <f t="shared" ref="D108:D110" si="16">C108*B108</f>
        <v>0</v>
      </c>
      <c r="E108" s="76"/>
      <c r="F108" s="16"/>
      <c r="G108" s="16" t="s">
        <v>818</v>
      </c>
      <c r="H108" s="74"/>
      <c r="I108" s="74"/>
      <c r="J108" s="7"/>
    </row>
    <row r="109" ht="12.75" customHeight="1">
      <c r="A109" s="16" t="s">
        <v>819</v>
      </c>
      <c r="B109" s="28">
        <v>66.62</v>
      </c>
      <c r="C109" s="74">
        <v>0.0</v>
      </c>
      <c r="D109" s="75">
        <f t="shared" si="16"/>
        <v>0</v>
      </c>
      <c r="E109" s="76"/>
      <c r="F109" s="16"/>
      <c r="G109" s="16" t="s">
        <v>820</v>
      </c>
      <c r="H109" s="74"/>
      <c r="I109" s="74"/>
      <c r="J109" s="7"/>
    </row>
    <row r="110" ht="12.75" customHeight="1">
      <c r="A110" s="16" t="s">
        <v>821</v>
      </c>
      <c r="B110" s="28">
        <v>172.71</v>
      </c>
      <c r="C110" s="74">
        <v>2.0</v>
      </c>
      <c r="D110" s="75">
        <f t="shared" si="16"/>
        <v>345.42</v>
      </c>
      <c r="E110" s="76"/>
      <c r="F110" s="16"/>
      <c r="G110" s="16" t="s">
        <v>822</v>
      </c>
      <c r="I110" s="74"/>
      <c r="J110" s="7"/>
    </row>
    <row r="111" ht="12.75" customHeight="1">
      <c r="A111" s="15" t="s">
        <v>430</v>
      </c>
      <c r="B111" s="10">
        <v>371.12</v>
      </c>
      <c r="C111" s="16">
        <v>1.0</v>
      </c>
      <c r="D111" s="17">
        <f t="shared" ref="D111:D116" si="17">B111*C111</f>
        <v>371.12</v>
      </c>
      <c r="E111" s="7"/>
      <c r="F111" s="7"/>
      <c r="G111" s="7"/>
      <c r="H111" s="7"/>
      <c r="I111" s="7"/>
      <c r="J111" s="7" t="s">
        <v>431</v>
      </c>
    </row>
    <row r="112" ht="12.75" customHeight="1">
      <c r="A112" s="15" t="s">
        <v>469</v>
      </c>
      <c r="B112" s="16">
        <v>0.0</v>
      </c>
      <c r="C112" s="16">
        <v>1.0</v>
      </c>
      <c r="D112" s="17">
        <f t="shared" si="17"/>
        <v>0</v>
      </c>
      <c r="J112" s="16" t="s">
        <v>470</v>
      </c>
    </row>
    <row r="113" ht="12.75" customHeight="1">
      <c r="A113" s="15" t="s">
        <v>823</v>
      </c>
      <c r="B113" s="10">
        <v>35.2</v>
      </c>
      <c r="C113" s="16">
        <v>2.0</v>
      </c>
      <c r="D113" s="17">
        <f t="shared" si="17"/>
        <v>70.4</v>
      </c>
      <c r="J113" s="7"/>
    </row>
    <row r="114" ht="12.75" customHeight="1">
      <c r="A114" s="15" t="s">
        <v>824</v>
      </c>
      <c r="B114" s="10">
        <v>26.9</v>
      </c>
      <c r="C114" s="16">
        <v>4.0</v>
      </c>
      <c r="D114" s="17">
        <f t="shared" si="17"/>
        <v>107.6</v>
      </c>
      <c r="E114" s="22"/>
      <c r="F114" s="16"/>
      <c r="H114" s="16"/>
      <c r="I114" s="16"/>
      <c r="J114" s="7"/>
    </row>
    <row r="115" ht="12.75" customHeight="1">
      <c r="A115" s="15" t="s">
        <v>825</v>
      </c>
      <c r="B115" s="10">
        <v>0.0</v>
      </c>
      <c r="C115" s="16">
        <v>4.0</v>
      </c>
      <c r="D115" s="17">
        <f t="shared" si="17"/>
        <v>0</v>
      </c>
      <c r="E115" s="76">
        <v>45142.0</v>
      </c>
      <c r="F115" s="77"/>
      <c r="H115" s="16"/>
      <c r="J115" s="7" t="s">
        <v>45</v>
      </c>
    </row>
    <row r="116" ht="12.75" customHeight="1">
      <c r="A116" s="15" t="s">
        <v>513</v>
      </c>
      <c r="B116" s="10">
        <v>31.56</v>
      </c>
      <c r="C116" s="16">
        <v>1.0</v>
      </c>
      <c r="D116" s="17">
        <f t="shared" si="17"/>
        <v>31.56</v>
      </c>
      <c r="E116" s="7"/>
      <c r="F116" s="7"/>
      <c r="G116" s="7"/>
      <c r="H116" s="7"/>
      <c r="I116" s="7"/>
      <c r="J116" s="7" t="s">
        <v>514</v>
      </c>
    </row>
    <row r="117" ht="12.75" customHeight="1">
      <c r="A117" s="15" t="s">
        <v>443</v>
      </c>
      <c r="B117" s="10"/>
      <c r="C117" s="16"/>
      <c r="D117" s="17"/>
      <c r="J117" s="7"/>
    </row>
    <row r="118" ht="12.75" customHeight="1">
      <c r="A118" s="15" t="s">
        <v>518</v>
      </c>
      <c r="B118" s="28"/>
      <c r="C118" s="16">
        <v>4.0</v>
      </c>
      <c r="D118" s="17"/>
      <c r="J118" s="7"/>
    </row>
    <row r="119" ht="12.75" customHeight="1">
      <c r="A119" s="44" t="s">
        <v>343</v>
      </c>
      <c r="B119" s="71">
        <f>SUM(D120:D137)</f>
        <v>1107.42</v>
      </c>
    </row>
    <row r="120" ht="12.75" customHeight="1">
      <c r="A120" s="16" t="s">
        <v>59</v>
      </c>
      <c r="B120" s="28">
        <v>3.02</v>
      </c>
      <c r="C120" s="74">
        <v>1.0</v>
      </c>
      <c r="D120" s="75"/>
      <c r="E120" s="76"/>
      <c r="F120" s="16"/>
      <c r="H120" s="74"/>
      <c r="I120" s="74"/>
      <c r="J120" s="7"/>
    </row>
    <row r="121" ht="12.75" customHeight="1">
      <c r="A121" s="16" t="s">
        <v>82</v>
      </c>
      <c r="B121" s="28">
        <v>1.54</v>
      </c>
      <c r="C121" s="74">
        <v>1.0</v>
      </c>
      <c r="D121" s="75">
        <f>C121*B121</f>
        <v>1.54</v>
      </c>
      <c r="E121" s="76"/>
      <c r="F121" s="16"/>
      <c r="H121" s="74"/>
      <c r="I121" s="74"/>
      <c r="J121" s="7"/>
    </row>
    <row r="122" ht="12.75" customHeight="1">
      <c r="A122" s="44" t="s">
        <v>299</v>
      </c>
      <c r="B122" s="71">
        <f>SUM(D123:D126)</f>
        <v>400</v>
      </c>
      <c r="C122" s="16"/>
      <c r="E122" s="7"/>
      <c r="F122" s="7"/>
      <c r="G122" s="7"/>
      <c r="H122" s="7"/>
      <c r="I122" s="7"/>
      <c r="J122" s="7"/>
    </row>
    <row r="123" ht="12.75" customHeight="1">
      <c r="A123" s="15" t="s">
        <v>608</v>
      </c>
      <c r="B123" s="10">
        <v>400.0</v>
      </c>
      <c r="C123" s="16">
        <v>1.0</v>
      </c>
      <c r="D123" s="17">
        <f>B123*C123</f>
        <v>400</v>
      </c>
      <c r="E123" s="22">
        <v>45302.0</v>
      </c>
      <c r="F123" s="7"/>
      <c r="G123" s="7"/>
      <c r="H123" s="7"/>
      <c r="I123" s="7"/>
      <c r="J123" s="7"/>
    </row>
    <row r="124" ht="12.75" customHeight="1">
      <c r="A124" s="44" t="s">
        <v>481</v>
      </c>
      <c r="B124" s="71">
        <f>SUM(D125:D127)</f>
        <v>0</v>
      </c>
    </row>
    <row r="125" ht="12.75" customHeight="1">
      <c r="A125" s="83" t="s">
        <v>70</v>
      </c>
      <c r="B125" s="71"/>
      <c r="C125" s="67"/>
      <c r="E125" s="72"/>
      <c r="F125" s="72"/>
      <c r="G125" s="72"/>
      <c r="H125" s="72"/>
      <c r="I125" s="72"/>
      <c r="J125" s="72"/>
    </row>
    <row r="126" ht="12.75" customHeight="1">
      <c r="A126" s="44" t="s">
        <v>216</v>
      </c>
      <c r="B126" s="71">
        <f>SUM(D127:D139)</f>
        <v>705.88</v>
      </c>
      <c r="C126" s="16"/>
      <c r="E126" s="7"/>
      <c r="F126" s="16"/>
      <c r="G126" s="16"/>
      <c r="H126" s="16"/>
      <c r="I126" s="16"/>
      <c r="J126" s="16"/>
    </row>
    <row r="127" ht="12.75" customHeight="1">
      <c r="A127" s="84" t="s">
        <v>88</v>
      </c>
      <c r="B127" s="10"/>
      <c r="C127" s="74"/>
      <c r="D127" s="75"/>
      <c r="E127" s="76"/>
      <c r="F127" s="77"/>
      <c r="G127" s="74"/>
      <c r="H127" s="81"/>
      <c r="I127" s="77"/>
      <c r="J127" s="7"/>
    </row>
    <row r="128" ht="12.75" customHeight="1">
      <c r="A128" s="15" t="s">
        <v>826</v>
      </c>
      <c r="B128" s="10"/>
      <c r="C128" s="16"/>
      <c r="D128" s="75"/>
      <c r="J128" s="7"/>
    </row>
    <row r="129" ht="12.75" customHeight="1">
      <c r="A129" s="84" t="s">
        <v>541</v>
      </c>
      <c r="B129" s="10"/>
      <c r="C129" s="74"/>
      <c r="D129" s="75"/>
      <c r="E129" s="76"/>
      <c r="F129" s="77"/>
      <c r="G129" s="74"/>
      <c r="H129" s="77"/>
      <c r="I129" s="74"/>
      <c r="J129" s="7"/>
    </row>
    <row r="130" ht="12.75" customHeight="1">
      <c r="A130" s="68" t="s">
        <v>10</v>
      </c>
      <c r="B130" s="71">
        <f>SUM(D135:D144)</f>
        <v>469.9</v>
      </c>
      <c r="C130" s="67"/>
      <c r="E130" s="72"/>
      <c r="F130" s="72"/>
      <c r="G130" s="72"/>
      <c r="H130" s="72"/>
      <c r="I130" s="72"/>
      <c r="J130" s="72"/>
    </row>
    <row r="131" ht="12.75" customHeight="1">
      <c r="A131" s="73" t="s">
        <v>248</v>
      </c>
      <c r="B131" s="28">
        <v>0.0</v>
      </c>
      <c r="C131" s="74">
        <v>1.0</v>
      </c>
      <c r="D131" s="75">
        <f>C131*B131</f>
        <v>0</v>
      </c>
      <c r="E131" s="76"/>
      <c r="F131" s="77"/>
      <c r="G131" s="74"/>
      <c r="H131" s="74"/>
      <c r="I131" s="74"/>
      <c r="J131" s="7" t="s">
        <v>249</v>
      </c>
    </row>
    <row r="132" ht="12.75" customHeight="1">
      <c r="A132" s="44" t="s">
        <v>389</v>
      </c>
      <c r="B132" s="71">
        <f>SUM(D133:D145)</f>
        <v>1175.78</v>
      </c>
      <c r="C132" s="16"/>
      <c r="E132" s="7"/>
      <c r="F132" s="77"/>
      <c r="H132" s="16"/>
      <c r="J132" s="7"/>
    </row>
    <row r="133" ht="12.75" customHeight="1">
      <c r="A133" s="15" t="s">
        <v>827</v>
      </c>
      <c r="B133" s="10">
        <v>100.84</v>
      </c>
      <c r="C133" s="16">
        <v>7.0</v>
      </c>
      <c r="D133" s="17">
        <f>B133*C133</f>
        <v>705.88</v>
      </c>
      <c r="E133" s="7"/>
      <c r="F133" s="77"/>
      <c r="H133" s="16"/>
      <c r="J133" s="16" t="s">
        <v>828</v>
      </c>
    </row>
    <row r="134" ht="12.75" customHeight="1">
      <c r="A134" s="15" t="s">
        <v>542</v>
      </c>
      <c r="B134" s="10">
        <v>0.0</v>
      </c>
      <c r="C134" s="16">
        <v>2.0</v>
      </c>
      <c r="D134" s="17"/>
      <c r="E134" s="76">
        <v>45142.0</v>
      </c>
      <c r="F134" s="7"/>
      <c r="G134" s="7"/>
      <c r="H134" s="7"/>
      <c r="I134" s="7"/>
      <c r="J134" s="7" t="s">
        <v>45</v>
      </c>
    </row>
    <row r="135" ht="12.75" customHeight="1">
      <c r="A135" s="84" t="s">
        <v>235</v>
      </c>
      <c r="B135" s="10"/>
      <c r="C135" s="74"/>
      <c r="D135" s="75"/>
      <c r="E135" s="76"/>
      <c r="F135" s="77"/>
      <c r="G135" s="74"/>
      <c r="H135" s="74"/>
      <c r="I135" s="74"/>
      <c r="J135" s="7"/>
    </row>
    <row r="136" ht="12.75" customHeight="1">
      <c r="A136" s="44" t="s">
        <v>829</v>
      </c>
      <c r="B136" s="71">
        <f>SUM(D137:D149)</f>
        <v>1321.9</v>
      </c>
      <c r="C136" s="16"/>
      <c r="E136" s="7"/>
      <c r="F136" s="77"/>
      <c r="H136" s="16"/>
      <c r="J136" s="7"/>
    </row>
    <row r="137" ht="12.75" customHeight="1">
      <c r="A137" s="84" t="s">
        <v>118</v>
      </c>
      <c r="B137" s="10"/>
      <c r="C137" s="74"/>
      <c r="D137" s="75"/>
      <c r="E137" s="76"/>
      <c r="F137" s="77"/>
      <c r="G137" s="74"/>
      <c r="H137" s="81"/>
      <c r="I137" s="77"/>
      <c r="J137" s="7"/>
    </row>
    <row r="138" ht="12.75" customHeight="1">
      <c r="A138" s="44" t="s">
        <v>239</v>
      </c>
      <c r="B138" s="71">
        <f>SUM(D139:D148)</f>
        <v>1255.9</v>
      </c>
      <c r="C138" s="16"/>
      <c r="E138" s="7"/>
      <c r="F138" s="16"/>
      <c r="G138" s="16"/>
      <c r="H138" s="16"/>
      <c r="I138" s="16"/>
      <c r="J138" s="16"/>
    </row>
    <row r="139" ht="12.75" customHeight="1">
      <c r="A139" s="44" t="s">
        <v>512</v>
      </c>
      <c r="B139" s="71">
        <f>SUM(D141:D144)</f>
        <v>469.9</v>
      </c>
      <c r="C139" s="7"/>
      <c r="J139" s="7"/>
    </row>
    <row r="140" ht="12.75" customHeight="1">
      <c r="A140" s="31" t="s">
        <v>238</v>
      </c>
      <c r="B140" s="28"/>
      <c r="C140" s="74"/>
      <c r="D140" s="75"/>
      <c r="E140" s="76"/>
      <c r="F140" s="16"/>
      <c r="I140" s="74"/>
      <c r="J140" s="7"/>
    </row>
    <row r="141" ht="15.0" customHeight="1">
      <c r="A141" s="15" t="s">
        <v>515</v>
      </c>
      <c r="B141" s="28">
        <v>42.45</v>
      </c>
      <c r="C141" s="7">
        <v>2.0</v>
      </c>
      <c r="D141" s="17">
        <f>B141*C141</f>
        <v>84.9</v>
      </c>
      <c r="H141" s="16" t="s">
        <v>517</v>
      </c>
      <c r="J141" s="7"/>
    </row>
    <row r="142" ht="12.75" customHeight="1">
      <c r="A142" s="44" t="s">
        <v>256</v>
      </c>
      <c r="B142" s="71">
        <f>SUM(D143:D144)</f>
        <v>385</v>
      </c>
      <c r="C142" s="16"/>
      <c r="E142" s="7"/>
      <c r="F142" s="16"/>
      <c r="G142" s="16"/>
      <c r="H142" s="16"/>
      <c r="I142" s="16"/>
      <c r="J142" s="16"/>
    </row>
    <row r="143" ht="12.75" customHeight="1">
      <c r="A143" s="15" t="s">
        <v>607</v>
      </c>
      <c r="B143" s="10">
        <v>385.0</v>
      </c>
      <c r="C143" s="16">
        <v>1.0</v>
      </c>
      <c r="D143" s="17">
        <f>B143*C143</f>
        <v>385</v>
      </c>
      <c r="E143" s="22">
        <v>45215.0</v>
      </c>
      <c r="F143" s="7"/>
      <c r="G143" s="7"/>
      <c r="H143" s="7"/>
      <c r="I143" s="7"/>
      <c r="J143" s="7"/>
    </row>
    <row r="144" ht="12.75" customHeight="1">
      <c r="A144" s="44" t="s">
        <v>261</v>
      </c>
      <c r="B144" s="71">
        <f>SUM(D145:D171)</f>
        <v>1205</v>
      </c>
      <c r="C144" s="16"/>
      <c r="E144" s="22"/>
      <c r="F144" s="16"/>
      <c r="G144" s="16"/>
      <c r="H144" s="16"/>
      <c r="I144" s="16"/>
      <c r="J144" s="7"/>
    </row>
    <row r="145" ht="12.75" customHeight="1">
      <c r="A145" s="44" t="s">
        <v>324</v>
      </c>
      <c r="B145" s="71">
        <f>SUM(D146:D150)</f>
        <v>865</v>
      </c>
      <c r="C145" s="16"/>
      <c r="E145" s="7"/>
      <c r="F145" s="7"/>
      <c r="G145" s="7"/>
      <c r="H145" s="7"/>
      <c r="I145" s="7"/>
      <c r="J145" s="7"/>
    </row>
    <row r="146" ht="12.75" customHeight="1">
      <c r="A146" s="44" t="s">
        <v>523</v>
      </c>
      <c r="B146" s="71">
        <f>SUM(D147:D156)</f>
        <v>1005</v>
      </c>
      <c r="C146" s="16"/>
      <c r="E146" s="7"/>
      <c r="F146" s="7"/>
      <c r="G146" s="7"/>
      <c r="H146" s="7"/>
      <c r="I146" s="7"/>
      <c r="J146" s="7"/>
    </row>
    <row r="147" ht="12.75" customHeight="1">
      <c r="A147" s="15" t="s">
        <v>257</v>
      </c>
      <c r="B147" s="10">
        <v>786.0</v>
      </c>
      <c r="C147" s="16">
        <v>1.0</v>
      </c>
      <c r="D147" s="75">
        <f>C147*B147</f>
        <v>786</v>
      </c>
      <c r="E147" s="22">
        <v>45174.0</v>
      </c>
      <c r="F147" s="7"/>
      <c r="G147" s="7"/>
      <c r="H147" s="16" t="s">
        <v>259</v>
      </c>
      <c r="I147" s="16">
        <v>6.8514437937E10</v>
      </c>
      <c r="J147" s="16" t="s">
        <v>260</v>
      </c>
    </row>
    <row r="148" ht="12.75" customHeight="1">
      <c r="A148" s="44" t="s">
        <v>606</v>
      </c>
      <c r="B148" s="71">
        <f>SUM(D149:D151)</f>
        <v>79</v>
      </c>
      <c r="C148" s="16"/>
      <c r="E148" s="7"/>
      <c r="F148" s="7"/>
      <c r="G148" s="7"/>
      <c r="H148" s="7"/>
      <c r="I148" s="7"/>
      <c r="J148" s="7"/>
    </row>
    <row r="149" ht="12.75" customHeight="1">
      <c r="A149" s="15" t="s">
        <v>830</v>
      </c>
      <c r="B149" s="10">
        <v>22.0</v>
      </c>
      <c r="C149" s="16">
        <v>3.0</v>
      </c>
      <c r="D149" s="17">
        <f t="shared" ref="D149:D154" si="18">B149*C149</f>
        <v>66</v>
      </c>
      <c r="E149" s="7"/>
      <c r="F149" s="77"/>
      <c r="H149" s="7"/>
      <c r="I149" s="7"/>
      <c r="J149" s="7"/>
    </row>
    <row r="150" ht="15.75" customHeight="1">
      <c r="A150" s="15" t="s">
        <v>830</v>
      </c>
      <c r="B150" s="10">
        <v>13.0</v>
      </c>
      <c r="C150" s="16">
        <v>1.0</v>
      </c>
      <c r="D150" s="17">
        <f t="shared" si="18"/>
        <v>13</v>
      </c>
      <c r="E150" s="7"/>
      <c r="F150" s="77"/>
      <c r="H150" s="7"/>
      <c r="I150" s="7"/>
      <c r="J150" s="7"/>
    </row>
    <row r="151" ht="12.75" customHeight="1">
      <c r="A151" s="15" t="s">
        <v>830</v>
      </c>
      <c r="B151" s="10">
        <v>22.0</v>
      </c>
      <c r="C151" s="16"/>
      <c r="D151" s="17">
        <f t="shared" si="18"/>
        <v>0</v>
      </c>
      <c r="E151" s="7"/>
      <c r="F151" s="77"/>
      <c r="H151" s="7"/>
      <c r="I151" s="7"/>
      <c r="J151" s="7"/>
    </row>
    <row r="152" ht="12.75" customHeight="1">
      <c r="A152" s="15" t="s">
        <v>830</v>
      </c>
      <c r="B152" s="10">
        <v>13.0</v>
      </c>
      <c r="C152" s="16"/>
      <c r="D152" s="17">
        <f t="shared" si="18"/>
        <v>0</v>
      </c>
      <c r="E152" s="7"/>
      <c r="F152" s="77"/>
      <c r="H152" s="7"/>
      <c r="I152" s="7"/>
      <c r="J152" s="7"/>
    </row>
    <row r="153" ht="12.75" customHeight="1">
      <c r="A153" s="15" t="s">
        <v>831</v>
      </c>
      <c r="B153" s="10">
        <v>140.0</v>
      </c>
      <c r="C153" s="16">
        <v>1.0</v>
      </c>
      <c r="D153" s="17">
        <f t="shared" si="18"/>
        <v>140</v>
      </c>
      <c r="E153" s="7"/>
      <c r="F153" s="77"/>
      <c r="H153" s="7"/>
      <c r="I153" s="7"/>
      <c r="J153" s="7"/>
    </row>
    <row r="154" ht="12.75" customHeight="1">
      <c r="A154" s="15" t="s">
        <v>831</v>
      </c>
      <c r="B154" s="10">
        <v>140.0</v>
      </c>
      <c r="C154" s="16"/>
      <c r="D154" s="17">
        <f t="shared" si="18"/>
        <v>0</v>
      </c>
      <c r="E154" s="7"/>
      <c r="F154" s="77"/>
      <c r="H154" s="7"/>
      <c r="I154" s="7"/>
      <c r="J154" s="7"/>
    </row>
    <row r="155" ht="12.75" customHeight="1">
      <c r="A155" s="83" t="s">
        <v>41</v>
      </c>
      <c r="B155" s="71"/>
      <c r="C155" s="67"/>
      <c r="E155" s="72"/>
      <c r="F155" s="72"/>
      <c r="G155" s="72"/>
      <c r="H155" s="72"/>
      <c r="I155" s="72"/>
      <c r="J155" s="72"/>
    </row>
    <row r="156" ht="12.75" customHeight="1">
      <c r="A156" s="44" t="s">
        <v>497</v>
      </c>
      <c r="B156" s="71">
        <f>SUM(D157:D159)</f>
        <v>200</v>
      </c>
      <c r="C156" s="16"/>
      <c r="J156" s="7"/>
    </row>
    <row r="157" ht="12.75" customHeight="1">
      <c r="A157" s="15" t="s">
        <v>586</v>
      </c>
      <c r="B157" s="10">
        <v>200.0</v>
      </c>
      <c r="C157" s="16">
        <v>1.0</v>
      </c>
      <c r="D157" s="17">
        <f>B157*C157</f>
        <v>200</v>
      </c>
      <c r="J157" s="7"/>
    </row>
    <row r="158" ht="12.75" customHeight="1">
      <c r="A158" s="44" t="s">
        <v>426</v>
      </c>
      <c r="B158" s="71">
        <f>SUM(D159:D167)</f>
        <v>0</v>
      </c>
      <c r="C158" s="16"/>
      <c r="E158" s="7"/>
      <c r="F158" s="77"/>
      <c r="G158" s="7"/>
      <c r="H158" s="7"/>
      <c r="I158" s="7"/>
      <c r="J158" s="7" t="s">
        <v>429</v>
      </c>
    </row>
    <row r="159" ht="12.75" customHeight="1">
      <c r="A159" s="44" t="s">
        <v>454</v>
      </c>
      <c r="B159" s="71">
        <f>SUM(D160:D167)</f>
        <v>0</v>
      </c>
    </row>
    <row r="160" ht="12.75" customHeight="1">
      <c r="A160" s="82"/>
      <c r="B160" s="10"/>
      <c r="C160" s="74"/>
      <c r="D160" s="75"/>
      <c r="E160" s="76"/>
      <c r="F160" s="77"/>
      <c r="G160" s="74"/>
      <c r="H160" s="74"/>
      <c r="I160" s="7"/>
      <c r="J160" s="7"/>
    </row>
    <row r="161" ht="12.75" customHeight="1">
      <c r="A161" s="73"/>
      <c r="B161" s="10"/>
      <c r="C161" s="74"/>
      <c r="D161" s="75"/>
      <c r="E161" s="76"/>
      <c r="F161" s="77"/>
      <c r="G161" s="74"/>
      <c r="H161" s="81"/>
      <c r="I161" s="77"/>
      <c r="J161" s="7"/>
    </row>
    <row r="162" ht="12.75" customHeight="1">
      <c r="A162" s="73"/>
      <c r="B162" s="10"/>
      <c r="C162" s="74"/>
      <c r="D162" s="75"/>
      <c r="E162" s="76"/>
      <c r="F162" s="77"/>
      <c r="G162" s="74"/>
      <c r="H162" s="81"/>
      <c r="I162" s="77"/>
      <c r="J162" s="7"/>
    </row>
    <row r="163" ht="12.75" customHeight="1">
      <c r="A163" s="15"/>
      <c r="B163" s="10"/>
      <c r="C163" s="16"/>
      <c r="D163" s="75"/>
      <c r="E163" s="7"/>
      <c r="F163" s="16"/>
      <c r="G163" s="16"/>
      <c r="H163" s="16"/>
      <c r="I163" s="16"/>
      <c r="J163" s="16"/>
    </row>
    <row r="164" ht="12.75" customHeight="1">
      <c r="A164" s="44"/>
      <c r="B164" s="10"/>
      <c r="C164" s="16"/>
      <c r="D164" s="75"/>
      <c r="E164" s="7"/>
      <c r="F164" s="16"/>
      <c r="G164" s="16"/>
      <c r="H164" s="16"/>
      <c r="I164" s="16"/>
      <c r="J164" s="16"/>
    </row>
    <row r="165" ht="12.75" customHeight="1">
      <c r="A165" s="44"/>
      <c r="C165" s="16"/>
      <c r="D165" s="75"/>
      <c r="E165" s="7"/>
      <c r="F165" s="16"/>
      <c r="G165" s="16"/>
      <c r="H165" s="16"/>
      <c r="I165" s="16"/>
      <c r="J165" s="16"/>
    </row>
    <row r="166" ht="12.75" customHeight="1">
      <c r="A166" s="44"/>
      <c r="B166" s="10"/>
      <c r="C166" s="16"/>
      <c r="D166" s="75"/>
      <c r="E166" s="7"/>
      <c r="F166" s="16"/>
      <c r="G166" s="16"/>
      <c r="H166" s="16"/>
      <c r="I166" s="16"/>
      <c r="J166" s="16"/>
    </row>
    <row r="167" ht="12.75" customHeight="1">
      <c r="A167" s="15"/>
      <c r="B167" s="10"/>
      <c r="C167" s="16"/>
      <c r="D167" s="17"/>
      <c r="E167" s="7"/>
      <c r="F167" s="7"/>
      <c r="G167" s="7"/>
      <c r="H167" s="7"/>
      <c r="I167" s="7"/>
      <c r="J167" s="7"/>
    </row>
    <row r="168" ht="12.75" customHeight="1">
      <c r="A168" s="15"/>
      <c r="B168" s="10"/>
      <c r="C168" s="16"/>
      <c r="D168" s="17"/>
      <c r="E168" s="7"/>
      <c r="F168" s="7"/>
      <c r="G168" s="7"/>
      <c r="H168" s="7"/>
      <c r="I168" s="7"/>
      <c r="J168" s="7"/>
    </row>
    <row r="169" ht="12.75" customHeight="1">
      <c r="A169" s="15"/>
      <c r="B169" s="10"/>
      <c r="C169" s="16"/>
      <c r="D169" s="17"/>
      <c r="E169" s="7"/>
      <c r="F169" s="7"/>
      <c r="G169" s="7"/>
      <c r="H169" s="7"/>
      <c r="I169" s="7"/>
      <c r="J169" s="7"/>
    </row>
    <row r="170" ht="12.75" customHeight="1">
      <c r="A170" s="15"/>
      <c r="C170" s="16"/>
      <c r="D170" s="17"/>
      <c r="E170" s="7"/>
      <c r="F170" s="77"/>
      <c r="H170" s="16"/>
      <c r="J170" s="7"/>
    </row>
    <row r="171" ht="12.75" customHeight="1">
      <c r="A171" s="15"/>
      <c r="B171" s="10"/>
      <c r="C171" s="16"/>
      <c r="D171" s="17"/>
      <c r="E171" s="7"/>
      <c r="F171" s="77"/>
      <c r="H171" s="7"/>
      <c r="I171" s="7"/>
      <c r="J171" s="7"/>
    </row>
    <row r="172" ht="12.75" customHeight="1">
      <c r="A172" s="15"/>
      <c r="B172" s="10"/>
      <c r="C172" s="16"/>
      <c r="D172" s="17"/>
      <c r="E172" s="7"/>
      <c r="F172" s="77"/>
      <c r="H172" s="7"/>
      <c r="I172" s="7"/>
      <c r="J172" s="7"/>
    </row>
    <row r="173" ht="12.75" customHeight="1">
      <c r="A173" s="15"/>
      <c r="B173" s="28"/>
      <c r="C173" s="7"/>
      <c r="D173" s="17"/>
      <c r="J173" s="7"/>
    </row>
    <row r="174" ht="12.75" customHeight="1">
      <c r="A174" s="15"/>
      <c r="B174" s="57"/>
      <c r="C174" s="16"/>
      <c r="D174" s="17"/>
    </row>
    <row r="175" ht="12.75" customHeight="1">
      <c r="A175" s="15"/>
      <c r="B175" s="10"/>
      <c r="C175" s="16"/>
      <c r="D175" s="75"/>
      <c r="J175" s="7"/>
    </row>
    <row r="176" ht="12.75" customHeight="1">
      <c r="A176" s="15"/>
      <c r="B176" s="28"/>
      <c r="C176" s="7"/>
      <c r="D176" s="17"/>
      <c r="J176" s="7"/>
    </row>
    <row r="177" ht="12.75" customHeight="1">
      <c r="A177" s="15"/>
      <c r="B177" s="10"/>
      <c r="C177" s="16"/>
      <c r="D177" s="17"/>
      <c r="E177" s="7"/>
      <c r="F177" s="7"/>
      <c r="G177" s="7"/>
      <c r="H177" s="7"/>
      <c r="I177" s="7"/>
      <c r="J177" s="7"/>
    </row>
    <row r="178" ht="12.75" customHeight="1">
      <c r="A178" s="73"/>
      <c r="B178" s="10"/>
      <c r="C178" s="74"/>
      <c r="D178" s="75"/>
      <c r="E178" s="76"/>
      <c r="F178" s="77"/>
      <c r="G178" s="74"/>
      <c r="H178" s="77"/>
      <c r="I178" s="74"/>
      <c r="J178" s="7"/>
    </row>
    <row r="179" ht="12.75" customHeight="1">
      <c r="A179" s="15"/>
      <c r="B179" s="10"/>
      <c r="C179" s="16"/>
      <c r="D179" s="17"/>
      <c r="E179" s="7"/>
      <c r="F179" s="7"/>
      <c r="G179" s="7"/>
      <c r="H179" s="7"/>
      <c r="I179" s="7"/>
      <c r="J179" s="7"/>
    </row>
    <row r="180" ht="12.75" customHeight="1">
      <c r="A180" s="15"/>
      <c r="B180" s="10"/>
      <c r="C180" s="16"/>
      <c r="D180" s="17"/>
      <c r="E180" s="22"/>
      <c r="F180" s="7"/>
      <c r="G180" s="7"/>
      <c r="H180" s="7"/>
      <c r="I180" s="7"/>
      <c r="J180" s="7"/>
    </row>
    <row r="181" ht="12.75" customHeight="1">
      <c r="A181" s="15"/>
      <c r="B181" s="28"/>
      <c r="C181" s="63" t="s">
        <v>3</v>
      </c>
      <c r="D181" s="64">
        <f>SUM(D7:D178)</f>
        <v>53243.89</v>
      </c>
      <c r="E181" s="7"/>
      <c r="F181" s="7"/>
      <c r="G181" s="7"/>
      <c r="H181" s="7"/>
      <c r="I181" s="7"/>
      <c r="J181" s="7"/>
    </row>
    <row r="182" ht="12.75" customHeight="1">
      <c r="A182" s="65"/>
      <c r="B182" s="28"/>
    </row>
    <row r="183" ht="12.75" customHeight="1">
      <c r="A183" s="65"/>
      <c r="B183" s="28"/>
    </row>
    <row r="184" ht="12.75" customHeight="1">
      <c r="A184" s="65"/>
      <c r="B184" s="28"/>
    </row>
    <row r="185" ht="12.75" customHeight="1">
      <c r="A185" s="65"/>
      <c r="B185" s="28"/>
    </row>
    <row r="186" ht="12.75" customHeight="1">
      <c r="A186" s="65"/>
      <c r="B186" s="28"/>
    </row>
    <row r="187" ht="12.75" customHeight="1">
      <c r="A187" s="65"/>
      <c r="B187" s="28"/>
    </row>
    <row r="188" ht="12.75" customHeight="1">
      <c r="A188" s="65"/>
      <c r="B188" s="28"/>
    </row>
    <row r="189" ht="12.75" customHeight="1">
      <c r="A189" s="65"/>
    </row>
    <row r="190" ht="12.75" customHeight="1">
      <c r="A190" s="65"/>
    </row>
    <row r="191" ht="12.75" customHeight="1">
      <c r="A191" s="65"/>
    </row>
    <row r="192" ht="12.75" customHeight="1">
      <c r="A192" s="65"/>
    </row>
    <row r="193" ht="12.75" customHeight="1">
      <c r="A193" s="65"/>
    </row>
    <row r="194" ht="12.75" customHeight="1">
      <c r="A194" s="65"/>
    </row>
    <row r="195" ht="12.75" customHeight="1">
      <c r="A195" s="65"/>
    </row>
    <row r="196" ht="12.75" customHeight="1">
      <c r="A196" s="65"/>
    </row>
    <row r="197" ht="12.75" customHeight="1">
      <c r="A197" s="65"/>
    </row>
    <row r="198" ht="12.75" customHeight="1">
      <c r="A198" s="65"/>
    </row>
    <row r="199" ht="12.75" customHeight="1">
      <c r="A199" s="65"/>
    </row>
    <row r="200" ht="12.75" customHeight="1">
      <c r="A200" s="65"/>
    </row>
    <row r="201" ht="12.75" customHeight="1">
      <c r="A201" s="65"/>
    </row>
    <row r="202" ht="12.75" customHeight="1">
      <c r="A202" s="65"/>
    </row>
    <row r="203" ht="12.75" customHeight="1">
      <c r="A203" s="65"/>
    </row>
    <row r="204" ht="12.75" customHeight="1">
      <c r="A204" s="65"/>
    </row>
    <row r="205" ht="12.75" customHeight="1">
      <c r="A205" s="65"/>
    </row>
    <row r="206" ht="12.75" customHeight="1">
      <c r="A206" s="65"/>
    </row>
    <row r="207" ht="12.75" customHeight="1">
      <c r="A207" s="65"/>
    </row>
    <row r="208" ht="12.75" customHeight="1">
      <c r="A208" s="65"/>
    </row>
    <row r="209" ht="12.75" customHeight="1">
      <c r="A209" s="65"/>
    </row>
    <row r="210" ht="12.75" customHeight="1">
      <c r="A210" s="65"/>
    </row>
    <row r="211" ht="12.75" customHeight="1">
      <c r="A211" s="65"/>
    </row>
    <row r="212" ht="12.75" customHeight="1">
      <c r="A212" s="65"/>
    </row>
    <row r="213" ht="12.75" customHeight="1">
      <c r="A213" s="65"/>
    </row>
    <row r="214" ht="12.75" customHeight="1">
      <c r="A214" s="65"/>
    </row>
    <row r="215" ht="12.75" customHeight="1">
      <c r="A215" s="65"/>
    </row>
    <row r="216" ht="12.75" customHeight="1">
      <c r="A216" s="65"/>
    </row>
    <row r="217" ht="12.75" customHeight="1">
      <c r="A217" s="65"/>
    </row>
    <row r="218" ht="12.75" customHeight="1">
      <c r="A218" s="65"/>
    </row>
    <row r="219" ht="12.75" customHeight="1">
      <c r="A219" s="65"/>
    </row>
    <row r="220" ht="12.75" customHeight="1">
      <c r="A220" s="65"/>
    </row>
    <row r="221" ht="12.75" customHeight="1">
      <c r="A221" s="65"/>
    </row>
    <row r="222" ht="12.75" customHeight="1">
      <c r="A222" s="65"/>
    </row>
    <row r="223" ht="12.75" customHeight="1">
      <c r="A223" s="65"/>
    </row>
    <row r="224" ht="12.75" customHeight="1">
      <c r="A224" s="65"/>
    </row>
    <row r="225" ht="12.75" customHeight="1">
      <c r="A225" s="65"/>
    </row>
    <row r="226" ht="12.75" customHeight="1">
      <c r="A226" s="65"/>
    </row>
    <row r="227" ht="12.75" customHeight="1">
      <c r="A227" s="65"/>
    </row>
    <row r="228" ht="12.75" customHeight="1">
      <c r="A228" s="65"/>
    </row>
    <row r="229" ht="12.75" customHeight="1">
      <c r="A229" s="65"/>
    </row>
    <row r="230" ht="12.75" customHeight="1">
      <c r="A230" s="65"/>
    </row>
    <row r="231" ht="12.75" customHeight="1">
      <c r="A231" s="65"/>
    </row>
    <row r="232" ht="12.75" customHeight="1">
      <c r="A232" s="65"/>
    </row>
    <row r="233" ht="12.75" customHeight="1">
      <c r="A233" s="65"/>
    </row>
    <row r="234" ht="12.75" customHeight="1">
      <c r="A234" s="65"/>
    </row>
    <row r="235" ht="12.75" customHeight="1">
      <c r="A235" s="65"/>
    </row>
    <row r="236" ht="12.75" customHeight="1">
      <c r="A236" s="65"/>
    </row>
    <row r="237" ht="12.75" customHeight="1">
      <c r="A237" s="65"/>
    </row>
    <row r="238" ht="12.75" customHeight="1">
      <c r="A238" s="65"/>
    </row>
    <row r="239" ht="12.75" customHeight="1">
      <c r="A239" s="65"/>
    </row>
    <row r="240" ht="12.75" customHeight="1">
      <c r="A240" s="65"/>
    </row>
    <row r="241" ht="12.75" customHeight="1">
      <c r="A241" s="65"/>
    </row>
    <row r="242" ht="12.75" customHeight="1">
      <c r="A242" s="65"/>
    </row>
    <row r="243" ht="12.75" customHeight="1">
      <c r="A243" s="65"/>
    </row>
    <row r="244" ht="12.75" customHeight="1">
      <c r="A244" s="65"/>
    </row>
    <row r="245" ht="12.75" customHeight="1">
      <c r="A245" s="65"/>
    </row>
    <row r="246" ht="12.75" customHeight="1">
      <c r="A246" s="65"/>
    </row>
    <row r="247" ht="12.75" customHeight="1">
      <c r="A247" s="65"/>
    </row>
    <row r="248" ht="12.75" customHeight="1">
      <c r="A248" s="65"/>
    </row>
    <row r="249" ht="12.75" customHeight="1">
      <c r="A249" s="65"/>
    </row>
    <row r="250" ht="12.75" customHeight="1">
      <c r="A250" s="65"/>
    </row>
    <row r="251" ht="12.75" customHeight="1">
      <c r="A251" s="65"/>
    </row>
    <row r="252" ht="12.75" customHeight="1">
      <c r="A252" s="65"/>
    </row>
    <row r="253" ht="12.75" customHeight="1">
      <c r="A253" s="65"/>
    </row>
    <row r="254" ht="12.75" customHeight="1">
      <c r="A254" s="65"/>
    </row>
    <row r="255" ht="12.75" customHeight="1">
      <c r="A255" s="65"/>
    </row>
    <row r="256" ht="12.75" customHeight="1">
      <c r="A256" s="65"/>
    </row>
    <row r="257" ht="12.75" customHeight="1">
      <c r="A257" s="65"/>
    </row>
    <row r="258" ht="12.75" customHeight="1">
      <c r="A258" s="65"/>
    </row>
    <row r="259" ht="12.75" customHeight="1">
      <c r="A259" s="65"/>
    </row>
    <row r="260" ht="12.75" customHeight="1">
      <c r="A260" s="65"/>
    </row>
    <row r="261" ht="12.75" customHeight="1">
      <c r="A261" s="65"/>
    </row>
    <row r="262" ht="12.75" customHeight="1">
      <c r="A262" s="65"/>
    </row>
    <row r="263" ht="12.75" customHeight="1">
      <c r="A263" s="65"/>
    </row>
    <row r="264" ht="12.75" customHeight="1">
      <c r="A264" s="65"/>
    </row>
    <row r="265" ht="12.75" customHeight="1">
      <c r="A265" s="65"/>
    </row>
    <row r="266" ht="12.75" customHeight="1">
      <c r="A266" s="65"/>
    </row>
    <row r="267" ht="12.75" customHeight="1">
      <c r="A267" s="65"/>
    </row>
    <row r="268" ht="12.75" customHeight="1">
      <c r="A268" s="65"/>
    </row>
    <row r="269" ht="12.75" customHeight="1">
      <c r="A269" s="65"/>
    </row>
    <row r="270" ht="12.75" customHeight="1">
      <c r="A270" s="65"/>
    </row>
    <row r="271" ht="12.75" customHeight="1">
      <c r="A271" s="65"/>
    </row>
    <row r="272" ht="12.75" customHeight="1">
      <c r="A272" s="65"/>
    </row>
    <row r="273" ht="12.75" customHeight="1">
      <c r="A273" s="65"/>
    </row>
    <row r="274" ht="12.75" customHeight="1">
      <c r="A274" s="65"/>
    </row>
    <row r="275" ht="12.75" customHeight="1">
      <c r="A275" s="65"/>
    </row>
    <row r="276" ht="12.75" customHeight="1">
      <c r="A276" s="65"/>
    </row>
    <row r="277" ht="12.75" customHeight="1">
      <c r="A277" s="65"/>
    </row>
    <row r="278" ht="12.75" customHeight="1">
      <c r="A278" s="65"/>
    </row>
    <row r="279" ht="12.75" customHeight="1">
      <c r="A279" s="65"/>
    </row>
    <row r="280" ht="12.75" customHeight="1">
      <c r="A280" s="65"/>
    </row>
    <row r="281" ht="12.75" customHeight="1">
      <c r="A281" s="65"/>
    </row>
    <row r="282" ht="12.75" customHeight="1">
      <c r="A282" s="65"/>
    </row>
    <row r="283" ht="12.75" customHeight="1">
      <c r="A283" s="65"/>
    </row>
    <row r="284" ht="12.75" customHeight="1">
      <c r="A284" s="65"/>
    </row>
    <row r="285" ht="12.75" customHeight="1">
      <c r="A285" s="65"/>
    </row>
    <row r="286" ht="12.75" customHeight="1">
      <c r="A286" s="65"/>
    </row>
    <row r="287" ht="12.75" customHeight="1">
      <c r="A287" s="65"/>
    </row>
    <row r="288" ht="12.75" customHeight="1">
      <c r="A288" s="65"/>
    </row>
    <row r="289" ht="12.75" customHeight="1">
      <c r="A289" s="65"/>
    </row>
    <row r="290" ht="12.75" customHeight="1">
      <c r="A290" s="65"/>
    </row>
    <row r="291" ht="12.75" customHeight="1">
      <c r="A291" s="65"/>
    </row>
    <row r="292" ht="12.75" customHeight="1">
      <c r="A292" s="65"/>
    </row>
    <row r="293" ht="12.75" customHeight="1">
      <c r="A293" s="65"/>
    </row>
    <row r="294" ht="12.75" customHeight="1">
      <c r="A294" s="65"/>
    </row>
    <row r="295" ht="12.75" customHeight="1">
      <c r="A295" s="65"/>
    </row>
    <row r="296" ht="12.75" customHeight="1">
      <c r="A296" s="65"/>
    </row>
    <row r="297" ht="12.75" customHeight="1">
      <c r="A297" s="65"/>
    </row>
    <row r="298" ht="12.75" customHeight="1">
      <c r="A298" s="65"/>
    </row>
    <row r="299" ht="12.75" customHeight="1">
      <c r="A299" s="65"/>
    </row>
    <row r="300" ht="12.75" customHeight="1">
      <c r="A300" s="65"/>
    </row>
    <row r="301" ht="12.75" customHeight="1">
      <c r="A301" s="65"/>
    </row>
    <row r="302" ht="12.75" customHeight="1">
      <c r="A302" s="65"/>
    </row>
    <row r="303" ht="12.75" customHeight="1">
      <c r="A303" s="65"/>
    </row>
    <row r="304" ht="12.75" customHeight="1">
      <c r="A304" s="65"/>
    </row>
    <row r="305" ht="12.75" customHeight="1">
      <c r="A305" s="65"/>
    </row>
    <row r="306" ht="12.75" customHeight="1">
      <c r="A306" s="65"/>
    </row>
    <row r="307" ht="12.75" customHeight="1">
      <c r="A307" s="65"/>
    </row>
    <row r="308" ht="12.75" customHeight="1">
      <c r="A308" s="65"/>
    </row>
    <row r="309" ht="12.75" customHeight="1">
      <c r="A309" s="65"/>
    </row>
    <row r="310" ht="12.75" customHeight="1">
      <c r="A310" s="65"/>
    </row>
    <row r="311" ht="12.75" customHeight="1">
      <c r="A311" s="65"/>
    </row>
    <row r="312" ht="12.75" customHeight="1">
      <c r="A312" s="65"/>
    </row>
    <row r="313" ht="12.75" customHeight="1">
      <c r="A313" s="65"/>
    </row>
    <row r="314" ht="12.75" customHeight="1">
      <c r="A314" s="65"/>
    </row>
    <row r="315" ht="12.75" customHeight="1">
      <c r="A315" s="65"/>
    </row>
    <row r="316" ht="12.75" customHeight="1">
      <c r="A316" s="65"/>
    </row>
    <row r="317" ht="12.75" customHeight="1">
      <c r="A317" s="65"/>
    </row>
    <row r="318" ht="12.75" customHeight="1">
      <c r="A318" s="65"/>
    </row>
    <row r="319" ht="12.75" customHeight="1">
      <c r="A319" s="65"/>
    </row>
    <row r="320" ht="12.75" customHeight="1">
      <c r="A320" s="65"/>
    </row>
    <row r="321" ht="12.75" customHeight="1">
      <c r="A321" s="65"/>
    </row>
    <row r="322" ht="12.75" customHeight="1">
      <c r="A322" s="65"/>
    </row>
    <row r="323" ht="12.75" customHeight="1">
      <c r="A323" s="65"/>
    </row>
    <row r="324" ht="12.75" customHeight="1">
      <c r="A324" s="65"/>
    </row>
    <row r="325" ht="12.75" customHeight="1">
      <c r="A325" s="65"/>
    </row>
    <row r="326" ht="12.75" customHeight="1">
      <c r="A326" s="65"/>
    </row>
    <row r="327" ht="12.75" customHeight="1">
      <c r="A327" s="65"/>
    </row>
    <row r="328" ht="12.75" customHeight="1">
      <c r="A328" s="65"/>
    </row>
    <row r="329" ht="12.75" customHeight="1">
      <c r="A329" s="65"/>
    </row>
    <row r="330" ht="12.75" customHeight="1">
      <c r="A330" s="65"/>
    </row>
    <row r="331" ht="12.75" customHeight="1">
      <c r="A331" s="65"/>
    </row>
    <row r="332" ht="12.75" customHeight="1">
      <c r="A332" s="65"/>
    </row>
    <row r="333" ht="12.75" customHeight="1">
      <c r="A333" s="65"/>
    </row>
    <row r="334" ht="12.75" customHeight="1">
      <c r="A334" s="65"/>
    </row>
    <row r="335" ht="12.75" customHeight="1">
      <c r="A335" s="65"/>
    </row>
    <row r="336" ht="12.75" customHeight="1">
      <c r="A336" s="65"/>
    </row>
    <row r="337" ht="12.75" customHeight="1">
      <c r="A337" s="65"/>
    </row>
    <row r="338" ht="12.75" customHeight="1">
      <c r="A338" s="65"/>
    </row>
    <row r="339" ht="12.75" customHeight="1">
      <c r="A339" s="65"/>
    </row>
    <row r="340" ht="12.75" customHeight="1">
      <c r="A340" s="65"/>
    </row>
    <row r="341" ht="12.75" customHeight="1">
      <c r="A341" s="65"/>
    </row>
    <row r="342" ht="12.75" customHeight="1">
      <c r="A342" s="65"/>
    </row>
    <row r="343" ht="12.75" customHeight="1">
      <c r="A343" s="65"/>
    </row>
    <row r="344" ht="12.75" customHeight="1">
      <c r="A344" s="65"/>
    </row>
    <row r="345" ht="12.75" customHeight="1">
      <c r="A345" s="65"/>
    </row>
    <row r="346" ht="12.75" customHeight="1">
      <c r="A346" s="65"/>
    </row>
    <row r="347" ht="12.75" customHeight="1">
      <c r="A347" s="65"/>
    </row>
    <row r="348" ht="12.75" customHeight="1">
      <c r="A348" s="65"/>
    </row>
    <row r="349" ht="12.75" customHeight="1">
      <c r="A349" s="65"/>
    </row>
    <row r="350" ht="12.75" customHeight="1">
      <c r="A350" s="65"/>
    </row>
    <row r="351" ht="12.75" customHeight="1">
      <c r="A351" s="65"/>
    </row>
    <row r="352" ht="12.75" customHeight="1">
      <c r="A352" s="65"/>
    </row>
    <row r="353" ht="12.75" customHeight="1">
      <c r="A353" s="65"/>
    </row>
    <row r="354" ht="12.75" customHeight="1">
      <c r="A354" s="65"/>
    </row>
    <row r="355" ht="12.75" customHeight="1">
      <c r="A355" s="65"/>
    </row>
    <row r="356" ht="12.75" customHeight="1">
      <c r="A356" s="65"/>
    </row>
    <row r="357" ht="12.75" customHeight="1">
      <c r="A357" s="65"/>
    </row>
    <row r="358" ht="12.75" customHeight="1">
      <c r="A358" s="65"/>
    </row>
    <row r="359" ht="12.75" customHeight="1">
      <c r="A359" s="65"/>
    </row>
    <row r="360" ht="12.75" customHeight="1">
      <c r="A360" s="65"/>
    </row>
    <row r="361" ht="12.75" customHeight="1">
      <c r="A361" s="65"/>
    </row>
    <row r="362" ht="12.75" customHeight="1">
      <c r="A362" s="65"/>
    </row>
    <row r="363" ht="12.75" customHeight="1">
      <c r="A363" s="65"/>
    </row>
    <row r="364" ht="12.75" customHeight="1">
      <c r="A364" s="65"/>
    </row>
    <row r="365" ht="12.75" customHeight="1">
      <c r="A365" s="65"/>
    </row>
    <row r="366" ht="12.75" customHeight="1">
      <c r="A366" s="65"/>
    </row>
    <row r="367" ht="12.75" customHeight="1">
      <c r="A367" s="65"/>
    </row>
    <row r="368" ht="12.75" customHeight="1">
      <c r="A368" s="65"/>
    </row>
    <row r="369" ht="12.75" customHeight="1">
      <c r="A369" s="65"/>
    </row>
    <row r="370" ht="12.75" customHeight="1">
      <c r="A370" s="65"/>
    </row>
    <row r="371" ht="12.75" customHeight="1">
      <c r="A371" s="65"/>
    </row>
    <row r="372" ht="12.75" customHeight="1">
      <c r="A372" s="65"/>
    </row>
    <row r="373" ht="12.75" customHeight="1">
      <c r="A373" s="65"/>
    </row>
    <row r="374" ht="12.75" customHeight="1">
      <c r="A374" s="65"/>
    </row>
    <row r="375" ht="12.75" customHeight="1">
      <c r="A375" s="65"/>
    </row>
    <row r="376" ht="12.75" customHeight="1">
      <c r="A376" s="65"/>
    </row>
    <row r="377" ht="12.75" customHeight="1">
      <c r="A377" s="65"/>
    </row>
    <row r="378" ht="12.75" customHeight="1">
      <c r="A378" s="65"/>
    </row>
    <row r="379" ht="12.75" customHeight="1">
      <c r="A379" s="65"/>
    </row>
    <row r="380" ht="12.75" customHeight="1">
      <c r="A380" s="65"/>
    </row>
    <row r="381" ht="12.75" customHeight="1">
      <c r="A381" s="65"/>
    </row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J61"/>
  </hyperlinks>
  <printOptions/>
  <pageMargins bottom="1.025" footer="0.0" header="0.0" left="0.7875" right="0.7875" top="1.025"/>
  <pageSetup orientation="portrait"/>
  <headerFooter>
    <oddHeader>&amp;C&amp;A</oddHeader>
    <oddFooter>&amp;CPage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3.29"/>
    <col customWidth="1" min="3" max="3" width="10.14"/>
    <col customWidth="1" min="4" max="4" width="9.86"/>
    <col customWidth="1" min="5" max="5" width="13.86"/>
    <col customWidth="1" min="6" max="6" width="17.29"/>
    <col customWidth="1" min="7" max="7" width="23.29"/>
    <col customWidth="1" min="8" max="26" width="8.71"/>
  </cols>
  <sheetData>
    <row r="1" ht="12.75" customHeight="1">
      <c r="A1" s="68" t="s">
        <v>0</v>
      </c>
      <c r="B1" s="69" t="s">
        <v>1</v>
      </c>
      <c r="C1" s="67" t="s">
        <v>2</v>
      </c>
      <c r="D1" s="71" t="s">
        <v>3</v>
      </c>
      <c r="E1" s="72" t="s">
        <v>4</v>
      </c>
      <c r="F1" s="72" t="s">
        <v>5</v>
      </c>
      <c r="G1" s="72" t="s">
        <v>6</v>
      </c>
    </row>
    <row r="2" ht="12.75" customHeight="1">
      <c r="A2" s="15" t="s">
        <v>96</v>
      </c>
      <c r="B2" s="85">
        <v>16.96</v>
      </c>
      <c r="C2" s="16">
        <v>4.0</v>
      </c>
      <c r="D2" s="11">
        <f t="shared" ref="D2:D70" si="1">C2*B2</f>
        <v>67.84</v>
      </c>
      <c r="E2" s="7" t="s">
        <v>728</v>
      </c>
      <c r="F2" s="16"/>
      <c r="G2" s="16"/>
    </row>
    <row r="3" ht="12.75" customHeight="1">
      <c r="A3" s="20" t="s">
        <v>206</v>
      </c>
      <c r="B3" s="10">
        <v>1.13</v>
      </c>
      <c r="C3" s="16">
        <v>1.0</v>
      </c>
      <c r="D3" s="11">
        <f t="shared" si="1"/>
        <v>1.13</v>
      </c>
      <c r="E3" s="7" t="s">
        <v>728</v>
      </c>
      <c r="F3" s="16"/>
      <c r="G3" s="16"/>
    </row>
    <row r="4" ht="12.75" customHeight="1">
      <c r="A4" s="15" t="s">
        <v>106</v>
      </c>
      <c r="B4" s="10"/>
      <c r="C4" s="16">
        <v>1.0</v>
      </c>
      <c r="D4" s="11">
        <f t="shared" si="1"/>
        <v>0</v>
      </c>
      <c r="E4" s="7" t="s">
        <v>728</v>
      </c>
      <c r="F4" s="16"/>
      <c r="G4" s="16"/>
    </row>
    <row r="5" ht="12.75" customHeight="1">
      <c r="A5" s="15" t="s">
        <v>104</v>
      </c>
      <c r="B5" s="10"/>
      <c r="C5" s="16">
        <v>4.0</v>
      </c>
      <c r="D5" s="11">
        <f t="shared" si="1"/>
        <v>0</v>
      </c>
      <c r="E5" s="7" t="s">
        <v>728</v>
      </c>
      <c r="F5" s="16"/>
      <c r="G5" s="16"/>
    </row>
    <row r="6" ht="12.75" customHeight="1">
      <c r="A6" s="7" t="s">
        <v>107</v>
      </c>
      <c r="B6" s="28"/>
      <c r="C6" s="16">
        <v>1.0</v>
      </c>
      <c r="D6" s="11">
        <f t="shared" si="1"/>
        <v>0</v>
      </c>
      <c r="E6" s="7" t="s">
        <v>728</v>
      </c>
      <c r="F6" s="16"/>
    </row>
    <row r="7" ht="12.75" customHeight="1">
      <c r="A7" s="29" t="s">
        <v>91</v>
      </c>
      <c r="B7" s="10">
        <v>1.59</v>
      </c>
      <c r="C7" s="74">
        <v>2.0</v>
      </c>
      <c r="D7" s="11">
        <f t="shared" si="1"/>
        <v>3.18</v>
      </c>
      <c r="E7" s="76" t="s">
        <v>728</v>
      </c>
      <c r="F7" s="77"/>
      <c r="G7" s="74"/>
    </row>
    <row r="8" ht="12.75" customHeight="1">
      <c r="A8" s="7" t="s">
        <v>197</v>
      </c>
      <c r="B8" s="28">
        <v>1.54</v>
      </c>
      <c r="C8" s="16">
        <v>2.0</v>
      </c>
      <c r="D8" s="11">
        <f t="shared" si="1"/>
        <v>3.08</v>
      </c>
      <c r="E8" s="20" t="s">
        <v>728</v>
      </c>
      <c r="F8" s="16"/>
    </row>
    <row r="9" ht="12.75" customHeight="1">
      <c r="A9" s="7" t="s">
        <v>82</v>
      </c>
      <c r="B9" s="28">
        <v>1.54</v>
      </c>
      <c r="C9" s="16">
        <v>2.0</v>
      </c>
      <c r="D9" s="11">
        <f t="shared" si="1"/>
        <v>3.08</v>
      </c>
      <c r="E9" s="20" t="s">
        <v>728</v>
      </c>
      <c r="F9" s="16"/>
    </row>
    <row r="10" ht="12.75" customHeight="1">
      <c r="A10" s="15" t="s">
        <v>105</v>
      </c>
      <c r="B10" s="10">
        <v>1.32</v>
      </c>
      <c r="C10" s="16">
        <v>6.0</v>
      </c>
      <c r="D10" s="11">
        <f t="shared" si="1"/>
        <v>7.92</v>
      </c>
      <c r="E10" s="7" t="s">
        <v>728</v>
      </c>
      <c r="F10" s="16"/>
      <c r="G10" s="16"/>
    </row>
    <row r="11" ht="12.75" customHeight="1">
      <c r="A11" s="15" t="s">
        <v>69</v>
      </c>
      <c r="B11" s="10">
        <v>1.29</v>
      </c>
      <c r="C11" s="16">
        <v>4.0</v>
      </c>
      <c r="D11" s="11">
        <f t="shared" si="1"/>
        <v>5.16</v>
      </c>
      <c r="E11" s="7" t="s">
        <v>728</v>
      </c>
      <c r="F11" s="16"/>
      <c r="G11" s="16"/>
    </row>
    <row r="12" ht="12.75" customHeight="1">
      <c r="A12" s="15" t="s">
        <v>52</v>
      </c>
      <c r="B12" s="10">
        <v>2.03</v>
      </c>
      <c r="C12" s="16">
        <v>4.0</v>
      </c>
      <c r="D12" s="11">
        <f t="shared" si="1"/>
        <v>8.12</v>
      </c>
      <c r="E12" s="7" t="s">
        <v>728</v>
      </c>
      <c r="F12" s="16"/>
      <c r="G12" s="16"/>
    </row>
    <row r="13" ht="12.75" customHeight="1">
      <c r="A13" s="15" t="s">
        <v>103</v>
      </c>
      <c r="B13" s="10"/>
      <c r="C13" s="16">
        <v>3.0</v>
      </c>
      <c r="D13" s="11">
        <f t="shared" si="1"/>
        <v>0</v>
      </c>
      <c r="E13" s="7" t="s">
        <v>728</v>
      </c>
      <c r="F13" s="16"/>
      <c r="G13" s="16"/>
    </row>
    <row r="14" ht="12.75" customHeight="1">
      <c r="A14" s="15" t="s">
        <v>51</v>
      </c>
      <c r="B14" s="10"/>
      <c r="C14" s="16">
        <v>1.0</v>
      </c>
      <c r="D14" s="11">
        <f t="shared" si="1"/>
        <v>0</v>
      </c>
      <c r="E14" s="7" t="s">
        <v>728</v>
      </c>
      <c r="F14" s="16"/>
      <c r="G14" s="16"/>
    </row>
    <row r="15" ht="12.75" customHeight="1">
      <c r="A15" s="20" t="s">
        <v>380</v>
      </c>
      <c r="B15" s="10">
        <v>1.58</v>
      </c>
      <c r="C15" s="16">
        <v>1.0</v>
      </c>
      <c r="D15" s="11">
        <f t="shared" si="1"/>
        <v>1.58</v>
      </c>
      <c r="E15" s="20" t="s">
        <v>728</v>
      </c>
      <c r="F15" s="16"/>
    </row>
    <row r="16" ht="12.75" customHeight="1">
      <c r="A16" s="15" t="s">
        <v>832</v>
      </c>
      <c r="B16" s="10"/>
      <c r="C16" s="16">
        <v>1.0</v>
      </c>
      <c r="D16" s="11">
        <f t="shared" si="1"/>
        <v>0</v>
      </c>
      <c r="E16" s="7" t="s">
        <v>833</v>
      </c>
      <c r="F16" s="16" t="s">
        <v>834</v>
      </c>
      <c r="G16" s="16"/>
    </row>
    <row r="17" ht="12.75" customHeight="1">
      <c r="A17" s="15" t="s">
        <v>98</v>
      </c>
      <c r="B17" s="85">
        <v>1.43</v>
      </c>
      <c r="C17" s="16">
        <v>4.0</v>
      </c>
      <c r="D17" s="11">
        <f t="shared" si="1"/>
        <v>5.72</v>
      </c>
      <c r="E17" s="7" t="s">
        <v>728</v>
      </c>
      <c r="F17" s="16"/>
      <c r="G17" s="16"/>
    </row>
    <row r="18" ht="12.75" customHeight="1">
      <c r="A18" s="15" t="s">
        <v>67</v>
      </c>
      <c r="B18" s="85">
        <v>1.51</v>
      </c>
      <c r="C18" s="16">
        <v>4.0</v>
      </c>
      <c r="D18" s="11">
        <f t="shared" si="1"/>
        <v>6.04</v>
      </c>
      <c r="E18" s="7" t="s">
        <v>728</v>
      </c>
      <c r="F18" s="16"/>
      <c r="G18" s="16"/>
    </row>
    <row r="19" ht="12.75" customHeight="1">
      <c r="A19" s="15" t="s">
        <v>100</v>
      </c>
      <c r="B19" s="10"/>
      <c r="C19" s="16">
        <v>1.0</v>
      </c>
      <c r="D19" s="11">
        <f t="shared" si="1"/>
        <v>0</v>
      </c>
      <c r="E19" s="7" t="s">
        <v>835</v>
      </c>
      <c r="F19" s="16"/>
      <c r="G19" s="16"/>
    </row>
    <row r="20" ht="12.75" customHeight="1">
      <c r="A20" s="15" t="s">
        <v>99</v>
      </c>
      <c r="B20" s="10"/>
      <c r="C20" s="16">
        <v>1.0</v>
      </c>
      <c r="D20" s="11">
        <f t="shared" si="1"/>
        <v>0</v>
      </c>
      <c r="E20" s="7" t="s">
        <v>728</v>
      </c>
      <c r="F20" s="16"/>
      <c r="G20" s="16"/>
    </row>
    <row r="21" ht="12.75" customHeight="1">
      <c r="A21" s="20" t="s">
        <v>836</v>
      </c>
      <c r="B21" s="10">
        <v>2.66</v>
      </c>
      <c r="C21" s="16">
        <v>2.0</v>
      </c>
      <c r="D21" s="11">
        <f t="shared" si="1"/>
        <v>5.32</v>
      </c>
      <c r="E21" s="7" t="s">
        <v>837</v>
      </c>
      <c r="F21" s="16" t="s">
        <v>838</v>
      </c>
    </row>
    <row r="22" ht="12.75" customHeight="1">
      <c r="A22" s="15" t="s">
        <v>55</v>
      </c>
      <c r="B22" s="10"/>
      <c r="C22" s="16">
        <v>1.0</v>
      </c>
      <c r="D22" s="11">
        <f t="shared" si="1"/>
        <v>0</v>
      </c>
      <c r="E22" s="7" t="s">
        <v>835</v>
      </c>
      <c r="F22" s="16"/>
      <c r="G22" s="16"/>
    </row>
    <row r="23" ht="12.75" customHeight="1">
      <c r="A23" s="15" t="s">
        <v>839</v>
      </c>
      <c r="B23" s="10"/>
      <c r="C23" s="16">
        <v>1.0</v>
      </c>
      <c r="D23" s="11">
        <f t="shared" si="1"/>
        <v>0</v>
      </c>
      <c r="E23" s="7" t="s">
        <v>728</v>
      </c>
      <c r="F23" s="16"/>
      <c r="G23" s="16"/>
    </row>
    <row r="24" ht="12.75" customHeight="1">
      <c r="A24" s="15" t="s">
        <v>81</v>
      </c>
      <c r="B24" s="10"/>
      <c r="C24" s="16">
        <v>1.0</v>
      </c>
      <c r="D24" s="11">
        <f t="shared" si="1"/>
        <v>0</v>
      </c>
      <c r="E24" s="7" t="s">
        <v>728</v>
      </c>
      <c r="F24" s="16"/>
      <c r="G24" s="16"/>
    </row>
    <row r="25" ht="12.75" customHeight="1">
      <c r="A25" s="15" t="s">
        <v>101</v>
      </c>
      <c r="B25" s="10">
        <v>2.39</v>
      </c>
      <c r="C25" s="16">
        <v>4.0</v>
      </c>
      <c r="D25" s="11">
        <f t="shared" si="1"/>
        <v>9.56</v>
      </c>
      <c r="E25" s="7" t="s">
        <v>728</v>
      </c>
      <c r="F25" s="16"/>
      <c r="G25" s="16"/>
    </row>
    <row r="26" ht="12.75" customHeight="1">
      <c r="A26" s="15" t="s">
        <v>840</v>
      </c>
      <c r="B26" s="10"/>
      <c r="C26" s="16">
        <v>1.0</v>
      </c>
      <c r="D26" s="11">
        <f t="shared" si="1"/>
        <v>0</v>
      </c>
      <c r="E26" s="7" t="s">
        <v>728</v>
      </c>
      <c r="F26" s="16"/>
      <c r="G26" s="16"/>
    </row>
    <row r="27" ht="12.75" customHeight="1">
      <c r="A27" s="15" t="s">
        <v>66</v>
      </c>
      <c r="B27" s="10"/>
      <c r="C27" s="16">
        <v>1.0</v>
      </c>
      <c r="D27" s="11">
        <f t="shared" si="1"/>
        <v>0</v>
      </c>
      <c r="E27" s="7" t="s">
        <v>835</v>
      </c>
      <c r="F27" s="16"/>
      <c r="G27" s="16"/>
    </row>
    <row r="28" ht="12.75" customHeight="1">
      <c r="A28" s="7" t="s">
        <v>205</v>
      </c>
      <c r="B28" s="10"/>
      <c r="C28" s="16">
        <v>1.0</v>
      </c>
      <c r="D28" s="11">
        <f t="shared" si="1"/>
        <v>0</v>
      </c>
      <c r="E28" s="7" t="s">
        <v>728</v>
      </c>
      <c r="F28" s="16"/>
      <c r="G28" s="16"/>
    </row>
    <row r="29" ht="12.75" customHeight="1">
      <c r="A29" s="15" t="s">
        <v>494</v>
      </c>
      <c r="B29" s="28">
        <v>8.09</v>
      </c>
      <c r="C29" s="16">
        <v>1.0</v>
      </c>
      <c r="D29" s="11">
        <f t="shared" si="1"/>
        <v>8.09</v>
      </c>
      <c r="E29" s="7" t="s">
        <v>841</v>
      </c>
      <c r="F29" s="16"/>
    </row>
    <row r="30" ht="12.75" customHeight="1">
      <c r="A30" s="15" t="s">
        <v>97</v>
      </c>
      <c r="B30" s="85"/>
      <c r="C30" s="16">
        <v>4.0</v>
      </c>
      <c r="D30" s="11">
        <f t="shared" si="1"/>
        <v>0</v>
      </c>
      <c r="E30" s="7" t="s">
        <v>728</v>
      </c>
      <c r="F30" s="16"/>
      <c r="G30" s="16"/>
    </row>
    <row r="31" ht="12.75" customHeight="1">
      <c r="A31" s="15" t="s">
        <v>65</v>
      </c>
      <c r="B31" s="10"/>
      <c r="C31" s="16">
        <v>2.0</v>
      </c>
      <c r="D31" s="11">
        <f t="shared" si="1"/>
        <v>0</v>
      </c>
      <c r="E31" s="7" t="s">
        <v>841</v>
      </c>
      <c r="F31" s="16"/>
      <c r="G31" s="16"/>
    </row>
    <row r="32" ht="12.75" customHeight="1">
      <c r="A32" s="15" t="s">
        <v>842</v>
      </c>
      <c r="B32" s="10"/>
      <c r="C32" s="16">
        <v>1.0</v>
      </c>
      <c r="D32" s="11">
        <f t="shared" si="1"/>
        <v>0</v>
      </c>
      <c r="E32" s="7"/>
      <c r="F32" s="16"/>
      <c r="G32" s="16"/>
    </row>
    <row r="33" ht="12.75" customHeight="1">
      <c r="A33" s="15" t="s">
        <v>843</v>
      </c>
      <c r="B33" s="10">
        <v>11.89</v>
      </c>
      <c r="C33" s="16">
        <v>2.0</v>
      </c>
      <c r="D33" s="11">
        <f t="shared" si="1"/>
        <v>23.78</v>
      </c>
      <c r="E33" s="22"/>
      <c r="F33" s="16" t="s">
        <v>161</v>
      </c>
      <c r="G33" s="16" t="s">
        <v>790</v>
      </c>
    </row>
    <row r="34" ht="12.75" customHeight="1">
      <c r="A34" s="15" t="s">
        <v>272</v>
      </c>
      <c r="B34" s="10">
        <v>7.6</v>
      </c>
      <c r="C34" s="16">
        <v>4.0</v>
      </c>
      <c r="D34" s="11">
        <f t="shared" si="1"/>
        <v>30.4</v>
      </c>
      <c r="E34" s="22"/>
      <c r="F34" s="16" t="s">
        <v>161</v>
      </c>
      <c r="G34" s="16" t="s">
        <v>792</v>
      </c>
    </row>
    <row r="35" ht="12.75" customHeight="1">
      <c r="A35" s="15" t="s">
        <v>271</v>
      </c>
      <c r="B35" s="10">
        <v>7.79</v>
      </c>
      <c r="C35" s="16">
        <v>4.0</v>
      </c>
      <c r="D35" s="11">
        <f t="shared" si="1"/>
        <v>31.16</v>
      </c>
      <c r="E35" s="22"/>
      <c r="F35" s="16" t="s">
        <v>161</v>
      </c>
      <c r="G35" s="16" t="s">
        <v>794</v>
      </c>
    </row>
    <row r="36" ht="12.75" customHeight="1">
      <c r="A36" s="7" t="s">
        <v>204</v>
      </c>
      <c r="B36" s="28">
        <v>10.89</v>
      </c>
      <c r="C36" s="16">
        <v>2.0</v>
      </c>
      <c r="D36" s="11">
        <f t="shared" si="1"/>
        <v>21.78</v>
      </c>
      <c r="F36" s="16" t="s">
        <v>161</v>
      </c>
    </row>
    <row r="37" ht="12.75" customHeight="1">
      <c r="A37" s="7" t="s">
        <v>844</v>
      </c>
      <c r="B37" s="28">
        <v>16.82</v>
      </c>
      <c r="C37" s="16">
        <v>1.0</v>
      </c>
      <c r="D37" s="11">
        <f t="shared" si="1"/>
        <v>16.82</v>
      </c>
      <c r="F37" s="16" t="s">
        <v>161</v>
      </c>
    </row>
    <row r="38" ht="12.75" customHeight="1">
      <c r="A38" s="7" t="s">
        <v>202</v>
      </c>
      <c r="B38" s="28">
        <v>32.57</v>
      </c>
      <c r="C38" s="16">
        <v>5.0</v>
      </c>
      <c r="D38" s="11">
        <f t="shared" si="1"/>
        <v>162.85</v>
      </c>
      <c r="F38" s="16" t="s">
        <v>161</v>
      </c>
    </row>
    <row r="39" ht="12.75" customHeight="1">
      <c r="A39" s="7" t="s">
        <v>845</v>
      </c>
      <c r="B39" s="28">
        <v>30.14</v>
      </c>
      <c r="C39" s="16">
        <v>2.0</v>
      </c>
      <c r="D39" s="11">
        <f t="shared" si="1"/>
        <v>60.28</v>
      </c>
      <c r="F39" s="16" t="s">
        <v>161</v>
      </c>
    </row>
    <row r="40" ht="12.75" customHeight="1">
      <c r="A40" s="7" t="s">
        <v>846</v>
      </c>
      <c r="B40" s="28">
        <v>44.68</v>
      </c>
      <c r="C40" s="16">
        <v>1.0</v>
      </c>
      <c r="D40" s="11">
        <f t="shared" si="1"/>
        <v>44.68</v>
      </c>
      <c r="F40" s="16" t="s">
        <v>161</v>
      </c>
    </row>
    <row r="41" ht="12.75" customHeight="1">
      <c r="A41" s="7" t="s">
        <v>195</v>
      </c>
      <c r="B41" s="10">
        <v>41.18</v>
      </c>
      <c r="C41" s="16">
        <v>4.0</v>
      </c>
      <c r="D41" s="11">
        <f t="shared" si="1"/>
        <v>164.72</v>
      </c>
      <c r="F41" s="16" t="s">
        <v>161</v>
      </c>
    </row>
    <row r="42" ht="12.75" customHeight="1">
      <c r="A42" s="7" t="s">
        <v>847</v>
      </c>
      <c r="B42" s="10">
        <v>66.26</v>
      </c>
      <c r="C42" s="16">
        <v>1.0</v>
      </c>
      <c r="D42" s="11">
        <f t="shared" si="1"/>
        <v>66.26</v>
      </c>
      <c r="F42" s="16" t="s">
        <v>237</v>
      </c>
    </row>
    <row r="43" ht="12.75" customHeight="1">
      <c r="A43" s="15" t="s">
        <v>273</v>
      </c>
      <c r="B43" s="10">
        <v>26.9</v>
      </c>
      <c r="C43" s="16">
        <v>4.0</v>
      </c>
      <c r="D43" s="11">
        <f t="shared" si="1"/>
        <v>107.6</v>
      </c>
      <c r="E43" s="22"/>
      <c r="F43" s="16" t="s">
        <v>161</v>
      </c>
    </row>
    <row r="44" ht="12.75" customHeight="1">
      <c r="A44" s="7" t="s">
        <v>168</v>
      </c>
      <c r="B44" s="28">
        <v>9.38</v>
      </c>
      <c r="C44" s="16">
        <v>2.0</v>
      </c>
      <c r="D44" s="11">
        <f t="shared" si="1"/>
        <v>18.76</v>
      </c>
      <c r="F44" s="16" t="s">
        <v>161</v>
      </c>
    </row>
    <row r="45" ht="12.75" customHeight="1">
      <c r="A45" s="7" t="s">
        <v>167</v>
      </c>
      <c r="B45" s="28">
        <v>17.53</v>
      </c>
      <c r="C45" s="16">
        <v>1.0</v>
      </c>
      <c r="D45" s="11">
        <f t="shared" si="1"/>
        <v>17.53</v>
      </c>
      <c r="F45" s="16" t="s">
        <v>161</v>
      </c>
    </row>
    <row r="46" ht="12.75" customHeight="1">
      <c r="A46" s="7" t="s">
        <v>192</v>
      </c>
      <c r="B46" s="28">
        <v>28.36</v>
      </c>
      <c r="C46" s="16">
        <v>5.0</v>
      </c>
      <c r="D46" s="11">
        <f t="shared" si="1"/>
        <v>141.8</v>
      </c>
      <c r="F46" s="16" t="s">
        <v>161</v>
      </c>
    </row>
    <row r="47" ht="12.75" customHeight="1">
      <c r="A47" s="7" t="s">
        <v>166</v>
      </c>
      <c r="B47" s="28">
        <v>28.36</v>
      </c>
      <c r="C47" s="16">
        <v>1.0</v>
      </c>
      <c r="D47" s="11">
        <f t="shared" si="1"/>
        <v>28.36</v>
      </c>
      <c r="F47" s="16" t="s">
        <v>161</v>
      </c>
    </row>
    <row r="48" ht="12.75" customHeight="1">
      <c r="A48" s="7" t="s">
        <v>165</v>
      </c>
      <c r="B48" s="28">
        <v>25.92</v>
      </c>
      <c r="C48" s="16">
        <v>2.0</v>
      </c>
      <c r="D48" s="11">
        <f t="shared" si="1"/>
        <v>51.84</v>
      </c>
      <c r="F48" s="16" t="s">
        <v>161</v>
      </c>
    </row>
    <row r="49" ht="12.75" customHeight="1">
      <c r="A49" s="7" t="s">
        <v>164</v>
      </c>
      <c r="B49" s="28">
        <v>44.18</v>
      </c>
      <c r="C49" s="16">
        <v>2.0</v>
      </c>
      <c r="D49" s="11">
        <f t="shared" si="1"/>
        <v>88.36</v>
      </c>
      <c r="F49" s="16" t="s">
        <v>161</v>
      </c>
    </row>
    <row r="50" ht="12.75" customHeight="1">
      <c r="A50" s="7" t="s">
        <v>484</v>
      </c>
      <c r="B50" s="28">
        <v>51.56</v>
      </c>
      <c r="C50" s="16">
        <v>2.0</v>
      </c>
      <c r="D50" s="11">
        <f t="shared" si="1"/>
        <v>103.12</v>
      </c>
      <c r="F50" s="16" t="s">
        <v>237</v>
      </c>
    </row>
    <row r="51" ht="12.75" customHeight="1">
      <c r="A51" s="7" t="s">
        <v>171</v>
      </c>
      <c r="B51" s="28">
        <v>11.29</v>
      </c>
      <c r="C51" s="16">
        <v>4.0</v>
      </c>
      <c r="D51" s="11">
        <f t="shared" si="1"/>
        <v>45.16</v>
      </c>
      <c r="F51" s="16" t="s">
        <v>161</v>
      </c>
    </row>
    <row r="52" ht="12.75" customHeight="1">
      <c r="A52" s="7" t="s">
        <v>170</v>
      </c>
      <c r="B52" s="28">
        <v>20.91</v>
      </c>
      <c r="C52" s="16">
        <v>6.0</v>
      </c>
      <c r="D52" s="11">
        <f t="shared" si="1"/>
        <v>125.46</v>
      </c>
      <c r="F52" s="16" t="s">
        <v>161</v>
      </c>
    </row>
    <row r="53" ht="12.75" customHeight="1">
      <c r="A53" s="15" t="s">
        <v>179</v>
      </c>
      <c r="B53" s="28">
        <v>18.98</v>
      </c>
      <c r="C53" s="16">
        <v>2.0</v>
      </c>
      <c r="D53" s="11">
        <f t="shared" si="1"/>
        <v>37.96</v>
      </c>
      <c r="F53" s="16" t="s">
        <v>237</v>
      </c>
    </row>
    <row r="54" ht="12.75" customHeight="1">
      <c r="A54" s="15" t="s">
        <v>374</v>
      </c>
      <c r="B54" s="10">
        <v>31.12</v>
      </c>
      <c r="C54" s="16">
        <v>7.0</v>
      </c>
      <c r="D54" s="11">
        <f t="shared" si="1"/>
        <v>217.84</v>
      </c>
      <c r="E54" s="7"/>
      <c r="F54" s="16" t="s">
        <v>237</v>
      </c>
      <c r="G54" s="16" t="s">
        <v>375</v>
      </c>
    </row>
    <row r="55" ht="12.75" customHeight="1">
      <c r="A55" s="20" t="s">
        <v>373</v>
      </c>
      <c r="B55" s="10">
        <v>32.62</v>
      </c>
      <c r="C55" s="16">
        <v>1.0</v>
      </c>
      <c r="D55" s="11">
        <f t="shared" si="1"/>
        <v>32.62</v>
      </c>
      <c r="F55" s="16" t="s">
        <v>237</v>
      </c>
    </row>
    <row r="56" ht="12.75" customHeight="1">
      <c r="A56" s="15" t="s">
        <v>506</v>
      </c>
      <c r="B56" s="28">
        <v>39.27</v>
      </c>
      <c r="C56" s="16">
        <v>2.0</v>
      </c>
      <c r="D56" s="11">
        <f t="shared" si="1"/>
        <v>78.54</v>
      </c>
      <c r="F56" s="16" t="s">
        <v>237</v>
      </c>
    </row>
    <row r="57" ht="12.75" customHeight="1">
      <c r="A57" s="7" t="s">
        <v>485</v>
      </c>
      <c r="B57" s="28">
        <v>127.65</v>
      </c>
      <c r="C57" s="16">
        <v>4.0</v>
      </c>
      <c r="D57" s="11">
        <f t="shared" si="1"/>
        <v>510.6</v>
      </c>
      <c r="F57" s="16" t="s">
        <v>237</v>
      </c>
    </row>
    <row r="58" ht="12.75" customHeight="1">
      <c r="A58" s="7" t="s">
        <v>159</v>
      </c>
      <c r="B58" s="28">
        <v>77.75</v>
      </c>
      <c r="C58" s="16">
        <v>2.0</v>
      </c>
      <c r="D58" s="11">
        <f t="shared" si="1"/>
        <v>155.5</v>
      </c>
      <c r="F58" s="16" t="s">
        <v>161</v>
      </c>
    </row>
    <row r="59" ht="12.75" customHeight="1">
      <c r="A59" s="7" t="s">
        <v>163</v>
      </c>
      <c r="B59" s="28">
        <v>82.98</v>
      </c>
      <c r="C59" s="16">
        <v>1.0</v>
      </c>
      <c r="D59" s="11">
        <f t="shared" si="1"/>
        <v>82.98</v>
      </c>
      <c r="F59" s="16" t="s">
        <v>161</v>
      </c>
    </row>
    <row r="60" ht="12.75" customHeight="1">
      <c r="A60" s="20" t="s">
        <v>199</v>
      </c>
      <c r="B60" s="85">
        <v>116.02</v>
      </c>
      <c r="C60" s="16">
        <v>1.0</v>
      </c>
      <c r="D60" s="11">
        <f t="shared" si="1"/>
        <v>116.02</v>
      </c>
      <c r="E60" s="7"/>
      <c r="F60" s="16"/>
      <c r="G60" s="16"/>
    </row>
    <row r="61" ht="12.75" customHeight="1">
      <c r="A61" s="15" t="s">
        <v>486</v>
      </c>
      <c r="B61" s="28">
        <v>190.61</v>
      </c>
      <c r="C61" s="16">
        <v>1.0</v>
      </c>
      <c r="D61" s="11">
        <f t="shared" si="1"/>
        <v>190.61</v>
      </c>
      <c r="F61" s="16" t="s">
        <v>237</v>
      </c>
    </row>
    <row r="62" ht="12.75" customHeight="1">
      <c r="A62" s="7" t="s">
        <v>504</v>
      </c>
      <c r="B62" s="28">
        <v>77.22</v>
      </c>
      <c r="C62" s="16">
        <v>2.0</v>
      </c>
      <c r="D62" s="11">
        <f t="shared" si="1"/>
        <v>154.44</v>
      </c>
      <c r="F62" s="16" t="s">
        <v>128</v>
      </c>
    </row>
    <row r="63" ht="12.75" customHeight="1">
      <c r="A63" s="7" t="s">
        <v>158</v>
      </c>
      <c r="B63" s="28">
        <v>100.82</v>
      </c>
      <c r="C63" s="16">
        <v>1.0</v>
      </c>
      <c r="D63" s="11">
        <f t="shared" si="1"/>
        <v>100.82</v>
      </c>
      <c r="F63" s="16" t="s">
        <v>128</v>
      </c>
    </row>
    <row r="64" ht="12.75" customHeight="1">
      <c r="A64" s="7" t="s">
        <v>157</v>
      </c>
      <c r="B64" s="28">
        <v>134.81</v>
      </c>
      <c r="C64" s="16">
        <v>4.0</v>
      </c>
      <c r="D64" s="11">
        <f t="shared" si="1"/>
        <v>539.24</v>
      </c>
      <c r="F64" s="16" t="s">
        <v>128</v>
      </c>
    </row>
    <row r="65" ht="12.75" customHeight="1">
      <c r="A65" s="7" t="s">
        <v>473</v>
      </c>
      <c r="B65" s="28">
        <v>103.48</v>
      </c>
      <c r="C65" s="16">
        <v>2.0</v>
      </c>
      <c r="D65" s="11">
        <f t="shared" si="1"/>
        <v>206.96</v>
      </c>
      <c r="F65" s="16" t="s">
        <v>237</v>
      </c>
      <c r="G65" s="16" t="s">
        <v>801</v>
      </c>
    </row>
    <row r="66" ht="12.75" customHeight="1">
      <c r="A66" s="15" t="s">
        <v>274</v>
      </c>
      <c r="B66" s="10">
        <v>26.63</v>
      </c>
      <c r="C66" s="16">
        <v>4.0</v>
      </c>
      <c r="D66" s="11">
        <f t="shared" si="1"/>
        <v>106.52</v>
      </c>
      <c r="E66" s="22"/>
      <c r="F66" s="16" t="s">
        <v>161</v>
      </c>
      <c r="G66" s="16" t="s">
        <v>804</v>
      </c>
    </row>
    <row r="67" ht="12.75" customHeight="1">
      <c r="A67" s="15" t="s">
        <v>275</v>
      </c>
      <c r="B67" s="10">
        <v>33.04</v>
      </c>
      <c r="C67" s="16">
        <v>2.0</v>
      </c>
      <c r="D67" s="11">
        <f t="shared" si="1"/>
        <v>66.08</v>
      </c>
      <c r="E67" s="22"/>
      <c r="F67" s="16" t="s">
        <v>161</v>
      </c>
      <c r="G67" s="16" t="s">
        <v>806</v>
      </c>
    </row>
    <row r="68" ht="12.75" customHeight="1">
      <c r="A68" s="15" t="s">
        <v>270</v>
      </c>
      <c r="B68" s="10">
        <v>39.92</v>
      </c>
      <c r="C68" s="16">
        <v>2.0</v>
      </c>
      <c r="D68" s="11">
        <f t="shared" si="1"/>
        <v>79.84</v>
      </c>
      <c r="E68" s="22"/>
      <c r="F68" s="16" t="s">
        <v>161</v>
      </c>
      <c r="G68" s="16" t="s">
        <v>808</v>
      </c>
    </row>
    <row r="69" ht="12.75" customHeight="1">
      <c r="A69" s="7" t="s">
        <v>252</v>
      </c>
      <c r="B69" s="28">
        <v>70.59</v>
      </c>
      <c r="C69" s="74">
        <v>1.0</v>
      </c>
      <c r="D69" s="11">
        <f t="shared" si="1"/>
        <v>70.59</v>
      </c>
      <c r="E69" s="76"/>
      <c r="F69" s="16"/>
      <c r="G69" s="16" t="s">
        <v>810</v>
      </c>
    </row>
    <row r="70" ht="12.75" customHeight="1">
      <c r="A70" s="16" t="s">
        <v>236</v>
      </c>
      <c r="B70" s="28">
        <v>66.62</v>
      </c>
      <c r="C70" s="74">
        <v>3.0</v>
      </c>
      <c r="D70" s="11">
        <f t="shared" si="1"/>
        <v>199.86</v>
      </c>
      <c r="E70" s="76"/>
      <c r="F70" s="16"/>
      <c r="G70" s="16" t="s">
        <v>820</v>
      </c>
    </row>
    <row r="71" ht="12.75" customHeight="1">
      <c r="A71" s="15"/>
      <c r="B71" s="15"/>
      <c r="C71" s="15"/>
      <c r="D71" s="15"/>
      <c r="E71" s="15"/>
      <c r="F71" s="15"/>
      <c r="G71" s="15"/>
    </row>
    <row r="72" ht="12.75" customHeight="1">
      <c r="A72" s="15"/>
      <c r="B72" s="10"/>
      <c r="C72" s="16"/>
      <c r="D72" s="75"/>
      <c r="E72" s="7"/>
      <c r="F72" s="7"/>
    </row>
    <row r="73" ht="12.75" customHeight="1">
      <c r="A73" s="16"/>
      <c r="B73" s="28"/>
      <c r="C73" s="74"/>
      <c r="D73" s="75">
        <f>SUM(D2:D70)</f>
        <v>4433.56</v>
      </c>
      <c r="E73" s="76"/>
      <c r="F73" s="16"/>
      <c r="G73" s="16"/>
    </row>
    <row r="74" ht="12.75" customHeight="1">
      <c r="A74" s="16"/>
      <c r="B74" s="28"/>
      <c r="C74" s="74"/>
      <c r="D74" s="75"/>
      <c r="E74" s="76"/>
      <c r="F74" s="16"/>
      <c r="G74" s="16"/>
    </row>
    <row r="75" ht="12.75" customHeight="1">
      <c r="B75" s="10"/>
      <c r="C75" s="16"/>
      <c r="D75" s="17"/>
      <c r="F75" s="16"/>
    </row>
    <row r="76" ht="12.75" customHeight="1">
      <c r="A76" s="15"/>
      <c r="B76" s="28"/>
      <c r="C76" s="16"/>
      <c r="D76" s="17"/>
      <c r="F76" s="16"/>
    </row>
    <row r="77" ht="12.75" customHeight="1">
      <c r="A77" s="15"/>
      <c r="B77" s="10"/>
      <c r="C77" s="16"/>
      <c r="D77" s="75"/>
      <c r="E77" s="7"/>
      <c r="F77" s="16"/>
      <c r="G77" s="16"/>
    </row>
    <row r="78" ht="12.75" customHeight="1">
      <c r="A78" s="7"/>
      <c r="B78" s="28"/>
      <c r="C78" s="16"/>
      <c r="D78" s="17"/>
      <c r="F78" s="16"/>
    </row>
    <row r="79" ht="12.75" customHeight="1">
      <c r="A79" s="15"/>
      <c r="B79" s="28"/>
      <c r="C79" s="16"/>
      <c r="D79" s="17"/>
      <c r="F79" s="16"/>
    </row>
    <row r="80" ht="12.75" customHeight="1">
      <c r="A80" s="15"/>
      <c r="B80" s="10"/>
      <c r="C80" s="16"/>
      <c r="D80" s="75"/>
      <c r="E80" s="7"/>
      <c r="F80" s="16"/>
      <c r="G80" s="16"/>
    </row>
    <row r="81" ht="12.75" customHeight="1">
      <c r="A81" s="15"/>
      <c r="B81" s="10"/>
      <c r="C81" s="16"/>
      <c r="D81" s="17"/>
      <c r="E81" s="22"/>
      <c r="F81" s="16"/>
      <c r="G81" s="15"/>
    </row>
    <row r="82" ht="12.75" customHeight="1">
      <c r="A82" s="7"/>
      <c r="B82" s="28"/>
      <c r="C82" s="16"/>
      <c r="D82" s="17"/>
      <c r="F82" s="16"/>
    </row>
    <row r="83" ht="12.75" customHeight="1">
      <c r="A83" s="15"/>
      <c r="B83" s="28"/>
      <c r="C83" s="16"/>
      <c r="D83" s="17"/>
      <c r="F83" s="16"/>
    </row>
    <row r="84" ht="12.75" customHeight="1">
      <c r="A84" s="7"/>
      <c r="B84" s="28"/>
      <c r="C84" s="16"/>
      <c r="D84" s="17"/>
      <c r="F84" s="16"/>
    </row>
    <row r="85" ht="12.75" customHeight="1">
      <c r="A85" s="7"/>
      <c r="B85" s="28"/>
      <c r="C85" s="16"/>
      <c r="D85" s="17"/>
      <c r="F85" s="16"/>
    </row>
    <row r="86" ht="12.75" customHeight="1">
      <c r="A86" s="7"/>
      <c r="B86" s="10"/>
      <c r="C86" s="16"/>
      <c r="D86" s="17"/>
      <c r="E86" s="7"/>
      <c r="F86" s="16"/>
      <c r="G86" s="16"/>
    </row>
    <row r="87" ht="12.75" customHeight="1">
      <c r="C87" s="16"/>
      <c r="D87" s="17"/>
      <c r="E87" s="7"/>
      <c r="F87" s="16"/>
      <c r="G87" s="16"/>
    </row>
    <row r="88" ht="12.75" customHeight="1">
      <c r="A88" s="7"/>
      <c r="B88" s="28"/>
      <c r="C88" s="16"/>
      <c r="D88" s="17"/>
      <c r="F88" s="16"/>
    </row>
    <row r="89" ht="12.75" customHeight="1">
      <c r="A89" s="15"/>
      <c r="B89" s="28"/>
      <c r="C89" s="16"/>
      <c r="D89" s="17"/>
      <c r="F89" s="16"/>
    </row>
    <row r="90" ht="12.75" customHeight="1">
      <c r="A90" s="7"/>
      <c r="B90" s="28"/>
      <c r="C90" s="16"/>
      <c r="D90" s="17"/>
      <c r="F90" s="16"/>
    </row>
    <row r="91" ht="12.75" customHeight="1">
      <c r="A91" s="7"/>
      <c r="B91" s="28"/>
      <c r="C91" s="16"/>
      <c r="D91" s="17"/>
      <c r="F91" s="16"/>
    </row>
    <row r="92" ht="12.75" customHeight="1">
      <c r="A92" s="7"/>
      <c r="B92" s="28"/>
      <c r="C92" s="16"/>
      <c r="D92" s="17"/>
      <c r="F92" s="16"/>
    </row>
    <row r="93" ht="12.75" customHeight="1">
      <c r="A93" s="7"/>
      <c r="B93" s="28"/>
      <c r="C93" s="16"/>
      <c r="D93" s="17"/>
      <c r="F93" s="16"/>
    </row>
    <row r="94" ht="12.75" customHeight="1">
      <c r="A94" s="7"/>
      <c r="B94" s="28"/>
      <c r="C94" s="16"/>
      <c r="D94" s="17"/>
      <c r="F94" s="16"/>
    </row>
    <row r="95" ht="12.75" customHeight="1">
      <c r="B95" s="10"/>
      <c r="C95" s="16"/>
      <c r="D95" s="17"/>
      <c r="E95" s="7"/>
      <c r="F95" s="16"/>
      <c r="G95" s="16"/>
    </row>
    <row r="96" ht="12.75" customHeight="1">
      <c r="A96" s="15"/>
      <c r="B96" s="10"/>
      <c r="C96" s="16"/>
      <c r="D96" s="17"/>
      <c r="E96" s="22"/>
      <c r="F96" s="16"/>
      <c r="G96" s="16"/>
    </row>
    <row r="97" ht="12.75" customHeight="1">
      <c r="A97" s="7"/>
      <c r="B97" s="28"/>
      <c r="C97" s="16"/>
      <c r="D97" s="17"/>
      <c r="F97" s="16"/>
    </row>
    <row r="98" ht="12.75" customHeight="1">
      <c r="A98" s="7"/>
      <c r="B98" s="28"/>
      <c r="C98" s="16"/>
      <c r="D98" s="17"/>
      <c r="F98" s="16"/>
    </row>
    <row r="99" ht="12.75" customHeight="1">
      <c r="A99" s="7"/>
      <c r="B99" s="28"/>
      <c r="C99" s="16"/>
      <c r="D99" s="17"/>
      <c r="F99" s="16"/>
    </row>
    <row r="100" ht="12.75" customHeight="1">
      <c r="A100" s="7"/>
      <c r="B100" s="28"/>
      <c r="C100" s="16"/>
      <c r="D100" s="17"/>
      <c r="F100" s="16"/>
    </row>
    <row r="101" ht="12.75" customHeight="1">
      <c r="A101" s="7"/>
      <c r="B101" s="28"/>
      <c r="C101" s="16"/>
      <c r="D101" s="17"/>
      <c r="F101" s="16"/>
    </row>
    <row r="102" ht="12.75" customHeight="1">
      <c r="A102" s="7"/>
      <c r="B102" s="28"/>
      <c r="C102" s="16"/>
      <c r="D102" s="17"/>
      <c r="F102" s="16"/>
    </row>
    <row r="103" ht="12.75" customHeight="1">
      <c r="A103" s="16"/>
      <c r="B103" s="28"/>
      <c r="C103" s="74"/>
      <c r="D103" s="75"/>
      <c r="E103" s="76"/>
      <c r="F103" s="16"/>
      <c r="G103" s="16"/>
    </row>
    <row r="104" ht="12.75" customHeight="1">
      <c r="A104" s="16"/>
      <c r="B104" s="28"/>
      <c r="C104" s="74"/>
      <c r="D104" s="75"/>
      <c r="E104" s="76"/>
      <c r="F104" s="16"/>
      <c r="G104" s="16"/>
    </row>
    <row r="105" ht="12.75" customHeight="1">
      <c r="A105" s="82"/>
      <c r="B105" s="10"/>
      <c r="C105" s="74"/>
      <c r="D105" s="75"/>
      <c r="E105" s="76"/>
      <c r="F105" s="77"/>
      <c r="G105" s="74"/>
    </row>
    <row r="106" ht="12.75" customHeight="1">
      <c r="A106" s="73"/>
      <c r="B106" s="10"/>
      <c r="C106" s="74"/>
      <c r="D106" s="75"/>
      <c r="E106" s="76"/>
      <c r="F106" s="77"/>
      <c r="G106" s="74"/>
    </row>
    <row r="107" ht="12.75" customHeight="1">
      <c r="A107" s="73"/>
      <c r="B107" s="10"/>
      <c r="C107" s="74"/>
      <c r="D107" s="75"/>
      <c r="E107" s="76"/>
      <c r="F107" s="77"/>
      <c r="G107" s="74"/>
    </row>
    <row r="108" ht="12.75" customHeight="1">
      <c r="A108" s="15"/>
      <c r="B108" s="10"/>
      <c r="C108" s="16"/>
      <c r="D108" s="17"/>
      <c r="E108" s="7"/>
      <c r="F108" s="16"/>
      <c r="G108" s="16"/>
    </row>
    <row r="109" ht="12.75" customHeight="1">
      <c r="A109" s="15"/>
      <c r="B109" s="10"/>
      <c r="C109" s="16"/>
      <c r="D109" s="75"/>
      <c r="E109" s="7"/>
      <c r="F109" s="16"/>
      <c r="G109" s="16"/>
    </row>
    <row r="110" ht="12.75" customHeight="1">
      <c r="A110" s="15"/>
      <c r="B110" s="10"/>
      <c r="C110" s="16"/>
      <c r="D110" s="75"/>
      <c r="E110" s="7"/>
      <c r="F110" s="16"/>
      <c r="G110" s="16"/>
    </row>
    <row r="111" ht="12.75" customHeight="1">
      <c r="A111" s="15"/>
      <c r="B111" s="10"/>
      <c r="C111" s="16"/>
      <c r="D111" s="75"/>
      <c r="E111" s="7"/>
      <c r="F111" s="16"/>
      <c r="G111" s="16"/>
    </row>
    <row r="112" ht="12.75" customHeight="1">
      <c r="A112" s="15"/>
      <c r="B112" s="10"/>
      <c r="C112" s="16"/>
      <c r="D112" s="17"/>
      <c r="E112" s="7"/>
      <c r="F112" s="77"/>
    </row>
    <row r="113" ht="12.75" customHeight="1">
      <c r="A113" s="15"/>
      <c r="B113" s="10"/>
      <c r="C113" s="16"/>
      <c r="D113" s="75"/>
      <c r="E113" s="7"/>
      <c r="F113" s="16"/>
      <c r="G113" s="16"/>
    </row>
    <row r="114" ht="12.75" customHeight="1">
      <c r="A114" s="15"/>
      <c r="B114" s="10"/>
      <c r="C114" s="16"/>
      <c r="D114" s="75"/>
      <c r="E114" s="7"/>
      <c r="F114" s="16"/>
      <c r="G114" s="16"/>
    </row>
    <row r="115" ht="12.75" customHeight="1">
      <c r="A115" s="15"/>
      <c r="B115" s="10"/>
      <c r="C115" s="16"/>
      <c r="D115" s="17"/>
      <c r="E115" s="7"/>
      <c r="F115" s="16"/>
      <c r="G115" s="16"/>
    </row>
    <row r="116" ht="12.75" customHeight="1">
      <c r="A116" s="15"/>
      <c r="B116" s="10"/>
      <c r="C116" s="16"/>
      <c r="D116" s="75"/>
      <c r="E116" s="7"/>
      <c r="F116" s="16"/>
      <c r="G116" s="16"/>
    </row>
    <row r="117" ht="12.75" customHeight="1">
      <c r="A117" s="44"/>
      <c r="B117" s="10"/>
      <c r="C117" s="16"/>
      <c r="D117" s="75"/>
      <c r="E117" s="7"/>
      <c r="F117" s="16"/>
      <c r="G117" s="16"/>
    </row>
    <row r="118" ht="12.75" customHeight="1">
      <c r="A118" s="44"/>
      <c r="C118" s="16"/>
      <c r="D118" s="75"/>
      <c r="E118" s="7"/>
      <c r="F118" s="16"/>
      <c r="G118" s="16"/>
    </row>
    <row r="119" ht="12.75" customHeight="1">
      <c r="A119" s="44"/>
      <c r="B119" s="10"/>
      <c r="C119" s="16"/>
      <c r="D119" s="75"/>
      <c r="E119" s="7"/>
      <c r="F119" s="16"/>
      <c r="G119" s="16"/>
    </row>
    <row r="120" ht="12.75" customHeight="1">
      <c r="A120" s="15"/>
      <c r="B120" s="10"/>
      <c r="C120" s="16"/>
      <c r="D120" s="17"/>
      <c r="E120" s="22"/>
      <c r="F120" s="16"/>
      <c r="G120" s="16"/>
    </row>
    <row r="121" ht="12.75" customHeight="1">
      <c r="A121" s="15"/>
      <c r="B121" s="10"/>
      <c r="C121" s="16"/>
      <c r="D121" s="17"/>
      <c r="E121" s="7"/>
      <c r="F121" s="7"/>
      <c r="G121" s="7"/>
    </row>
    <row r="122" ht="12.75" customHeight="1">
      <c r="A122" s="15"/>
      <c r="B122" s="10"/>
      <c r="C122" s="16"/>
      <c r="D122" s="17"/>
      <c r="E122" s="7"/>
      <c r="F122" s="7"/>
      <c r="G122" s="7"/>
    </row>
    <row r="123" ht="12.75" customHeight="1">
      <c r="A123" s="15"/>
      <c r="B123" s="10"/>
      <c r="C123" s="16"/>
      <c r="D123" s="17"/>
      <c r="E123" s="7"/>
      <c r="F123" s="7"/>
      <c r="G123" s="7"/>
    </row>
    <row r="124" ht="12.75" customHeight="1">
      <c r="A124" s="15"/>
      <c r="B124" s="10"/>
      <c r="C124" s="16"/>
      <c r="D124" s="17"/>
      <c r="E124" s="7"/>
      <c r="F124" s="7"/>
      <c r="G124" s="7"/>
    </row>
    <row r="125" ht="12.75" customHeight="1">
      <c r="B125" s="10"/>
      <c r="C125" s="16"/>
      <c r="D125" s="17"/>
      <c r="F125" s="16"/>
    </row>
    <row r="126" ht="12.75" customHeight="1">
      <c r="A126" s="15"/>
      <c r="C126" s="16"/>
      <c r="D126" s="17"/>
      <c r="E126" s="7"/>
      <c r="F126" s="77"/>
    </row>
    <row r="127" ht="12.75" customHeight="1">
      <c r="A127" s="15"/>
      <c r="B127" s="10"/>
      <c r="C127" s="16"/>
      <c r="D127" s="17"/>
      <c r="E127" s="7"/>
      <c r="F127" s="77"/>
    </row>
    <row r="128" ht="12.75" customHeight="1">
      <c r="A128" s="15"/>
      <c r="B128" s="10"/>
      <c r="C128" s="16"/>
      <c r="D128" s="17"/>
      <c r="E128" s="7"/>
      <c r="F128" s="77"/>
    </row>
    <row r="129" ht="12.75" customHeight="1">
      <c r="A129" s="15"/>
      <c r="B129" s="28"/>
      <c r="C129" s="7"/>
      <c r="D129" s="17"/>
    </row>
    <row r="130" ht="12.75" customHeight="1">
      <c r="A130" s="15"/>
      <c r="B130" s="57"/>
      <c r="C130" s="16"/>
      <c r="D130" s="17"/>
    </row>
    <row r="131" ht="12.75" customHeight="1">
      <c r="A131" s="15"/>
      <c r="B131" s="10"/>
      <c r="C131" s="16"/>
      <c r="D131" s="75"/>
    </row>
    <row r="132" ht="12.75" customHeight="1">
      <c r="A132" s="7"/>
      <c r="B132" s="28"/>
      <c r="C132" s="16"/>
      <c r="D132" s="17"/>
      <c r="F132" s="16"/>
    </row>
    <row r="133" ht="12.75" customHeight="1">
      <c r="A133" s="15"/>
      <c r="B133" s="28"/>
      <c r="C133" s="7"/>
      <c r="D133" s="17"/>
    </row>
    <row r="134" ht="12.75" customHeight="1">
      <c r="A134" s="15"/>
      <c r="B134" s="10"/>
      <c r="C134" s="16"/>
      <c r="D134" s="17"/>
      <c r="E134" s="7"/>
      <c r="F134" s="7"/>
      <c r="G134" s="7"/>
    </row>
    <row r="135" ht="12.75" customHeight="1">
      <c r="A135" s="73"/>
      <c r="B135" s="10"/>
      <c r="C135" s="74"/>
      <c r="D135" s="75"/>
      <c r="E135" s="76"/>
      <c r="F135" s="77"/>
      <c r="G135" s="74"/>
    </row>
    <row r="136" ht="12.75" customHeight="1">
      <c r="A136" s="15"/>
      <c r="B136" s="10"/>
      <c r="C136" s="16"/>
      <c r="D136" s="17"/>
      <c r="E136" s="7"/>
      <c r="F136" s="7"/>
      <c r="G136" s="7"/>
    </row>
    <row r="137" ht="12.75" customHeight="1">
      <c r="A137" s="15"/>
      <c r="B137" s="10"/>
      <c r="C137" s="16"/>
      <c r="D137" s="17"/>
      <c r="E137" s="22"/>
      <c r="F137" s="7"/>
      <c r="G137" s="7"/>
    </row>
    <row r="138" ht="12.75" customHeight="1">
      <c r="A138" s="15"/>
      <c r="B138" s="28"/>
      <c r="C138" s="63" t="s">
        <v>3</v>
      </c>
      <c r="D138" s="64">
        <f>SUM(D3:D135)</f>
        <v>8799.28</v>
      </c>
      <c r="E138" s="7"/>
      <c r="F138" s="7"/>
      <c r="G138" s="7"/>
    </row>
    <row r="139" ht="12.75" customHeight="1">
      <c r="A139" s="65"/>
      <c r="B139" s="28"/>
    </row>
    <row r="140" ht="12.75" customHeight="1">
      <c r="A140" s="65"/>
      <c r="B140" s="28"/>
    </row>
    <row r="141" ht="12.75" customHeight="1">
      <c r="A141" s="65"/>
      <c r="B141" s="28"/>
    </row>
    <row r="142" ht="12.75" customHeight="1">
      <c r="A142" s="65"/>
      <c r="B142" s="28"/>
    </row>
    <row r="143" ht="12.75" customHeight="1">
      <c r="A143" s="65"/>
      <c r="B143" s="28"/>
    </row>
    <row r="144" ht="12.75" customHeight="1">
      <c r="A144" s="65"/>
      <c r="B144" s="28"/>
    </row>
    <row r="145" ht="12.75" customHeight="1">
      <c r="A145" s="65"/>
      <c r="B145" s="28"/>
    </row>
    <row r="146" ht="12.75" customHeight="1">
      <c r="A146" s="65"/>
    </row>
    <row r="147" ht="12.75" customHeight="1">
      <c r="A147" s="65"/>
    </row>
    <row r="148" ht="12.75" customHeight="1">
      <c r="A148" s="65"/>
    </row>
    <row r="149" ht="12.75" customHeight="1">
      <c r="A149" s="65"/>
    </row>
    <row r="150" ht="12.75" customHeight="1">
      <c r="A150" s="65"/>
    </row>
    <row r="151" ht="12.75" customHeight="1">
      <c r="A151" s="65"/>
    </row>
    <row r="152" ht="12.75" customHeight="1">
      <c r="A152" s="65"/>
    </row>
    <row r="153" ht="12.75" customHeight="1">
      <c r="A153" s="65"/>
    </row>
    <row r="154" ht="12.75" customHeight="1">
      <c r="A154" s="65"/>
    </row>
    <row r="155" ht="12.75" customHeight="1">
      <c r="A155" s="65"/>
    </row>
    <row r="156" ht="12.75" customHeight="1">
      <c r="A156" s="65"/>
    </row>
    <row r="157" ht="12.75" customHeight="1">
      <c r="A157" s="65"/>
    </row>
    <row r="158" ht="12.75" customHeight="1">
      <c r="A158" s="65"/>
    </row>
    <row r="159" ht="12.75" customHeight="1">
      <c r="A159" s="65"/>
    </row>
    <row r="160" ht="12.75" customHeight="1">
      <c r="A160" s="65"/>
    </row>
    <row r="161" ht="12.75" customHeight="1">
      <c r="A161" s="65"/>
    </row>
    <row r="162" ht="12.75" customHeight="1">
      <c r="A162" s="65"/>
    </row>
    <row r="163" ht="12.75" customHeight="1">
      <c r="A163" s="65"/>
    </row>
    <row r="164" ht="12.75" customHeight="1">
      <c r="A164" s="65"/>
    </row>
    <row r="165" ht="12.75" customHeight="1">
      <c r="A165" s="65"/>
    </row>
    <row r="166" ht="12.75" customHeight="1">
      <c r="A166" s="65"/>
    </row>
    <row r="167" ht="12.75" customHeight="1">
      <c r="A167" s="65"/>
    </row>
    <row r="168" ht="12.75" customHeight="1">
      <c r="A168" s="65"/>
    </row>
    <row r="169" ht="12.75" customHeight="1">
      <c r="A169" s="65"/>
    </row>
    <row r="170" ht="12.75" customHeight="1">
      <c r="A170" s="65"/>
    </row>
    <row r="171" ht="12.75" customHeight="1">
      <c r="A171" s="65"/>
    </row>
    <row r="172" ht="12.75" customHeight="1">
      <c r="A172" s="65"/>
    </row>
    <row r="173" ht="12.75" customHeight="1">
      <c r="A173" s="65"/>
    </row>
    <row r="174" ht="12.75" customHeight="1">
      <c r="A174" s="65"/>
    </row>
    <row r="175" ht="12.75" customHeight="1">
      <c r="A175" s="65"/>
    </row>
    <row r="176" ht="12.75" customHeight="1">
      <c r="A176" s="65"/>
    </row>
    <row r="177" ht="12.75" customHeight="1">
      <c r="A177" s="65"/>
    </row>
    <row r="178" ht="12.75" customHeight="1">
      <c r="A178" s="65"/>
    </row>
    <row r="179" ht="12.75" customHeight="1">
      <c r="A179" s="65"/>
    </row>
    <row r="180" ht="12.75" customHeight="1">
      <c r="A180" s="65"/>
    </row>
    <row r="181" ht="12.75" customHeight="1">
      <c r="A181" s="65"/>
    </row>
    <row r="182" ht="12.75" customHeight="1">
      <c r="A182" s="65"/>
    </row>
    <row r="183" ht="12.75" customHeight="1">
      <c r="A183" s="65"/>
    </row>
    <row r="184" ht="12.75" customHeight="1">
      <c r="A184" s="65"/>
    </row>
    <row r="185" ht="12.75" customHeight="1">
      <c r="A185" s="65"/>
    </row>
    <row r="186" ht="12.75" customHeight="1">
      <c r="A186" s="65"/>
    </row>
    <row r="187" ht="12.75" customHeight="1">
      <c r="A187" s="65"/>
    </row>
    <row r="188" ht="12.75" customHeight="1">
      <c r="A188" s="65"/>
    </row>
    <row r="189" ht="12.75" customHeight="1">
      <c r="A189" s="65"/>
    </row>
    <row r="190" ht="12.75" customHeight="1">
      <c r="A190" s="65"/>
    </row>
    <row r="191" ht="12.75" customHeight="1">
      <c r="A191" s="65"/>
    </row>
    <row r="192" ht="12.75" customHeight="1">
      <c r="A192" s="65"/>
    </row>
    <row r="193" ht="12.75" customHeight="1">
      <c r="A193" s="65"/>
    </row>
    <row r="194" ht="12.75" customHeight="1">
      <c r="A194" s="65"/>
    </row>
    <row r="195" ht="12.75" customHeight="1">
      <c r="A195" s="65"/>
    </row>
    <row r="196" ht="12.75" customHeight="1">
      <c r="A196" s="65"/>
    </row>
    <row r="197" ht="12.75" customHeight="1">
      <c r="A197" s="65"/>
    </row>
    <row r="198" ht="12.75" customHeight="1">
      <c r="A198" s="65"/>
    </row>
    <row r="199" ht="12.75" customHeight="1">
      <c r="A199" s="65"/>
    </row>
    <row r="200" ht="12.75" customHeight="1">
      <c r="A200" s="65"/>
    </row>
    <row r="201" ht="12.75" customHeight="1">
      <c r="A201" s="65"/>
    </row>
    <row r="202" ht="12.75" customHeight="1">
      <c r="A202" s="65"/>
    </row>
    <row r="203" ht="12.75" customHeight="1">
      <c r="A203" s="65"/>
    </row>
    <row r="204" ht="12.75" customHeight="1">
      <c r="A204" s="65"/>
    </row>
    <row r="205" ht="12.75" customHeight="1">
      <c r="A205" s="65"/>
    </row>
    <row r="206" ht="12.75" customHeight="1">
      <c r="A206" s="65"/>
    </row>
    <row r="207" ht="12.75" customHeight="1">
      <c r="A207" s="65"/>
    </row>
    <row r="208" ht="12.75" customHeight="1">
      <c r="A208" s="65"/>
    </row>
    <row r="209" ht="12.75" customHeight="1">
      <c r="A209" s="65"/>
    </row>
    <row r="210" ht="12.75" customHeight="1">
      <c r="A210" s="65"/>
    </row>
    <row r="211" ht="12.75" customHeight="1">
      <c r="A211" s="65"/>
    </row>
    <row r="212" ht="12.75" customHeight="1">
      <c r="A212" s="65"/>
    </row>
    <row r="213" ht="12.75" customHeight="1">
      <c r="A213" s="65"/>
    </row>
    <row r="214" ht="12.75" customHeight="1">
      <c r="A214" s="65"/>
    </row>
    <row r="215" ht="12.75" customHeight="1">
      <c r="A215" s="65"/>
    </row>
    <row r="216" ht="12.75" customHeight="1">
      <c r="A216" s="65"/>
    </row>
    <row r="217" ht="12.75" customHeight="1">
      <c r="A217" s="65"/>
    </row>
    <row r="218" ht="12.75" customHeight="1">
      <c r="A218" s="65"/>
    </row>
    <row r="219" ht="12.75" customHeight="1">
      <c r="A219" s="65"/>
    </row>
    <row r="220" ht="12.75" customHeight="1">
      <c r="A220" s="65"/>
    </row>
    <row r="221" ht="12.75" customHeight="1">
      <c r="A221" s="65"/>
    </row>
    <row r="222" ht="12.75" customHeight="1">
      <c r="A222" s="65"/>
    </row>
    <row r="223" ht="12.75" customHeight="1">
      <c r="A223" s="65"/>
    </row>
    <row r="224" ht="12.75" customHeight="1">
      <c r="A224" s="65"/>
    </row>
    <row r="225" ht="12.75" customHeight="1">
      <c r="A225" s="65"/>
    </row>
    <row r="226" ht="12.75" customHeight="1">
      <c r="A226" s="65"/>
    </row>
    <row r="227" ht="12.75" customHeight="1">
      <c r="A227" s="65"/>
    </row>
    <row r="228" ht="12.75" customHeight="1">
      <c r="A228" s="65"/>
    </row>
    <row r="229" ht="12.75" customHeight="1">
      <c r="A229" s="65"/>
    </row>
    <row r="230" ht="12.75" customHeight="1">
      <c r="A230" s="65"/>
    </row>
    <row r="231" ht="12.75" customHeight="1">
      <c r="A231" s="65"/>
    </row>
    <row r="232" ht="12.75" customHeight="1">
      <c r="A232" s="65"/>
    </row>
    <row r="233" ht="12.75" customHeight="1">
      <c r="A233" s="65"/>
    </row>
    <row r="234" ht="12.75" customHeight="1">
      <c r="A234" s="65"/>
    </row>
    <row r="235" ht="12.75" customHeight="1">
      <c r="A235" s="65"/>
    </row>
    <row r="236" ht="12.75" customHeight="1">
      <c r="A236" s="65"/>
    </row>
    <row r="237" ht="12.75" customHeight="1">
      <c r="A237" s="65"/>
    </row>
    <row r="238" ht="12.75" customHeight="1">
      <c r="A238" s="65"/>
    </row>
    <row r="239" ht="12.75" customHeight="1">
      <c r="A239" s="65"/>
    </row>
    <row r="240" ht="12.75" customHeight="1">
      <c r="A240" s="65"/>
    </row>
    <row r="241" ht="12.75" customHeight="1">
      <c r="A241" s="65"/>
    </row>
    <row r="242" ht="12.75" customHeight="1">
      <c r="A242" s="65"/>
    </row>
    <row r="243" ht="12.75" customHeight="1">
      <c r="A243" s="65"/>
    </row>
    <row r="244" ht="12.75" customHeight="1">
      <c r="A244" s="65"/>
    </row>
    <row r="245" ht="12.75" customHeight="1">
      <c r="A245" s="65"/>
    </row>
    <row r="246" ht="12.75" customHeight="1">
      <c r="A246" s="65"/>
    </row>
    <row r="247" ht="12.75" customHeight="1">
      <c r="A247" s="65"/>
    </row>
    <row r="248" ht="12.75" customHeight="1">
      <c r="A248" s="65"/>
    </row>
    <row r="249" ht="12.75" customHeight="1">
      <c r="A249" s="65"/>
    </row>
    <row r="250" ht="12.75" customHeight="1">
      <c r="A250" s="65"/>
    </row>
    <row r="251" ht="12.75" customHeight="1">
      <c r="A251" s="65"/>
    </row>
    <row r="252" ht="12.75" customHeight="1">
      <c r="A252" s="65"/>
    </row>
    <row r="253" ht="12.75" customHeight="1">
      <c r="A253" s="65"/>
    </row>
    <row r="254" ht="12.75" customHeight="1">
      <c r="A254" s="65"/>
    </row>
    <row r="255" ht="12.75" customHeight="1">
      <c r="A255" s="65"/>
    </row>
    <row r="256" ht="12.75" customHeight="1">
      <c r="A256" s="65"/>
    </row>
    <row r="257" ht="12.75" customHeight="1">
      <c r="A257" s="65"/>
    </row>
    <row r="258" ht="12.75" customHeight="1">
      <c r="A258" s="65"/>
    </row>
    <row r="259" ht="12.75" customHeight="1">
      <c r="A259" s="65"/>
    </row>
    <row r="260" ht="12.75" customHeight="1">
      <c r="A260" s="65"/>
    </row>
    <row r="261" ht="12.75" customHeight="1">
      <c r="A261" s="65"/>
    </row>
    <row r="262" ht="12.75" customHeight="1">
      <c r="A262" s="65"/>
    </row>
    <row r="263" ht="12.75" customHeight="1">
      <c r="A263" s="65"/>
    </row>
    <row r="264" ht="12.75" customHeight="1">
      <c r="A264" s="65"/>
    </row>
    <row r="265" ht="12.75" customHeight="1">
      <c r="A265" s="65"/>
    </row>
    <row r="266" ht="12.75" customHeight="1">
      <c r="A266" s="65"/>
    </row>
    <row r="267" ht="12.75" customHeight="1">
      <c r="A267" s="65"/>
    </row>
    <row r="268" ht="12.75" customHeight="1">
      <c r="A268" s="65"/>
    </row>
    <row r="269" ht="12.75" customHeight="1">
      <c r="A269" s="65"/>
    </row>
    <row r="270" ht="12.75" customHeight="1">
      <c r="A270" s="65"/>
    </row>
    <row r="271" ht="12.75" customHeight="1">
      <c r="A271" s="65"/>
    </row>
    <row r="272" ht="12.75" customHeight="1">
      <c r="A272" s="65"/>
    </row>
    <row r="273" ht="12.75" customHeight="1">
      <c r="A273" s="65"/>
    </row>
    <row r="274" ht="12.75" customHeight="1">
      <c r="A274" s="65"/>
    </row>
    <row r="275" ht="12.75" customHeight="1">
      <c r="A275" s="65"/>
    </row>
    <row r="276" ht="12.75" customHeight="1">
      <c r="A276" s="65"/>
    </row>
    <row r="277" ht="12.75" customHeight="1">
      <c r="A277" s="65"/>
    </row>
    <row r="278" ht="12.75" customHeight="1">
      <c r="A278" s="65"/>
    </row>
    <row r="279" ht="12.75" customHeight="1">
      <c r="A279" s="65"/>
    </row>
    <row r="280" ht="12.75" customHeight="1">
      <c r="A280" s="65"/>
    </row>
    <row r="281" ht="12.75" customHeight="1">
      <c r="A281" s="65"/>
    </row>
    <row r="282" ht="12.75" customHeight="1">
      <c r="A282" s="65"/>
    </row>
    <row r="283" ht="12.75" customHeight="1">
      <c r="A283" s="65"/>
    </row>
    <row r="284" ht="12.75" customHeight="1">
      <c r="A284" s="65"/>
    </row>
    <row r="285" ht="12.75" customHeight="1">
      <c r="A285" s="65"/>
    </row>
    <row r="286" ht="12.75" customHeight="1">
      <c r="A286" s="65"/>
    </row>
    <row r="287" ht="12.75" customHeight="1">
      <c r="A287" s="65"/>
    </row>
    <row r="288" ht="12.75" customHeight="1">
      <c r="A288" s="65"/>
    </row>
    <row r="289" ht="12.75" customHeight="1">
      <c r="A289" s="65"/>
    </row>
    <row r="290" ht="12.75" customHeight="1">
      <c r="A290" s="65"/>
    </row>
    <row r="291" ht="12.75" customHeight="1">
      <c r="A291" s="65"/>
    </row>
    <row r="292" ht="12.75" customHeight="1">
      <c r="A292" s="65"/>
    </row>
    <row r="293" ht="12.75" customHeight="1">
      <c r="A293" s="65"/>
    </row>
    <row r="294" ht="12.75" customHeight="1">
      <c r="A294" s="65"/>
    </row>
    <row r="295" ht="12.75" customHeight="1">
      <c r="A295" s="65"/>
    </row>
    <row r="296" ht="12.75" customHeight="1">
      <c r="A296" s="65"/>
    </row>
    <row r="297" ht="12.75" customHeight="1">
      <c r="A297" s="65"/>
    </row>
    <row r="298" ht="12.75" customHeight="1">
      <c r="A298" s="65"/>
    </row>
    <row r="299" ht="12.75" customHeight="1">
      <c r="A299" s="65"/>
    </row>
    <row r="300" ht="12.75" customHeight="1">
      <c r="A300" s="65"/>
    </row>
    <row r="301" ht="12.75" customHeight="1">
      <c r="A301" s="65"/>
    </row>
    <row r="302" ht="12.75" customHeight="1">
      <c r="A302" s="65"/>
    </row>
    <row r="303" ht="12.75" customHeight="1">
      <c r="A303" s="65"/>
    </row>
    <row r="304" ht="12.75" customHeight="1">
      <c r="A304" s="65"/>
    </row>
    <row r="305" ht="12.75" customHeight="1">
      <c r="A305" s="65"/>
    </row>
    <row r="306" ht="12.75" customHeight="1">
      <c r="A306" s="65"/>
    </row>
    <row r="307" ht="12.75" customHeight="1">
      <c r="A307" s="65"/>
    </row>
    <row r="308" ht="12.75" customHeight="1">
      <c r="A308" s="65"/>
    </row>
    <row r="309" ht="12.75" customHeight="1">
      <c r="A309" s="65"/>
    </row>
    <row r="310" ht="12.75" customHeight="1">
      <c r="A310" s="65"/>
    </row>
    <row r="311" ht="12.75" customHeight="1">
      <c r="A311" s="65"/>
    </row>
    <row r="312" ht="12.75" customHeight="1">
      <c r="A312" s="65"/>
    </row>
    <row r="313" ht="12.75" customHeight="1">
      <c r="A313" s="65"/>
    </row>
    <row r="314" ht="12.75" customHeight="1">
      <c r="A314" s="65"/>
    </row>
    <row r="315" ht="12.75" customHeight="1">
      <c r="A315" s="65"/>
    </row>
    <row r="316" ht="12.75" customHeight="1">
      <c r="A316" s="65"/>
    </row>
    <row r="317" ht="12.75" customHeight="1">
      <c r="A317" s="65"/>
    </row>
    <row r="318" ht="12.75" customHeight="1">
      <c r="A318" s="65"/>
    </row>
    <row r="319" ht="12.75" customHeight="1">
      <c r="A319" s="65"/>
    </row>
    <row r="320" ht="12.75" customHeight="1">
      <c r="A320" s="65"/>
    </row>
    <row r="321" ht="12.75" customHeight="1">
      <c r="A321" s="65"/>
    </row>
    <row r="322" ht="12.75" customHeight="1">
      <c r="A322" s="65"/>
    </row>
    <row r="323" ht="12.75" customHeight="1">
      <c r="A323" s="65"/>
    </row>
    <row r="324" ht="12.75" customHeight="1">
      <c r="A324" s="65"/>
    </row>
    <row r="325" ht="12.75" customHeight="1">
      <c r="A325" s="65"/>
    </row>
    <row r="326" ht="12.75" customHeight="1">
      <c r="A326" s="65"/>
    </row>
    <row r="327" ht="12.75" customHeight="1">
      <c r="A327" s="65"/>
    </row>
    <row r="328" ht="12.75" customHeight="1">
      <c r="A328" s="65"/>
    </row>
    <row r="329" ht="12.75" customHeight="1">
      <c r="A329" s="65"/>
    </row>
    <row r="330" ht="12.75" customHeight="1">
      <c r="A330" s="65"/>
    </row>
    <row r="331" ht="12.75" customHeight="1">
      <c r="A331" s="65"/>
    </row>
    <row r="332" ht="12.75" customHeight="1">
      <c r="A332" s="65"/>
    </row>
    <row r="333" ht="12.75" customHeight="1">
      <c r="A333" s="65"/>
    </row>
    <row r="334" ht="12.75" customHeight="1">
      <c r="A334" s="65"/>
    </row>
    <row r="335" ht="12.75" customHeight="1">
      <c r="A335" s="65"/>
    </row>
    <row r="336" ht="12.75" customHeight="1">
      <c r="A336" s="65"/>
    </row>
    <row r="337" ht="12.75" customHeight="1">
      <c r="A337" s="65"/>
    </row>
    <row r="338" ht="12.75" customHeight="1">
      <c r="A338" s="65"/>
    </row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29"/>
    <col customWidth="1" min="2" max="2" width="10.14"/>
    <col customWidth="1" min="3" max="3" width="9.86"/>
    <col customWidth="1" min="4" max="5" width="8.71"/>
    <col customWidth="1" min="6" max="6" width="18.29"/>
    <col customWidth="1" min="7" max="26" width="8.71"/>
  </cols>
  <sheetData>
    <row r="1" ht="12.75" customHeight="1">
      <c r="A1" s="68" t="s">
        <v>0</v>
      </c>
      <c r="B1" s="67" t="s">
        <v>2</v>
      </c>
      <c r="C1" s="71"/>
    </row>
    <row r="2" ht="12.75" customHeight="1">
      <c r="A2" s="15" t="s">
        <v>125</v>
      </c>
      <c r="B2" s="16">
        <v>1.0</v>
      </c>
      <c r="C2" s="75"/>
      <c r="E2" s="7" t="s">
        <v>728</v>
      </c>
      <c r="F2" s="15">
        <v>5.65</v>
      </c>
      <c r="G2" s="85"/>
      <c r="H2" s="16"/>
      <c r="I2" s="11"/>
      <c r="J2" s="7"/>
    </row>
    <row r="3" ht="12.75" customHeight="1">
      <c r="A3" s="15" t="s">
        <v>96</v>
      </c>
      <c r="B3" s="16">
        <v>4.0</v>
      </c>
      <c r="C3" s="17"/>
      <c r="D3" s="7" t="s">
        <v>728</v>
      </c>
      <c r="E3" s="7" t="s">
        <v>728</v>
      </c>
      <c r="F3" s="20">
        <v>24.18</v>
      </c>
      <c r="G3" s="10"/>
      <c r="H3" s="16"/>
      <c r="I3" s="11"/>
      <c r="J3" s="7"/>
    </row>
    <row r="4" ht="12.75" customHeight="1">
      <c r="A4" s="20" t="s">
        <v>206</v>
      </c>
      <c r="B4" s="16">
        <v>1.0</v>
      </c>
      <c r="C4" s="17"/>
      <c r="D4" s="7" t="s">
        <v>728</v>
      </c>
      <c r="E4" s="7" t="s">
        <v>728</v>
      </c>
      <c r="F4" s="15">
        <v>1.45</v>
      </c>
      <c r="G4" s="10"/>
      <c r="H4" s="16"/>
      <c r="I4" s="11"/>
      <c r="J4" s="7"/>
    </row>
    <row r="5" ht="12.75" customHeight="1">
      <c r="A5" s="15" t="s">
        <v>106</v>
      </c>
      <c r="B5" s="16">
        <v>1.0</v>
      </c>
      <c r="C5" s="17"/>
      <c r="D5" s="7" t="s">
        <v>728</v>
      </c>
      <c r="E5" s="7" t="s">
        <v>728</v>
      </c>
      <c r="F5" s="15">
        <v>1.61</v>
      </c>
      <c r="G5" s="10"/>
      <c r="H5" s="16"/>
      <c r="I5" s="11"/>
      <c r="J5" s="7"/>
    </row>
    <row r="6" ht="12.75" customHeight="1">
      <c r="A6" s="15" t="s">
        <v>104</v>
      </c>
      <c r="B6" s="16">
        <v>6.0</v>
      </c>
      <c r="C6" s="17"/>
      <c r="D6" s="7" t="s">
        <v>728</v>
      </c>
      <c r="E6" s="7" t="s">
        <v>728</v>
      </c>
      <c r="F6" s="15">
        <v>1.58</v>
      </c>
      <c r="G6" s="28"/>
      <c r="H6" s="16"/>
      <c r="I6" s="11"/>
      <c r="J6" s="7"/>
    </row>
    <row r="7" ht="12.75" customHeight="1">
      <c r="A7" s="7" t="s">
        <v>107</v>
      </c>
      <c r="B7" s="16">
        <v>1.0</v>
      </c>
      <c r="C7" s="17"/>
      <c r="D7" s="7" t="s">
        <v>728</v>
      </c>
      <c r="E7" s="7" t="s">
        <v>728</v>
      </c>
      <c r="F7" s="10">
        <v>1.94</v>
      </c>
      <c r="H7" s="74"/>
      <c r="I7" s="11"/>
      <c r="J7" s="76"/>
    </row>
    <row r="8" ht="12.75" customHeight="1">
      <c r="A8" s="29" t="s">
        <v>91</v>
      </c>
      <c r="B8" s="74">
        <v>3.0</v>
      </c>
      <c r="C8" s="75"/>
      <c r="D8" s="76" t="s">
        <v>728</v>
      </c>
      <c r="E8" s="7" t="s">
        <v>728</v>
      </c>
      <c r="F8" s="15">
        <v>1.86</v>
      </c>
      <c r="G8" s="28"/>
      <c r="H8" s="16"/>
      <c r="I8" s="11"/>
    </row>
    <row r="9" ht="12.75" customHeight="1">
      <c r="A9" s="7" t="s">
        <v>197</v>
      </c>
      <c r="B9" s="16">
        <v>2.0</v>
      </c>
      <c r="C9" s="17"/>
      <c r="D9" s="20" t="s">
        <v>728</v>
      </c>
      <c r="E9" s="7" t="s">
        <v>728</v>
      </c>
      <c r="F9" s="15">
        <v>1.61</v>
      </c>
      <c r="G9" s="28"/>
      <c r="H9" s="16"/>
      <c r="I9" s="11"/>
    </row>
    <row r="10" ht="12.75" customHeight="1">
      <c r="A10" s="15" t="s">
        <v>82</v>
      </c>
      <c r="B10" s="16">
        <v>1.0</v>
      </c>
      <c r="C10" s="17"/>
      <c r="D10" s="20" t="s">
        <v>728</v>
      </c>
      <c r="E10" s="7" t="s">
        <v>728</v>
      </c>
      <c r="F10" s="15">
        <v>1.92</v>
      </c>
      <c r="G10" s="10"/>
      <c r="H10" s="16"/>
      <c r="I10" s="11"/>
      <c r="J10" s="7"/>
    </row>
    <row r="11" ht="12.75" customHeight="1">
      <c r="A11" s="15" t="s">
        <v>105</v>
      </c>
      <c r="B11" s="16">
        <v>6.0</v>
      </c>
      <c r="C11" s="17"/>
      <c r="D11" s="7" t="s">
        <v>728</v>
      </c>
      <c r="E11" s="7" t="s">
        <v>728</v>
      </c>
      <c r="F11" s="15">
        <v>1.89</v>
      </c>
      <c r="G11" s="10"/>
      <c r="H11" s="16"/>
      <c r="I11" s="11"/>
      <c r="J11" s="7"/>
    </row>
    <row r="12" ht="12.75" customHeight="1">
      <c r="A12" s="15" t="s">
        <v>69</v>
      </c>
      <c r="B12" s="16">
        <v>5.0</v>
      </c>
      <c r="C12" s="17"/>
      <c r="D12" s="7" t="s">
        <v>728</v>
      </c>
      <c r="E12" s="7" t="s">
        <v>728</v>
      </c>
      <c r="F12" s="15">
        <v>1.64</v>
      </c>
      <c r="G12" s="10"/>
      <c r="H12" s="16"/>
      <c r="I12" s="11"/>
      <c r="J12" s="7"/>
    </row>
    <row r="13" ht="12.75" customHeight="1">
      <c r="A13" s="15" t="s">
        <v>52</v>
      </c>
      <c r="B13" s="16">
        <v>5.0</v>
      </c>
      <c r="C13" s="17"/>
      <c r="D13" s="7" t="s">
        <v>728</v>
      </c>
      <c r="E13" s="7" t="s">
        <v>728</v>
      </c>
      <c r="F13" s="15">
        <v>2.24</v>
      </c>
      <c r="G13" s="10"/>
      <c r="H13" s="16"/>
      <c r="I13" s="11"/>
      <c r="J13" s="7"/>
    </row>
    <row r="14" ht="12.75" customHeight="1">
      <c r="A14" s="15" t="s">
        <v>103</v>
      </c>
      <c r="B14" s="16">
        <v>4.0</v>
      </c>
      <c r="C14" s="17"/>
      <c r="D14" s="7" t="s">
        <v>728</v>
      </c>
      <c r="E14" s="7" t="s">
        <v>728</v>
      </c>
      <c r="F14" s="15">
        <v>1.94</v>
      </c>
      <c r="G14" s="10"/>
      <c r="H14" s="16"/>
      <c r="I14" s="11"/>
      <c r="J14" s="7"/>
    </row>
    <row r="15" ht="12.75" customHeight="1">
      <c r="A15" s="15" t="s">
        <v>51</v>
      </c>
      <c r="B15" s="16">
        <v>6.0</v>
      </c>
      <c r="C15" s="17"/>
      <c r="D15" s="7" t="s">
        <v>728</v>
      </c>
      <c r="E15" s="7" t="s">
        <v>728</v>
      </c>
      <c r="F15" s="15">
        <v>2.28</v>
      </c>
      <c r="G15" s="10"/>
      <c r="H15" s="16"/>
      <c r="I15" s="11"/>
    </row>
    <row r="16" ht="12.75" customHeight="1">
      <c r="A16" s="15" t="s">
        <v>310</v>
      </c>
      <c r="B16" s="74">
        <v>1.0</v>
      </c>
      <c r="C16" s="75"/>
      <c r="D16" s="20" t="s">
        <v>728</v>
      </c>
      <c r="E16" s="7" t="s">
        <v>728</v>
      </c>
      <c r="F16" s="15">
        <v>2.3</v>
      </c>
      <c r="G16" s="10"/>
      <c r="H16" s="16"/>
      <c r="I16" s="11"/>
      <c r="J16" s="7"/>
    </row>
    <row r="17" ht="12.75" customHeight="1">
      <c r="A17" s="20" t="s">
        <v>380</v>
      </c>
      <c r="B17" s="16">
        <v>1.0</v>
      </c>
      <c r="C17" s="17"/>
      <c r="D17" s="7" t="s">
        <v>728</v>
      </c>
      <c r="E17" s="7" t="s">
        <v>728</v>
      </c>
      <c r="F17" s="15">
        <v>2.38</v>
      </c>
      <c r="G17" s="85"/>
      <c r="H17" s="16"/>
      <c r="I17" s="11"/>
      <c r="J17" s="7"/>
    </row>
    <row r="18" ht="12.75" customHeight="1">
      <c r="A18" s="15" t="s">
        <v>50</v>
      </c>
      <c r="B18" s="16">
        <v>2.0</v>
      </c>
      <c r="C18" s="17"/>
      <c r="D18" s="7" t="s">
        <v>728</v>
      </c>
      <c r="E18" s="7" t="s">
        <v>728</v>
      </c>
      <c r="F18" s="15">
        <v>2.36</v>
      </c>
      <c r="G18" s="85"/>
      <c r="H18" s="16"/>
      <c r="I18" s="11"/>
      <c r="J18" s="7"/>
    </row>
    <row r="19" ht="12.75" customHeight="1">
      <c r="A19" s="15" t="s">
        <v>68</v>
      </c>
      <c r="B19" s="16">
        <v>2.0</v>
      </c>
      <c r="C19" s="17"/>
      <c r="D19" s="7" t="s">
        <v>728</v>
      </c>
      <c r="E19" s="7" t="s">
        <v>728</v>
      </c>
      <c r="F19" s="15">
        <v>3.54</v>
      </c>
      <c r="G19" s="10"/>
      <c r="H19" s="16"/>
      <c r="I19" s="11"/>
      <c r="J19" s="7"/>
    </row>
    <row r="20" ht="12.75" customHeight="1">
      <c r="A20" s="15" t="s">
        <v>98</v>
      </c>
      <c r="B20" s="16">
        <v>5.0</v>
      </c>
      <c r="C20" s="17"/>
      <c r="D20" s="7" t="s">
        <v>728</v>
      </c>
      <c r="E20" s="7" t="s">
        <v>728</v>
      </c>
      <c r="F20" s="15">
        <v>2.12</v>
      </c>
      <c r="G20" s="10"/>
      <c r="H20" s="16"/>
      <c r="I20" s="11"/>
      <c r="J20" s="7"/>
    </row>
    <row r="21" ht="12.75" customHeight="1">
      <c r="A21" s="15" t="s">
        <v>67</v>
      </c>
      <c r="B21" s="16">
        <v>5.0</v>
      </c>
      <c r="C21" s="17"/>
      <c r="D21" s="7" t="s">
        <v>728</v>
      </c>
      <c r="E21" s="7" t="s">
        <v>728</v>
      </c>
      <c r="F21" s="15">
        <v>2.37</v>
      </c>
      <c r="G21" s="10"/>
      <c r="H21" s="16"/>
      <c r="I21" s="11"/>
      <c r="J21" s="7"/>
    </row>
    <row r="22" ht="12.75" customHeight="1">
      <c r="A22" s="15" t="s">
        <v>100</v>
      </c>
      <c r="B22" s="16">
        <v>1.0</v>
      </c>
      <c r="C22" s="17"/>
      <c r="D22" s="7" t="s">
        <v>835</v>
      </c>
      <c r="E22" s="7" t="s">
        <v>848</v>
      </c>
      <c r="F22" s="15">
        <v>2.91</v>
      </c>
      <c r="G22" s="10"/>
      <c r="H22" s="16"/>
      <c r="I22" s="11"/>
      <c r="J22" s="7"/>
    </row>
    <row r="23" ht="12.75" customHeight="1">
      <c r="A23" s="15" t="s">
        <v>99</v>
      </c>
      <c r="B23" s="16">
        <v>1.0</v>
      </c>
      <c r="C23" s="17"/>
      <c r="D23" s="7" t="s">
        <v>728</v>
      </c>
      <c r="E23" s="7" t="s">
        <v>728</v>
      </c>
      <c r="F23" s="15">
        <v>3.91</v>
      </c>
      <c r="G23" s="10"/>
      <c r="H23" s="16"/>
      <c r="I23" s="11"/>
      <c r="J23" s="7"/>
    </row>
    <row r="24" ht="12.75" customHeight="1">
      <c r="A24" s="15" t="s">
        <v>379</v>
      </c>
      <c r="B24" s="16">
        <v>2.0</v>
      </c>
      <c r="C24" s="17"/>
      <c r="D24" s="7" t="s">
        <v>728</v>
      </c>
      <c r="E24" s="7" t="s">
        <v>728</v>
      </c>
      <c r="F24" s="15">
        <v>3.43</v>
      </c>
      <c r="G24" s="10"/>
      <c r="H24" s="16"/>
      <c r="I24" s="11"/>
      <c r="J24" s="7"/>
    </row>
    <row r="25" ht="12.75" customHeight="1">
      <c r="A25" s="15" t="s">
        <v>378</v>
      </c>
      <c r="B25" s="16">
        <v>2.0</v>
      </c>
      <c r="C25" s="17"/>
      <c r="D25" s="7" t="s">
        <v>728</v>
      </c>
      <c r="E25" s="7" t="s">
        <v>728</v>
      </c>
      <c r="F25" s="15">
        <v>3.95</v>
      </c>
      <c r="G25" s="10"/>
      <c r="H25" s="16"/>
      <c r="I25" s="11"/>
      <c r="J25" s="7"/>
    </row>
    <row r="26" ht="12.75" customHeight="1">
      <c r="A26" s="15" t="s">
        <v>81</v>
      </c>
      <c r="B26" s="16">
        <v>2.0</v>
      </c>
      <c r="C26" s="17"/>
      <c r="D26" s="7" t="s">
        <v>728</v>
      </c>
      <c r="E26" s="7" t="s">
        <v>728</v>
      </c>
      <c r="F26" s="15">
        <v>3.88</v>
      </c>
      <c r="G26" s="10"/>
      <c r="H26" s="16"/>
      <c r="I26" s="11"/>
      <c r="J26" s="7"/>
    </row>
    <row r="27" ht="12.75" customHeight="1">
      <c r="A27" s="15" t="s">
        <v>101</v>
      </c>
      <c r="B27" s="16">
        <v>5.0</v>
      </c>
      <c r="C27" s="17"/>
      <c r="D27" s="7" t="s">
        <v>728</v>
      </c>
      <c r="E27" s="7" t="s">
        <v>728</v>
      </c>
      <c r="F27" s="15">
        <v>3.54</v>
      </c>
      <c r="G27" s="10"/>
      <c r="H27" s="16"/>
      <c r="I27" s="11"/>
      <c r="J27" s="7"/>
    </row>
    <row r="28" ht="12.75" customHeight="1">
      <c r="A28" s="15" t="s">
        <v>48</v>
      </c>
      <c r="B28" s="16">
        <v>2.0</v>
      </c>
      <c r="C28" s="17"/>
      <c r="D28" s="7" t="s">
        <v>848</v>
      </c>
      <c r="E28" s="7" t="s">
        <v>848</v>
      </c>
      <c r="F28" s="15">
        <v>8.02</v>
      </c>
      <c r="G28" s="10"/>
      <c r="H28" s="16"/>
      <c r="I28" s="11"/>
      <c r="J28" s="7"/>
    </row>
    <row r="29" ht="12.75" customHeight="1">
      <c r="A29" s="7" t="s">
        <v>205</v>
      </c>
      <c r="B29" s="16">
        <v>1.0</v>
      </c>
      <c r="C29" s="17"/>
      <c r="D29" s="7" t="s">
        <v>728</v>
      </c>
      <c r="E29" s="7" t="s">
        <v>728</v>
      </c>
      <c r="F29" s="15">
        <v>4.83</v>
      </c>
      <c r="G29" s="10"/>
      <c r="H29" s="16"/>
      <c r="I29" s="11"/>
      <c r="J29" s="7"/>
    </row>
    <row r="30" ht="12.75" customHeight="1">
      <c r="A30" s="15" t="s">
        <v>494</v>
      </c>
      <c r="B30" s="16">
        <v>1.0</v>
      </c>
      <c r="C30" s="17"/>
      <c r="D30" s="7" t="s">
        <v>841</v>
      </c>
      <c r="E30" s="7" t="s">
        <v>848</v>
      </c>
      <c r="F30" s="15">
        <v>9.26</v>
      </c>
    </row>
    <row r="31" ht="12.75" customHeight="1">
      <c r="A31" s="15" t="s">
        <v>56</v>
      </c>
      <c r="B31" s="16">
        <v>1.0</v>
      </c>
      <c r="C31" s="17"/>
      <c r="D31" s="7" t="s">
        <v>848</v>
      </c>
      <c r="E31" s="7" t="s">
        <v>848</v>
      </c>
      <c r="F31" s="15">
        <v>8.22</v>
      </c>
    </row>
    <row r="32" ht="12.75" customHeight="1">
      <c r="A32" s="15" t="s">
        <v>97</v>
      </c>
      <c r="B32" s="16">
        <v>4.0</v>
      </c>
      <c r="C32" s="17"/>
      <c r="D32" s="7" t="s">
        <v>728</v>
      </c>
      <c r="E32" s="7" t="s">
        <v>728</v>
      </c>
      <c r="F32" s="20">
        <v>5.36</v>
      </c>
    </row>
    <row r="33" ht="12.75" customHeight="1">
      <c r="A33" s="15" t="s">
        <v>65</v>
      </c>
      <c r="B33" s="16">
        <v>3.0</v>
      </c>
      <c r="C33" s="17"/>
      <c r="D33" s="7" t="s">
        <v>841</v>
      </c>
      <c r="E33" s="7" t="s">
        <v>848</v>
      </c>
      <c r="F33" s="15">
        <v>6.02</v>
      </c>
    </row>
    <row r="34" ht="12.75" customHeight="1">
      <c r="A34" s="15" t="s">
        <v>849</v>
      </c>
      <c r="B34" s="16">
        <v>1.0</v>
      </c>
      <c r="C34" s="75"/>
      <c r="D34" s="7" t="s">
        <v>850</v>
      </c>
      <c r="E34" s="7" t="s">
        <v>728</v>
      </c>
      <c r="F34" s="20">
        <v>45.77</v>
      </c>
    </row>
    <row r="35" ht="12.75" customHeight="1">
      <c r="A35" s="15"/>
      <c r="B35" s="16"/>
      <c r="C35" s="17"/>
    </row>
    <row r="36" ht="12.75" customHeight="1">
      <c r="A36" s="82"/>
      <c r="B36" s="74"/>
      <c r="C36" s="75"/>
    </row>
    <row r="37" ht="12.75" customHeight="1">
      <c r="A37" s="73"/>
      <c r="B37" s="74"/>
      <c r="C37" s="75"/>
    </row>
    <row r="38" ht="12.75" customHeight="1">
      <c r="A38" s="73"/>
      <c r="B38" s="74"/>
      <c r="C38" s="75"/>
    </row>
    <row r="39" ht="12.75" customHeight="1">
      <c r="A39" s="15"/>
      <c r="B39" s="16"/>
      <c r="C39" s="17"/>
    </row>
    <row r="40" ht="12.75" customHeight="1">
      <c r="A40" s="15"/>
      <c r="B40" s="16"/>
      <c r="C40" s="75"/>
    </row>
    <row r="41" ht="12.75" customHeight="1">
      <c r="A41" s="15"/>
      <c r="B41" s="16"/>
      <c r="C41" s="75"/>
    </row>
    <row r="42" ht="12.75" customHeight="1">
      <c r="A42" s="15"/>
      <c r="B42" s="16"/>
      <c r="C42" s="75"/>
    </row>
    <row r="43" ht="12.75" customHeight="1">
      <c r="A43" s="15"/>
      <c r="B43" s="16"/>
      <c r="C43" s="17"/>
    </row>
    <row r="44" ht="12.75" customHeight="1">
      <c r="A44" s="15"/>
      <c r="B44" s="16"/>
      <c r="C44" s="75"/>
    </row>
    <row r="45" ht="12.75" customHeight="1">
      <c r="A45" s="15"/>
      <c r="B45" s="16"/>
      <c r="C45" s="75"/>
    </row>
    <row r="46" ht="12.75" customHeight="1">
      <c r="A46" s="15"/>
      <c r="B46" s="16"/>
      <c r="C46" s="17"/>
    </row>
    <row r="47" ht="12.75" customHeight="1">
      <c r="A47" s="15"/>
      <c r="B47" s="16"/>
      <c r="C47" s="75"/>
    </row>
    <row r="48" ht="12.75" customHeight="1">
      <c r="A48" s="44"/>
      <c r="B48" s="16"/>
      <c r="C48" s="75"/>
    </row>
    <row r="49" ht="12.75" customHeight="1">
      <c r="A49" s="44"/>
      <c r="B49" s="16"/>
      <c r="C49" s="75"/>
    </row>
    <row r="50" ht="12.75" customHeight="1">
      <c r="A50" s="44"/>
      <c r="B50" s="16"/>
      <c r="C50" s="75"/>
    </row>
    <row r="51" ht="12.75" customHeight="1">
      <c r="A51" s="15"/>
      <c r="B51" s="16"/>
      <c r="C51" s="17"/>
    </row>
    <row r="52" ht="12.75" customHeight="1">
      <c r="A52" s="15"/>
      <c r="B52" s="16"/>
      <c r="C52" s="17"/>
    </row>
    <row r="53" ht="12.75" customHeight="1">
      <c r="A53" s="15"/>
      <c r="B53" s="16"/>
      <c r="C53" s="17"/>
    </row>
    <row r="54" ht="12.75" customHeight="1">
      <c r="A54" s="15"/>
      <c r="B54" s="16"/>
      <c r="C54" s="17"/>
    </row>
    <row r="55" ht="12.75" customHeight="1">
      <c r="A55" s="15"/>
      <c r="B55" s="16"/>
      <c r="C55" s="17"/>
    </row>
    <row r="56" ht="12.75" customHeight="1">
      <c r="B56" s="16"/>
      <c r="C56" s="17"/>
    </row>
    <row r="57" ht="12.75" customHeight="1">
      <c r="A57" s="15"/>
      <c r="B57" s="16"/>
      <c r="C57" s="17"/>
    </row>
    <row r="58" ht="12.75" customHeight="1">
      <c r="A58" s="15"/>
      <c r="B58" s="16"/>
      <c r="C58" s="17"/>
    </row>
    <row r="59" ht="12.75" customHeight="1">
      <c r="A59" s="15"/>
      <c r="B59" s="16"/>
      <c r="C59" s="17"/>
    </row>
    <row r="60" ht="12.75" customHeight="1">
      <c r="A60" s="15"/>
      <c r="B60" s="7"/>
      <c r="C60" s="17"/>
    </row>
    <row r="61" ht="12.75" customHeight="1">
      <c r="A61" s="15"/>
      <c r="B61" s="16"/>
      <c r="C61" s="17"/>
    </row>
    <row r="62" ht="12.75" customHeight="1">
      <c r="A62" s="15"/>
      <c r="B62" s="16"/>
      <c r="C62" s="75"/>
    </row>
    <row r="63" ht="12.75" customHeight="1">
      <c r="A63" s="7"/>
      <c r="B63" s="16"/>
      <c r="C63" s="17"/>
    </row>
    <row r="64" ht="12.75" customHeight="1">
      <c r="A64" s="15"/>
      <c r="B64" s="7"/>
      <c r="C64" s="17"/>
    </row>
    <row r="65" ht="12.75" customHeight="1">
      <c r="A65" s="15"/>
      <c r="B65" s="16"/>
      <c r="C65" s="17"/>
    </row>
    <row r="66" ht="12.75" customHeight="1">
      <c r="A66" s="73"/>
      <c r="B66" s="74"/>
      <c r="C66" s="75"/>
    </row>
    <row r="67" ht="12.75" customHeight="1">
      <c r="A67" s="15"/>
      <c r="B67" s="16"/>
      <c r="C67" s="17"/>
    </row>
    <row r="68" ht="12.75" customHeight="1">
      <c r="A68" s="15"/>
      <c r="B68" s="16"/>
      <c r="C68" s="17"/>
    </row>
    <row r="69" ht="12.75" customHeight="1">
      <c r="A69" s="15"/>
      <c r="B69" s="63" t="s">
        <v>3</v>
      </c>
      <c r="C69" s="64"/>
    </row>
    <row r="70" ht="12.75" customHeight="1">
      <c r="A70" s="65"/>
    </row>
    <row r="71" ht="12.75" customHeight="1">
      <c r="A71" s="65"/>
    </row>
    <row r="72" ht="12.75" customHeight="1">
      <c r="A72" s="65"/>
    </row>
    <row r="73" ht="12.75" customHeight="1">
      <c r="A73" s="65"/>
    </row>
    <row r="74" ht="12.75" customHeight="1">
      <c r="A74" s="65"/>
    </row>
    <row r="75" ht="12.75" customHeight="1">
      <c r="A75" s="65"/>
    </row>
    <row r="76" ht="12.75" customHeight="1">
      <c r="A76" s="65"/>
    </row>
    <row r="77" ht="12.75" customHeight="1">
      <c r="A77" s="65"/>
    </row>
    <row r="78" ht="12.75" customHeight="1">
      <c r="A78" s="65"/>
    </row>
    <row r="79" ht="12.75" customHeight="1">
      <c r="A79" s="65"/>
    </row>
    <row r="80" ht="12.75" customHeight="1">
      <c r="A80" s="65"/>
    </row>
    <row r="81" ht="12.75" customHeight="1">
      <c r="A81" s="65"/>
    </row>
    <row r="82" ht="12.75" customHeight="1">
      <c r="A82" s="65"/>
    </row>
    <row r="83" ht="12.75" customHeight="1">
      <c r="A83" s="65"/>
    </row>
    <row r="84" ht="12.75" customHeight="1">
      <c r="A84" s="65"/>
    </row>
    <row r="85" ht="12.75" customHeight="1">
      <c r="A85" s="65"/>
    </row>
    <row r="86" ht="12.75" customHeight="1">
      <c r="A86" s="65"/>
    </row>
    <row r="87" ht="12.75" customHeight="1">
      <c r="A87" s="65"/>
    </row>
    <row r="88" ht="12.75" customHeight="1">
      <c r="A88" s="65"/>
    </row>
    <row r="89" ht="12.75" customHeight="1">
      <c r="A89" s="65"/>
    </row>
    <row r="90" ht="12.75" customHeight="1">
      <c r="A90" s="65"/>
    </row>
    <row r="91" ht="12.75" customHeight="1">
      <c r="A91" s="65"/>
    </row>
    <row r="92" ht="12.75" customHeight="1">
      <c r="A92" s="65"/>
    </row>
    <row r="93" ht="12.75" customHeight="1">
      <c r="A93" s="65"/>
    </row>
    <row r="94" ht="12.75" customHeight="1">
      <c r="A94" s="65"/>
    </row>
    <row r="95" ht="12.75" customHeight="1">
      <c r="A95" s="65"/>
    </row>
    <row r="96" ht="12.75" customHeight="1">
      <c r="A96" s="65"/>
    </row>
    <row r="97" ht="12.75" customHeight="1">
      <c r="A97" s="65"/>
    </row>
    <row r="98" ht="12.75" customHeight="1">
      <c r="A98" s="65"/>
    </row>
    <row r="99" ht="12.75" customHeight="1">
      <c r="A99" s="65"/>
    </row>
    <row r="100" ht="12.75" customHeight="1">
      <c r="A100" s="65"/>
    </row>
    <row r="101" ht="12.75" customHeight="1">
      <c r="A101" s="65"/>
    </row>
    <row r="102" ht="12.75" customHeight="1">
      <c r="A102" s="65"/>
    </row>
    <row r="103" ht="12.75" customHeight="1">
      <c r="A103" s="65"/>
    </row>
    <row r="104" ht="12.75" customHeight="1">
      <c r="A104" s="65"/>
    </row>
    <row r="105" ht="12.75" customHeight="1">
      <c r="A105" s="65"/>
    </row>
    <row r="106" ht="12.75" customHeight="1">
      <c r="A106" s="65"/>
    </row>
    <row r="107" ht="12.75" customHeight="1">
      <c r="A107" s="65"/>
    </row>
    <row r="108" ht="12.75" customHeight="1">
      <c r="A108" s="65"/>
    </row>
    <row r="109" ht="12.75" customHeight="1">
      <c r="A109" s="65"/>
    </row>
    <row r="110" ht="12.75" customHeight="1">
      <c r="A110" s="65"/>
    </row>
    <row r="111" ht="12.75" customHeight="1">
      <c r="A111" s="65"/>
    </row>
    <row r="112" ht="12.75" customHeight="1">
      <c r="A112" s="65"/>
    </row>
    <row r="113" ht="12.75" customHeight="1">
      <c r="A113" s="65"/>
    </row>
    <row r="114" ht="12.75" customHeight="1">
      <c r="A114" s="65"/>
    </row>
    <row r="115" ht="12.75" customHeight="1">
      <c r="A115" s="65"/>
    </row>
    <row r="116" ht="12.75" customHeight="1">
      <c r="A116" s="65"/>
    </row>
    <row r="117" ht="12.75" customHeight="1">
      <c r="A117" s="65"/>
    </row>
    <row r="118" ht="12.75" customHeight="1">
      <c r="A118" s="65"/>
    </row>
    <row r="119" ht="12.75" customHeight="1">
      <c r="A119" s="65"/>
    </row>
    <row r="120" ht="12.75" customHeight="1">
      <c r="A120" s="65"/>
    </row>
    <row r="121" ht="12.75" customHeight="1">
      <c r="A121" s="65"/>
    </row>
    <row r="122" ht="12.75" customHeight="1">
      <c r="A122" s="65"/>
    </row>
    <row r="123" ht="12.75" customHeight="1">
      <c r="A123" s="65"/>
    </row>
    <row r="124" ht="12.75" customHeight="1">
      <c r="A124" s="65"/>
    </row>
    <row r="125" ht="12.75" customHeight="1">
      <c r="A125" s="65"/>
    </row>
    <row r="126" ht="12.75" customHeight="1">
      <c r="A126" s="65"/>
    </row>
    <row r="127" ht="12.75" customHeight="1">
      <c r="A127" s="65"/>
    </row>
    <row r="128" ht="12.75" customHeight="1">
      <c r="A128" s="65"/>
    </row>
    <row r="129" ht="12.75" customHeight="1">
      <c r="A129" s="65"/>
    </row>
    <row r="130" ht="12.75" customHeight="1">
      <c r="A130" s="65"/>
    </row>
    <row r="131" ht="12.75" customHeight="1">
      <c r="A131" s="65"/>
    </row>
    <row r="132" ht="12.75" customHeight="1">
      <c r="A132" s="65"/>
    </row>
    <row r="133" ht="12.75" customHeight="1">
      <c r="A133" s="65"/>
    </row>
    <row r="134" ht="12.75" customHeight="1">
      <c r="A134" s="65"/>
    </row>
    <row r="135" ht="12.75" customHeight="1">
      <c r="A135" s="65"/>
    </row>
    <row r="136" ht="12.75" customHeight="1">
      <c r="A136" s="65"/>
    </row>
    <row r="137" ht="12.75" customHeight="1">
      <c r="A137" s="65"/>
    </row>
    <row r="138" ht="12.75" customHeight="1">
      <c r="A138" s="65"/>
    </row>
    <row r="139" ht="12.75" customHeight="1">
      <c r="A139" s="65"/>
    </row>
    <row r="140" ht="12.75" customHeight="1">
      <c r="A140" s="65"/>
    </row>
    <row r="141" ht="12.75" customHeight="1">
      <c r="A141" s="65"/>
    </row>
    <row r="142" ht="12.75" customHeight="1">
      <c r="A142" s="65"/>
    </row>
    <row r="143" ht="12.75" customHeight="1">
      <c r="A143" s="65"/>
    </row>
    <row r="144" ht="12.75" customHeight="1">
      <c r="A144" s="65"/>
    </row>
    <row r="145" ht="12.75" customHeight="1">
      <c r="A145" s="65"/>
    </row>
    <row r="146" ht="12.75" customHeight="1">
      <c r="A146" s="65"/>
    </row>
    <row r="147" ht="12.75" customHeight="1">
      <c r="A147" s="65"/>
    </row>
    <row r="148" ht="12.75" customHeight="1">
      <c r="A148" s="65"/>
    </row>
    <row r="149" ht="12.75" customHeight="1">
      <c r="A149" s="65"/>
    </row>
    <row r="150" ht="12.75" customHeight="1">
      <c r="A150" s="65"/>
    </row>
    <row r="151" ht="12.75" customHeight="1">
      <c r="A151" s="65"/>
    </row>
    <row r="152" ht="12.75" customHeight="1">
      <c r="A152" s="65"/>
    </row>
    <row r="153" ht="12.75" customHeight="1">
      <c r="A153" s="65"/>
    </row>
    <row r="154" ht="12.75" customHeight="1">
      <c r="A154" s="65"/>
    </row>
    <row r="155" ht="12.75" customHeight="1">
      <c r="A155" s="65"/>
    </row>
    <row r="156" ht="12.75" customHeight="1">
      <c r="A156" s="65"/>
    </row>
    <row r="157" ht="12.75" customHeight="1">
      <c r="A157" s="65"/>
    </row>
    <row r="158" ht="12.75" customHeight="1">
      <c r="A158" s="65"/>
    </row>
    <row r="159" ht="12.75" customHeight="1">
      <c r="A159" s="65"/>
    </row>
    <row r="160" ht="12.75" customHeight="1">
      <c r="A160" s="65"/>
    </row>
    <row r="161" ht="12.75" customHeight="1">
      <c r="A161" s="65"/>
    </row>
    <row r="162" ht="12.75" customHeight="1">
      <c r="A162" s="65"/>
    </row>
    <row r="163" ht="12.75" customHeight="1">
      <c r="A163" s="65"/>
    </row>
    <row r="164" ht="12.75" customHeight="1">
      <c r="A164" s="65"/>
    </row>
    <row r="165" ht="12.75" customHeight="1">
      <c r="A165" s="65"/>
    </row>
    <row r="166" ht="12.75" customHeight="1">
      <c r="A166" s="65"/>
    </row>
    <row r="167" ht="12.75" customHeight="1">
      <c r="A167" s="65"/>
    </row>
    <row r="168" ht="12.75" customHeight="1">
      <c r="A168" s="65"/>
    </row>
    <row r="169" ht="12.75" customHeight="1">
      <c r="A169" s="65"/>
    </row>
    <row r="170" ht="12.75" customHeight="1">
      <c r="A170" s="65"/>
    </row>
    <row r="171" ht="12.75" customHeight="1">
      <c r="A171" s="65"/>
    </row>
    <row r="172" ht="12.75" customHeight="1">
      <c r="A172" s="65"/>
    </row>
    <row r="173" ht="12.75" customHeight="1">
      <c r="A173" s="65"/>
    </row>
    <row r="174" ht="12.75" customHeight="1">
      <c r="A174" s="65"/>
    </row>
    <row r="175" ht="12.75" customHeight="1">
      <c r="A175" s="65"/>
    </row>
    <row r="176" ht="12.75" customHeight="1">
      <c r="A176" s="65"/>
    </row>
    <row r="177" ht="12.75" customHeight="1">
      <c r="A177" s="65"/>
    </row>
    <row r="178" ht="12.75" customHeight="1">
      <c r="A178" s="65"/>
    </row>
    <row r="179" ht="12.75" customHeight="1">
      <c r="A179" s="65"/>
    </row>
    <row r="180" ht="12.75" customHeight="1">
      <c r="A180" s="65"/>
    </row>
    <row r="181" ht="12.75" customHeight="1">
      <c r="A181" s="65"/>
    </row>
    <row r="182" ht="12.75" customHeight="1">
      <c r="A182" s="65"/>
    </row>
    <row r="183" ht="12.75" customHeight="1">
      <c r="A183" s="65"/>
    </row>
    <row r="184" ht="12.75" customHeight="1">
      <c r="A184" s="65"/>
    </row>
    <row r="185" ht="12.75" customHeight="1">
      <c r="A185" s="65"/>
    </row>
    <row r="186" ht="12.75" customHeight="1">
      <c r="A186" s="65"/>
    </row>
    <row r="187" ht="12.75" customHeight="1">
      <c r="A187" s="65"/>
    </row>
    <row r="188" ht="12.75" customHeight="1">
      <c r="A188" s="65"/>
    </row>
    <row r="189" ht="12.75" customHeight="1">
      <c r="A189" s="65"/>
    </row>
    <row r="190" ht="12.75" customHeight="1">
      <c r="A190" s="65"/>
    </row>
    <row r="191" ht="12.75" customHeight="1">
      <c r="A191" s="65"/>
    </row>
    <row r="192" ht="12.75" customHeight="1">
      <c r="A192" s="65"/>
    </row>
    <row r="193" ht="12.75" customHeight="1">
      <c r="A193" s="65"/>
    </row>
    <row r="194" ht="12.75" customHeight="1">
      <c r="A194" s="65"/>
    </row>
    <row r="195" ht="12.75" customHeight="1">
      <c r="A195" s="65"/>
    </row>
    <row r="196" ht="12.75" customHeight="1">
      <c r="A196" s="65"/>
    </row>
    <row r="197" ht="12.75" customHeight="1">
      <c r="A197" s="65"/>
    </row>
    <row r="198" ht="12.75" customHeight="1">
      <c r="A198" s="65"/>
    </row>
    <row r="199" ht="12.75" customHeight="1">
      <c r="A199" s="65"/>
    </row>
    <row r="200" ht="12.75" customHeight="1">
      <c r="A200" s="65"/>
    </row>
    <row r="201" ht="12.75" customHeight="1">
      <c r="A201" s="65"/>
    </row>
    <row r="202" ht="12.75" customHeight="1">
      <c r="A202" s="65"/>
    </row>
    <row r="203" ht="12.75" customHeight="1">
      <c r="A203" s="65"/>
    </row>
    <row r="204" ht="12.75" customHeight="1">
      <c r="A204" s="65"/>
    </row>
    <row r="205" ht="12.75" customHeight="1">
      <c r="A205" s="65"/>
    </row>
    <row r="206" ht="12.75" customHeight="1">
      <c r="A206" s="65"/>
    </row>
    <row r="207" ht="12.75" customHeight="1">
      <c r="A207" s="65"/>
    </row>
    <row r="208" ht="12.75" customHeight="1">
      <c r="A208" s="65"/>
    </row>
    <row r="209" ht="12.75" customHeight="1">
      <c r="A209" s="65"/>
    </row>
    <row r="210" ht="12.75" customHeight="1">
      <c r="A210" s="65"/>
    </row>
    <row r="211" ht="12.75" customHeight="1">
      <c r="A211" s="65"/>
    </row>
    <row r="212" ht="12.75" customHeight="1">
      <c r="A212" s="65"/>
    </row>
    <row r="213" ht="12.75" customHeight="1">
      <c r="A213" s="65"/>
    </row>
    <row r="214" ht="12.75" customHeight="1">
      <c r="A214" s="65"/>
    </row>
    <row r="215" ht="12.75" customHeight="1">
      <c r="A215" s="65"/>
    </row>
    <row r="216" ht="12.75" customHeight="1">
      <c r="A216" s="65"/>
    </row>
    <row r="217" ht="12.75" customHeight="1">
      <c r="A217" s="65"/>
    </row>
    <row r="218" ht="12.75" customHeight="1">
      <c r="A218" s="65"/>
    </row>
    <row r="219" ht="12.75" customHeight="1">
      <c r="A219" s="65"/>
    </row>
    <row r="220" ht="12.75" customHeight="1">
      <c r="A220" s="65"/>
    </row>
    <row r="221" ht="12.75" customHeight="1">
      <c r="A221" s="65"/>
    </row>
    <row r="222" ht="12.75" customHeight="1">
      <c r="A222" s="65"/>
    </row>
    <row r="223" ht="12.75" customHeight="1">
      <c r="A223" s="65"/>
    </row>
    <row r="224" ht="12.75" customHeight="1">
      <c r="A224" s="65"/>
    </row>
    <row r="225" ht="12.75" customHeight="1">
      <c r="A225" s="65"/>
    </row>
    <row r="226" ht="12.75" customHeight="1">
      <c r="A226" s="65"/>
    </row>
    <row r="227" ht="12.75" customHeight="1">
      <c r="A227" s="65"/>
    </row>
    <row r="228" ht="12.75" customHeight="1">
      <c r="A228" s="65"/>
    </row>
    <row r="229" ht="12.75" customHeight="1">
      <c r="A229" s="65"/>
    </row>
    <row r="230" ht="12.75" customHeight="1">
      <c r="A230" s="65"/>
    </row>
    <row r="231" ht="12.75" customHeight="1">
      <c r="A231" s="65"/>
    </row>
    <row r="232" ht="12.75" customHeight="1">
      <c r="A232" s="65"/>
    </row>
    <row r="233" ht="12.75" customHeight="1">
      <c r="A233" s="65"/>
    </row>
    <row r="234" ht="12.75" customHeight="1">
      <c r="A234" s="65"/>
    </row>
    <row r="235" ht="12.75" customHeight="1">
      <c r="A235" s="65"/>
    </row>
    <row r="236" ht="12.75" customHeight="1">
      <c r="A236" s="65"/>
    </row>
    <row r="237" ht="12.75" customHeight="1">
      <c r="A237" s="65"/>
    </row>
    <row r="238" ht="12.75" customHeight="1">
      <c r="A238" s="65"/>
    </row>
    <row r="239" ht="12.75" customHeight="1">
      <c r="A239" s="65"/>
    </row>
    <row r="240" ht="12.75" customHeight="1">
      <c r="A240" s="65"/>
    </row>
    <row r="241" ht="12.75" customHeight="1">
      <c r="A241" s="65"/>
    </row>
    <row r="242" ht="12.75" customHeight="1">
      <c r="A242" s="65"/>
    </row>
    <row r="243" ht="12.75" customHeight="1">
      <c r="A243" s="65"/>
    </row>
    <row r="244" ht="12.75" customHeight="1">
      <c r="A244" s="65"/>
    </row>
    <row r="245" ht="12.75" customHeight="1">
      <c r="A245" s="65"/>
    </row>
    <row r="246" ht="12.75" customHeight="1">
      <c r="A246" s="65"/>
    </row>
    <row r="247" ht="12.75" customHeight="1">
      <c r="A247" s="65"/>
    </row>
    <row r="248" ht="12.75" customHeight="1">
      <c r="A248" s="65"/>
    </row>
    <row r="249" ht="12.75" customHeight="1">
      <c r="A249" s="65"/>
    </row>
    <row r="250" ht="12.75" customHeight="1">
      <c r="A250" s="65"/>
    </row>
    <row r="251" ht="12.75" customHeight="1">
      <c r="A251" s="65"/>
    </row>
    <row r="252" ht="12.75" customHeight="1">
      <c r="A252" s="65"/>
    </row>
    <row r="253" ht="12.75" customHeight="1">
      <c r="A253" s="65"/>
    </row>
    <row r="254" ht="12.75" customHeight="1">
      <c r="A254" s="65"/>
    </row>
    <row r="255" ht="12.75" customHeight="1">
      <c r="A255" s="65"/>
    </row>
    <row r="256" ht="12.75" customHeight="1">
      <c r="A256" s="65"/>
    </row>
    <row r="257" ht="12.75" customHeight="1">
      <c r="A257" s="65"/>
    </row>
    <row r="258" ht="12.75" customHeight="1">
      <c r="A258" s="65"/>
    </row>
    <row r="259" ht="12.75" customHeight="1">
      <c r="A259" s="65"/>
    </row>
    <row r="260" ht="12.75" customHeight="1">
      <c r="A260" s="65"/>
    </row>
    <row r="261" ht="12.75" customHeight="1">
      <c r="A261" s="65"/>
    </row>
    <row r="262" ht="12.75" customHeight="1">
      <c r="A262" s="65"/>
    </row>
    <row r="263" ht="12.75" customHeight="1">
      <c r="A263" s="65"/>
    </row>
    <row r="264" ht="12.75" customHeight="1">
      <c r="A264" s="65"/>
    </row>
    <row r="265" ht="12.75" customHeight="1">
      <c r="A265" s="65"/>
    </row>
    <row r="266" ht="12.75" customHeight="1">
      <c r="A266" s="65"/>
    </row>
    <row r="267" ht="12.75" customHeight="1">
      <c r="A267" s="65"/>
    </row>
    <row r="268" ht="12.75" customHeight="1">
      <c r="A268" s="65"/>
    </row>
    <row r="269" ht="12.75" customHeight="1">
      <c r="A269" s="65"/>
    </row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2023-08-01T17:58:31Z</dcterms:created>
  <dc:creator>Jeremy</dc:creator>
</cp:coreProperties>
</file>