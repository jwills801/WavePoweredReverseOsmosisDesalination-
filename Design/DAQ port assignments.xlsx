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Q wiring" sheetId="1" r:id="rId4"/>
    <sheet state="visible" name="PT calibration" sheetId="2" r:id="rId5"/>
    <sheet state="visible" name="FM Calibration" sheetId="3" r:id="rId6"/>
    <sheet state="visible" name="Sheet2" sheetId="4" r:id="rId7"/>
    <sheet state="visible" name="Generator VFD Settings" sheetId="5" r:id="rId8"/>
    <sheet state="visible" name="ERU VFD settings" sheetId="6" r:id="rId9"/>
    <sheet state="visible" name="charge pump VFD settings" sheetId="7" r:id="rId10"/>
  </sheets>
  <definedNames/>
  <calcPr/>
  <extLst>
    <ext uri="GoogleSheetsCustomDataVersion2">
      <go:sheetsCustomData xmlns:go="http://customooxmlschemas.google.com/" r:id="rId11" roundtripDataChecksum="KF4fSR+ihfYSjjZDc4XJhL5Y5lVWEcCYKYZZ0vh1Acw="/>
    </ext>
  </extLst>
</workbook>
</file>

<file path=xl/sharedStrings.xml><?xml version="1.0" encoding="utf-8"?>
<sst xmlns="http://schemas.openxmlformats.org/spreadsheetml/2006/main" count="796" uniqueCount="325">
  <si>
    <t>Model: 6343</t>
  </si>
  <si>
    <t>Connector 0</t>
  </si>
  <si>
    <t>Port #</t>
  </si>
  <si>
    <t>Channel Number</t>
  </si>
  <si>
    <t>Port type</t>
  </si>
  <si>
    <t>Analog In (16)</t>
  </si>
  <si>
    <t>Sensor type</t>
  </si>
  <si>
    <t>Sensor location</t>
  </si>
  <si>
    <t>Corresponding pin</t>
  </si>
  <si>
    <t>Wire color (before opamp -&gt; after opamp)</t>
  </si>
  <si>
    <t>68 (AI 0)</t>
  </si>
  <si>
    <t xml:space="preserve"> -10 to 10V</t>
  </si>
  <si>
    <t>pressure transducers, 4-20mA</t>
  </si>
  <si>
    <t>PTO, p_b (PT-02)</t>
  </si>
  <si>
    <t>grn -&gt; grn</t>
  </si>
  <si>
    <t>34 (AI 8)</t>
  </si>
  <si>
    <t>faulty</t>
  </si>
  <si>
    <t>33 (AI 1)</t>
  </si>
  <si>
    <t>PTO, p_h (PT-04)</t>
  </si>
  <si>
    <t>blu -&gt; orng</t>
  </si>
  <si>
    <t>66 (AI 9)</t>
  </si>
  <si>
    <t>PTO, p_l (PT-03)</t>
  </si>
  <si>
    <t>orng -&gt; wt/orng</t>
  </si>
  <si>
    <t>65 (AI 2)</t>
  </si>
  <si>
    <t>H1T A/C port (PT-06)</t>
  </si>
  <si>
    <t>na -&gt; blu</t>
  </si>
  <si>
    <t>31 (AI 10)</t>
  </si>
  <si>
    <t>PTO, p_ro (PT-05)</t>
  </si>
  <si>
    <t>grn -&gt; wt/blu</t>
  </si>
  <si>
    <t>63 (AI 11)</t>
  </si>
  <si>
    <t>H1T B/D port (PT-07)</t>
  </si>
  <si>
    <t>na -&gt; wt/brn</t>
  </si>
  <si>
    <t>23 (AI 15)</t>
  </si>
  <si>
    <t>PTO, p_a (PT-01)</t>
  </si>
  <si>
    <t>blu -&gt; wt/grn</t>
  </si>
  <si>
    <t>26 (AI 13)</t>
  </si>
  <si>
    <t>flow rate, 4-20mA</t>
  </si>
  <si>
    <t>permeate stream</t>
  </si>
  <si>
    <t>wt/orng -&gt; wt/orng</t>
  </si>
  <si>
    <t>61 (AI 12)</t>
  </si>
  <si>
    <t>""</t>
  </si>
  <si>
    <t>brine stream</t>
  </si>
  <si>
    <t>wt/bwn -&gt; wt/grn</t>
  </si>
  <si>
    <t>60 (AI 5)</t>
  </si>
  <si>
    <t>temperature, 4-20mA</t>
  </si>
  <si>
    <t>org -&gt; org</t>
  </si>
  <si>
    <t xml:space="preserve">28 (AI 4) </t>
  </si>
  <si>
    <t>"</t>
  </si>
  <si>
    <t>brn -&gt; grn</t>
  </si>
  <si>
    <t>conductivity</t>
  </si>
  <si>
    <t>charge pump intake</t>
  </si>
  <si>
    <t>wt -&gt; wt/org</t>
  </si>
  <si>
    <t>25 (AI 6)</t>
  </si>
  <si>
    <t>58 (AI 14)</t>
  </si>
  <si>
    <t>57 (AI 7)</t>
  </si>
  <si>
    <t>position</t>
  </si>
  <si>
    <t>WEC simulator actuator</t>
  </si>
  <si>
    <t>Analog Out (2)</t>
  </si>
  <si>
    <t>22 (AO 0)</t>
  </si>
  <si>
    <t>VFD freq. ref.</t>
  </si>
  <si>
    <t>ERU</t>
  </si>
  <si>
    <t>A1</t>
  </si>
  <si>
    <t>grn</t>
  </si>
  <si>
    <t>21 (AO 1)</t>
  </si>
  <si>
    <t>generator</t>
  </si>
  <si>
    <t>Digital In</t>
  </si>
  <si>
    <t>VFD, fault output</t>
  </si>
  <si>
    <t>charge pump</t>
  </si>
  <si>
    <t>M1-M2</t>
  </si>
  <si>
    <t>Drive ready</t>
  </si>
  <si>
    <t>M3-M4</t>
  </si>
  <si>
    <t>PWM out (4)</t>
  </si>
  <si>
    <t>1 (PFI 14)</t>
  </si>
  <si>
    <t>PWM, displacement control solinoid 1, 100Hz</t>
  </si>
  <si>
    <t>pink</t>
  </si>
  <si>
    <t>2 (PFI 12)</t>
  </si>
  <si>
    <t>PWM, displacement control solinoid 2, 100Hz</t>
  </si>
  <si>
    <t>light green</t>
  </si>
  <si>
    <t>Digital out</t>
  </si>
  <si>
    <t>19 (P0.4)</t>
  </si>
  <si>
    <t>VFD, run/stop</t>
  </si>
  <si>
    <t>S1</t>
  </si>
  <si>
    <t>blu</t>
  </si>
  <si>
    <t>52 (P0.0)</t>
  </si>
  <si>
    <t>VFD, forward/reverse</t>
  </si>
  <si>
    <t>S2</t>
  </si>
  <si>
    <t>blu/wt</t>
  </si>
  <si>
    <t>45 (PFI 10/P2.2)</t>
  </si>
  <si>
    <t>VFD, fault reset</t>
  </si>
  <si>
    <t>S3</t>
  </si>
  <si>
    <t>orange</t>
  </si>
  <si>
    <t>11 (P1.0)</t>
  </si>
  <si>
    <t>S4</t>
  </si>
  <si>
    <t>orange/wt</t>
  </si>
  <si>
    <t>47 (P0.3)</t>
  </si>
  <si>
    <t>46 (PFI 11/P2.3)</t>
  </si>
  <si>
    <t>51 (P0.5)</t>
  </si>
  <si>
    <t>H1T displacement control, direction</t>
  </si>
  <si>
    <t>pump 1</t>
  </si>
  <si>
    <t>red</t>
  </si>
  <si>
    <t>17 (P0.1)</t>
  </si>
  <si>
    <t>pump 2</t>
  </si>
  <si>
    <t>green</t>
  </si>
  <si>
    <t>16 (P0.6)</t>
  </si>
  <si>
    <t>49 (P0.2)</t>
  </si>
  <si>
    <t>Connector 1</t>
  </si>
  <si>
    <t>power transducer</t>
  </si>
  <si>
    <t>208 3-phase outlet</t>
  </si>
  <si>
    <t>Output Power, 4-20mA</t>
  </si>
  <si>
    <t>AM</t>
  </si>
  <si>
    <t>nc</t>
  </si>
  <si>
    <t>22 (AO 2)</t>
  </si>
  <si>
    <t>21 (AO 3)</t>
  </si>
  <si>
    <t>19 (P0.12)</t>
  </si>
  <si>
    <t>52 (P0.8)</t>
  </si>
  <si>
    <t>Pa per psi</t>
  </si>
  <si>
    <t>0-3000psi</t>
  </si>
  <si>
    <t>measurement (-volts)</t>
  </si>
  <si>
    <t>0-1500psi</t>
  </si>
  <si>
    <t>0-200psi</t>
  </si>
  <si>
    <t>Scale</t>
  </si>
  <si>
    <t>Weight/Pressure (PSI)</t>
  </si>
  <si>
    <t>Pressure (Pa)</t>
  </si>
  <si>
    <t>PT-06 (volts)</t>
  </si>
  <si>
    <t>PT-07 (volts)</t>
  </si>
  <si>
    <t>PT-01 (volts)</t>
  </si>
  <si>
    <t>PT-02 (volts)</t>
  </si>
  <si>
    <t>PT-04 (volts)</t>
  </si>
  <si>
    <t>PT-05 (volts)</t>
  </si>
  <si>
    <t>PT-03 (volts)</t>
  </si>
  <si>
    <t>H</t>
  </si>
  <si>
    <t>L</t>
  </si>
  <si>
    <t>FM Calibration</t>
  </si>
  <si>
    <t>200 rpm</t>
  </si>
  <si>
    <t>400 rpm</t>
  </si>
  <si>
    <t>600 rpm</t>
  </si>
  <si>
    <t>800 rpm</t>
  </si>
  <si>
    <t>1000 rpm</t>
  </si>
  <si>
    <t>1200 rpm</t>
  </si>
  <si>
    <t>1400 rpm</t>
  </si>
  <si>
    <t>1600 rpm</t>
  </si>
  <si>
    <t xml:space="preserve">1800 rpm </t>
  </si>
  <si>
    <t>2000 rpm</t>
  </si>
  <si>
    <t>2200 rpm</t>
  </si>
  <si>
    <t>2400 rpm</t>
  </si>
  <si>
    <t>2600 rpm</t>
  </si>
  <si>
    <t>2800 rpm</t>
  </si>
  <si>
    <t>3000 rpm</t>
  </si>
  <si>
    <t>3200 rpm</t>
  </si>
  <si>
    <t>AI4</t>
  </si>
  <si>
    <t>AI12</t>
  </si>
  <si>
    <t>Time (s)</t>
  </si>
  <si>
    <t>Data: 1</t>
  </si>
  <si>
    <t>min current</t>
  </si>
  <si>
    <t>amps</t>
  </si>
  <si>
    <t>max current</t>
  </si>
  <si>
    <t>R1</t>
  </si>
  <si>
    <t>ohms</t>
  </si>
  <si>
    <t>R2</t>
  </si>
  <si>
    <t>Req</t>
  </si>
  <si>
    <t>C1</t>
  </si>
  <si>
    <t>uF</t>
  </si>
  <si>
    <t>F</t>
  </si>
  <si>
    <t>C2</t>
  </si>
  <si>
    <t>Ceq</t>
  </si>
  <si>
    <t>min voltage</t>
  </si>
  <si>
    <t>volts</t>
  </si>
  <si>
    <t>max voltage</t>
  </si>
  <si>
    <t>cut-off frequency</t>
  </si>
  <si>
    <t>rad/s</t>
  </si>
  <si>
    <t>Hz</t>
  </si>
  <si>
    <t>A: Initialization</t>
  </si>
  <si>
    <t>A1: Initialization</t>
  </si>
  <si>
    <t>Terminal</t>
  </si>
  <si>
    <t>Setting</t>
  </si>
  <si>
    <t>Value</t>
  </si>
  <si>
    <t>Desc.</t>
  </si>
  <si>
    <t>Notes</t>
  </si>
  <si>
    <t>A1-02: Control Method Selection</t>
  </si>
  <si>
    <t>Open Loop Vector Control</t>
  </si>
  <si>
    <t>b1: Operation Mode Selection</t>
  </si>
  <si>
    <t>b1-01: Frequency Reference Selection 1</t>
  </si>
  <si>
    <t>Terminals (analog input terminals)</t>
  </si>
  <si>
    <t>b1-02: Run Command Selection 1</t>
  </si>
  <si>
    <t>Control Circuit Terminal</t>
  </si>
  <si>
    <t>b1-03: Stopping Method Selection</t>
  </si>
  <si>
    <t>Ramp to stop</t>
  </si>
  <si>
    <t>default deceleration time is set to parameter C1-02</t>
  </si>
  <si>
    <t>b1-04: Reverse Operation Selection</t>
  </si>
  <si>
    <t>Reverse operation enabled</t>
  </si>
  <si>
    <t>b1-05: Action Selection below Minimum Output Frequency (CLV and CLV/PM)</t>
  </si>
  <si>
    <t>b1-06: Digital Input Reading</t>
  </si>
  <si>
    <t>Read twice (2 ms scan)</t>
  </si>
  <si>
    <t>C: Tuning</t>
  </si>
  <si>
    <t>C1: Acceleration and Deceleration Times</t>
  </si>
  <si>
    <t>C1-09: Fast Stop Time</t>
  </si>
  <si>
    <t>E: Motor Parameters</t>
  </si>
  <si>
    <t>E1-03: V/f Pattern Selection</t>
  </si>
  <si>
    <t>60 Hz, Constant Torque</t>
  </si>
  <si>
    <t>For general purpose applications. Torque remains constant regardless of changes to speed.</t>
  </si>
  <si>
    <t>Analog Inputs / Pulse Train Input</t>
  </si>
  <si>
    <t>Wire color</t>
  </si>
  <si>
    <t>RP</t>
  </si>
  <si>
    <t>Multi-function pulse train input</t>
  </si>
  <si>
    <t>NC</t>
  </si>
  <si>
    <t>H6-01: Pulse Train Input Terminal RP Function Selection</t>
  </si>
  <si>
    <t>Speed feedback (V/f Control with Simple Speed Feedback)</t>
  </si>
  <si>
    <t xml:space="preserve"> +V</t>
  </si>
  <si>
    <t>Power supply for analog inputs: 10.5 Vdc (max allowable current 20 mA)</t>
  </si>
  <si>
    <t xml:space="preserve"> -V</t>
  </si>
  <si>
    <t xml:space="preserve">Power supply for analog inputs: -10.5 Vdc (max allowable current 20 mA) </t>
  </si>
  <si>
    <t>Multi-function analog input 1</t>
  </si>
  <si>
    <t>H3-01: Terminal A1 Signal Level Selection</t>
  </si>
  <si>
    <t>0 to 10 Vdc</t>
  </si>
  <si>
    <t>H3-02: Terminal A1 Function Selection</t>
  </si>
  <si>
    <t>Frequency Reference Bias</t>
  </si>
  <si>
    <t>H3-03: Terminal A1 Gain Settings</t>
  </si>
  <si>
    <t>sets the level of the selected input value that is equal to 10 Vdc</t>
  </si>
  <si>
    <t>H3-04: Terminal A1 Bias Settings</t>
  </si>
  <si>
    <t>sets the level of the selected input value that is equal to 0 V</t>
  </si>
  <si>
    <t>A2</t>
  </si>
  <si>
    <t>Multi-function analog input 2</t>
  </si>
  <si>
    <t>H3-09: Terminal A2 Signal Level Selection</t>
  </si>
  <si>
    <t>Through mode</t>
  </si>
  <si>
    <t>H3-10: Terminal A2 Function Selection</t>
  </si>
  <si>
    <t>H3-11: Terminal A2 Gain Settings</t>
  </si>
  <si>
    <t>H3-12: Terminal A2 Bias Settings</t>
  </si>
  <si>
    <t>A3</t>
  </si>
  <si>
    <t>Multi-function analog input 3</t>
  </si>
  <si>
    <t>H3-05: Terminal A3 Signal Level Selection</t>
  </si>
  <si>
    <t>H3-06: Terminal A3 Function Selection</t>
  </si>
  <si>
    <t>H3-07: Terminal A3 Gain Settings</t>
  </si>
  <si>
    <t>H3-08: Terminal A3 Bias Settings</t>
  </si>
  <si>
    <t>AC</t>
  </si>
  <si>
    <t>grn/wt</t>
  </si>
  <si>
    <t>Analog input common</t>
  </si>
  <si>
    <t>E (G)</t>
  </si>
  <si>
    <t>Ground for shielded lines and option cards</t>
  </si>
  <si>
    <t>Multi-Function Digital Inputs</t>
  </si>
  <si>
    <t>H1-01</t>
  </si>
  <si>
    <t>Run cmd</t>
  </si>
  <si>
    <t>H1-02</t>
  </si>
  <si>
    <t>FWD/REV cmd</t>
  </si>
  <si>
    <t>H1-03</t>
  </si>
  <si>
    <t>External Fault</t>
  </si>
  <si>
    <t>NO, Always detected, Ramp to stop</t>
  </si>
  <si>
    <t>H1-04</t>
  </si>
  <si>
    <t>NO, Always detected, Fast stop</t>
  </si>
  <si>
    <t>S5</t>
  </si>
  <si>
    <t>bwn</t>
  </si>
  <si>
    <t>H1-05</t>
  </si>
  <si>
    <t>Fault Reset</t>
  </si>
  <si>
    <t>S6</t>
  </si>
  <si>
    <t>H1-06</t>
  </si>
  <si>
    <t>S7</t>
  </si>
  <si>
    <t>H1-07</t>
  </si>
  <si>
    <t>S8</t>
  </si>
  <si>
    <t>H1-08</t>
  </si>
  <si>
    <t>SC</t>
  </si>
  <si>
    <t>bwn/wt, orange/wt</t>
  </si>
  <si>
    <t>Multi-function input common</t>
  </si>
  <si>
    <t>SP</t>
  </si>
  <si>
    <t>24 Vdc power supply for digital inputs, 150 mA max (only when not using digital input option DI-A3)</t>
  </si>
  <si>
    <t>SN</t>
  </si>
  <si>
    <t>Digital input power supply 0 V</t>
  </si>
  <si>
    <t>Multi-Function Digital Outputs: Terminal functions</t>
  </si>
  <si>
    <t>H2-01: Terminal M1-M2 Function Selection</t>
  </si>
  <si>
    <t>E</t>
  </si>
  <si>
    <t>Fault</t>
  </si>
  <si>
    <t>Closes for drive faults</t>
  </si>
  <si>
    <t>H2-02: Terminal M3-M4 Function Selection</t>
  </si>
  <si>
    <t>Output closes when drive is ready to operate motor</t>
  </si>
  <si>
    <t>M5-M6</t>
  </si>
  <si>
    <t>H2-03: Terminal M5-M6 Function Selection</t>
  </si>
  <si>
    <t>Drive overheat pre-alarm (oH)</t>
  </si>
  <si>
    <t>Monitor Output</t>
  </si>
  <si>
    <t>MP</t>
  </si>
  <si>
    <t>Pulse train output</t>
  </si>
  <si>
    <t xml:space="preserve"> -10 to 10 Volts</t>
  </si>
  <si>
    <t>H06-06: Pulse Train Monitor Selection</t>
  </si>
  <si>
    <t>Output frequency</t>
  </si>
  <si>
    <t>H06-07: Pulse Train Monitor Scaling</t>
  </si>
  <si>
    <t>60 Hz</t>
  </si>
  <si>
    <t>freq when monitor at 100%</t>
  </si>
  <si>
    <t>H6-08: Pulse Train Input Minimum Frequency</t>
  </si>
  <si>
    <t>FM</t>
  </si>
  <si>
    <t>Analog monitor output 1 (Output frequency)</t>
  </si>
  <si>
    <t>H4-01: Multi-Function Analog Output Terminal FM Monitor Selection</t>
  </si>
  <si>
    <t>Output Frequency</t>
  </si>
  <si>
    <t>H4-02: FM Gain</t>
  </si>
  <si>
    <t>H4-03: FM Bias</t>
  </si>
  <si>
    <t>H4-07: Multi-Function Analog Output Terminal FM Signal Level Selection</t>
  </si>
  <si>
    <t>4 to 20 mA</t>
  </si>
  <si>
    <t>H4-04: Multi-Function Analog Output Terminal FM Monitor Selection</t>
  </si>
  <si>
    <t>Output Power</t>
  </si>
  <si>
    <t>H4-05: AM Gain</t>
  </si>
  <si>
    <t>H4-06: AM Bias</t>
  </si>
  <si>
    <t>H4-08: Multi-Function Analog Output Terminal FM Signal Level Selection</t>
  </si>
  <si>
    <t>Monitor Common</t>
  </si>
  <si>
    <t>A1-00: Language Selection</t>
  </si>
  <si>
    <t>English</t>
  </si>
  <si>
    <t>A1-01: Access Level Selection</t>
  </si>
  <si>
    <t>Access is restricted</t>
  </si>
  <si>
    <t>V/f Control - voltage is proportional to frequency</t>
  </si>
  <si>
    <t>A1-03: Initialize Parameters</t>
  </si>
  <si>
    <t>No Initialization</t>
  </si>
  <si>
    <t>Terminals (analog input terminals) using a 0 to 10 Vdc signal to A1 terminal of VFD</t>
  </si>
  <si>
    <t>Ramp to stop, deceleration time set by C1-02</t>
  </si>
  <si>
    <t>Reverse operation disabled</t>
  </si>
  <si>
    <t>C1-01: Acceleration Time 1</t>
  </si>
  <si>
    <t>Time for shaft to accelerate</t>
  </si>
  <si>
    <t>C1-02: Acceleration Time 2</t>
  </si>
  <si>
    <t>Time for shaft to decelerate</t>
  </si>
  <si>
    <t>Time for shaft to decelerate after it is turned off</t>
  </si>
  <si>
    <t>1 or F</t>
  </si>
  <si>
    <t>Not used</t>
  </si>
  <si>
    <t>MA</t>
  </si>
  <si>
    <t>MB</t>
  </si>
  <si>
    <t>MC</t>
  </si>
  <si>
    <t>Digital output common</t>
  </si>
  <si>
    <t>H4-02: AM Gain</t>
  </si>
  <si>
    <t>H4-03: AM Bias</t>
  </si>
  <si>
    <t>brwn</t>
  </si>
  <si>
    <t>N/A</t>
  </si>
  <si>
    <t>NO, Always detected, Coast to Stop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</si>
</sst>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>
      <i/>
      <sz val="11.0"/>
      <color theme="1"/>
      <name val="Aptos Narrow"/>
    </font>
    <font>
      <i/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AE2D5"/>
        <bgColor rgb="FFFAE2D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quotePrefix="1" borderId="0" fillId="0" fontId="5" numFmtId="0" xfId="0" applyFont="1"/>
    <xf borderId="0" fillId="0" fontId="6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/>
    </xf>
    <xf borderId="1" fillId="2" fontId="5" numFmtId="0" xfId="0" applyBorder="1" applyFill="1" applyFont="1"/>
    <xf borderId="1" fillId="3" fontId="5" numFmtId="0" xfId="0" applyBorder="1" applyFill="1" applyFont="1"/>
    <xf borderId="0" fillId="0" fontId="5" numFmtId="9" xfId="0" applyFont="1" applyNumberFormat="1"/>
    <xf borderId="0" fillId="0" fontId="5" numFmtId="10" xfId="0" applyFont="1" applyNumberFormat="1"/>
    <xf borderId="0" fillId="0" fontId="5" numFmtId="16" xfId="0" applyFont="1" applyNumberFormat="1"/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PT-06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(PT-06)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'PT calibration'!$D$4:$D$33</c:f>
            </c:numRef>
          </c:xVal>
          <c:yVal>
            <c:numRef>
              <c:f>'PT calibration'!$C$4:$C$33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49479"/>
        <c:axId val="2140791972"/>
      </c:scatterChart>
      <c:valAx>
        <c:axId val="13617494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0791972"/>
      </c:valAx>
      <c:valAx>
        <c:axId val="2140791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174947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PT-07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(PT-07)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'PT calibration'!$E$4:$E$33</c:f>
            </c:numRef>
          </c:xVal>
          <c:yVal>
            <c:numRef>
              <c:f>'PT calibration'!$C$4:$C$33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151514"/>
        <c:axId val="1981817209"/>
      </c:scatterChart>
      <c:valAx>
        <c:axId val="11331515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1817209"/>
      </c:valAx>
      <c:valAx>
        <c:axId val="1981817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315151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PT-01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(PT-01)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'PT calibration'!$I$4:$I$17</c:f>
            </c:numRef>
          </c:xVal>
          <c:yVal>
            <c:numRef>
              <c:f>'PT calibration'!$H$4:$H$17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496584"/>
        <c:axId val="1742813247"/>
      </c:scatterChart>
      <c:valAx>
        <c:axId val="15074965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42813247"/>
      </c:valAx>
      <c:valAx>
        <c:axId val="1742813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749658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PT-02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(PT-02)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'PT calibration'!$J$4:$J$18</c:f>
            </c:numRef>
          </c:xVal>
          <c:yVal>
            <c:numRef>
              <c:f>'PT calibration'!$H$4:$H$18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504001"/>
        <c:axId val="732581597"/>
      </c:scatterChart>
      <c:valAx>
        <c:axId val="8965040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32581597"/>
      </c:valAx>
      <c:valAx>
        <c:axId val="732581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6504001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PT-04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(PT-04)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'PT calibration'!$K$4:$K$18</c:f>
            </c:numRef>
          </c:xVal>
          <c:yVal>
            <c:numRef>
              <c:f>'PT calibration'!$H$4:$H$18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277337"/>
        <c:axId val="1708947078"/>
      </c:scatterChart>
      <c:valAx>
        <c:axId val="12402773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8947078"/>
      </c:valAx>
      <c:valAx>
        <c:axId val="1708947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0277337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PT-05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(PT-05)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'PT calibration'!$L$4:$L$17</c:f>
            </c:numRef>
          </c:xVal>
          <c:yVal>
            <c:numRef>
              <c:f>'PT calibration'!$H$4:$H$17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299295"/>
        <c:axId val="917637161"/>
      </c:scatterChart>
      <c:valAx>
        <c:axId val="4642992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7637161"/>
      </c:valAx>
      <c:valAx>
        <c:axId val="917637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4299295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PT-03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(PT-03)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'PT calibration'!$P$4:$P$14</c:f>
            </c:numRef>
          </c:xVal>
          <c:yVal>
            <c:numRef>
              <c:f>'PT calibration'!$O$4:$O$14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825471"/>
        <c:axId val="1507670327"/>
      </c:scatterChart>
      <c:valAx>
        <c:axId val="18868254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7670327"/>
      </c:valAx>
      <c:valAx>
        <c:axId val="1507670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6825471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35485264"/>
        <c:axId val="1218112142"/>
      </c:scatterChart>
      <c:valAx>
        <c:axId val="20354852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8112142"/>
      </c:valAx>
      <c:valAx>
        <c:axId val="121811214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03548526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600075</xdr:colOff>
      <xdr:row>60</xdr:row>
      <xdr:rowOff>0</xdr:rowOff>
    </xdr:from>
    <xdr:ext cx="5572125" cy="5638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1</xdr:row>
      <xdr:rowOff>180975</xdr:rowOff>
    </xdr:from>
    <xdr:ext cx="6524625" cy="66008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35</xdr:row>
      <xdr:rowOff>19050</xdr:rowOff>
    </xdr:from>
    <xdr:ext cx="4895850" cy="2705100"/>
    <xdr:graphicFrame>
      <xdr:nvGraphicFramePr>
        <xdr:cNvPr id="40601788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295275</xdr:colOff>
      <xdr:row>51</xdr:row>
      <xdr:rowOff>28575</xdr:rowOff>
    </xdr:from>
    <xdr:ext cx="4895850" cy="2705100"/>
    <xdr:graphicFrame>
      <xdr:nvGraphicFramePr>
        <xdr:cNvPr id="14889193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685800</xdr:colOff>
      <xdr:row>19</xdr:row>
      <xdr:rowOff>28575</xdr:rowOff>
    </xdr:from>
    <xdr:ext cx="4895850" cy="2705100"/>
    <xdr:graphicFrame>
      <xdr:nvGraphicFramePr>
        <xdr:cNvPr id="188459521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685800</xdr:colOff>
      <xdr:row>35</xdr:row>
      <xdr:rowOff>123825</xdr:rowOff>
    </xdr:from>
    <xdr:ext cx="4895850" cy="2705100"/>
    <xdr:graphicFrame>
      <xdr:nvGraphicFramePr>
        <xdr:cNvPr id="126884723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676275</xdr:colOff>
      <xdr:row>51</xdr:row>
      <xdr:rowOff>123825</xdr:rowOff>
    </xdr:from>
    <xdr:ext cx="4895850" cy="2705100"/>
    <xdr:graphicFrame>
      <xdr:nvGraphicFramePr>
        <xdr:cNvPr id="77432195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666750</xdr:colOff>
      <xdr:row>67</xdr:row>
      <xdr:rowOff>19050</xdr:rowOff>
    </xdr:from>
    <xdr:ext cx="4895850" cy="2705100"/>
    <xdr:graphicFrame>
      <xdr:nvGraphicFramePr>
        <xdr:cNvPr id="72887911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781050</xdr:colOff>
      <xdr:row>19</xdr:row>
      <xdr:rowOff>0</xdr:rowOff>
    </xdr:from>
    <xdr:ext cx="4800600" cy="2695575"/>
    <xdr:graphicFrame>
      <xdr:nvGraphicFramePr>
        <xdr:cNvPr id="1414686319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323850</xdr:colOff>
      <xdr:row>294</xdr:row>
      <xdr:rowOff>47625</xdr:rowOff>
    </xdr:from>
    <xdr:ext cx="4371975" cy="2743200"/>
    <xdr:graphicFrame>
      <xdr:nvGraphicFramePr>
        <xdr:cNvPr id="1587794654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4.88"/>
    <col customWidth="1" min="3" max="3" width="18.13"/>
    <col customWidth="1" min="4" max="4" width="29.38"/>
    <col customWidth="1" min="5" max="5" width="20.75"/>
    <col customWidth="1" min="6" max="6" width="15.88"/>
    <col customWidth="1" min="7" max="7" width="14.88"/>
    <col customWidth="1" min="8" max="27" width="8.63"/>
  </cols>
  <sheetData>
    <row r="1" ht="14.25" customHeight="1">
      <c r="A1" s="1" t="s">
        <v>0</v>
      </c>
    </row>
    <row r="2" ht="14.25" customHeight="1">
      <c r="A2" s="2" t="s">
        <v>1</v>
      </c>
      <c r="B2" s="2"/>
    </row>
    <row r="3" ht="14.25" customHeight="1">
      <c r="A3" s="3" t="s">
        <v>2</v>
      </c>
      <c r="B3" s="4" t="s">
        <v>3</v>
      </c>
      <c r="C3" s="3" t="s">
        <v>4</v>
      </c>
    </row>
    <row r="4" ht="14.25" customHeight="1">
      <c r="C4" s="1" t="s">
        <v>5</v>
      </c>
      <c r="D4" s="3" t="s">
        <v>6</v>
      </c>
      <c r="E4" s="3" t="s">
        <v>7</v>
      </c>
      <c r="F4" s="1" t="s">
        <v>8</v>
      </c>
      <c r="G4" s="1" t="s">
        <v>9</v>
      </c>
    </row>
    <row r="5" ht="14.25" customHeight="1">
      <c r="A5" s="1" t="s">
        <v>10</v>
      </c>
      <c r="C5" s="1" t="s">
        <v>11</v>
      </c>
      <c r="D5" s="1" t="s">
        <v>12</v>
      </c>
      <c r="E5" s="1" t="s">
        <v>13</v>
      </c>
      <c r="G5" s="1" t="s">
        <v>14</v>
      </c>
    </row>
    <row r="6" ht="14.25" customHeight="1">
      <c r="A6" s="1" t="s">
        <v>15</v>
      </c>
      <c r="C6" s="1" t="s">
        <v>16</v>
      </c>
    </row>
    <row r="7" ht="14.25" customHeight="1">
      <c r="A7" s="1" t="s">
        <v>17</v>
      </c>
      <c r="C7" s="1" t="s">
        <v>11</v>
      </c>
      <c r="E7" s="1" t="s">
        <v>18</v>
      </c>
      <c r="G7" s="1" t="s">
        <v>19</v>
      </c>
    </row>
    <row r="8" ht="14.25" customHeight="1">
      <c r="A8" s="1" t="s">
        <v>20</v>
      </c>
      <c r="C8" s="1" t="s">
        <v>11</v>
      </c>
      <c r="E8" s="1" t="s">
        <v>21</v>
      </c>
      <c r="G8" s="1" t="s">
        <v>22</v>
      </c>
    </row>
    <row r="9" ht="14.25" customHeight="1">
      <c r="A9" s="1" t="s">
        <v>23</v>
      </c>
      <c r="C9" s="1" t="s">
        <v>11</v>
      </c>
      <c r="E9" s="1" t="s">
        <v>24</v>
      </c>
      <c r="G9" s="1" t="s">
        <v>25</v>
      </c>
    </row>
    <row r="10" ht="14.25" customHeight="1">
      <c r="A10" s="1" t="s">
        <v>26</v>
      </c>
      <c r="C10" s="1" t="s">
        <v>11</v>
      </c>
      <c r="E10" s="1" t="s">
        <v>27</v>
      </c>
      <c r="G10" s="1" t="s">
        <v>28</v>
      </c>
    </row>
    <row r="11" ht="14.25" customHeight="1">
      <c r="A11" s="1" t="s">
        <v>29</v>
      </c>
      <c r="C11" s="1" t="s">
        <v>11</v>
      </c>
      <c r="E11" s="1" t="s">
        <v>30</v>
      </c>
      <c r="G11" s="1" t="s">
        <v>31</v>
      </c>
    </row>
    <row r="12" ht="14.25" customHeight="1">
      <c r="A12" s="1" t="s">
        <v>32</v>
      </c>
      <c r="C12" s="1" t="s">
        <v>11</v>
      </c>
      <c r="E12" s="1" t="s">
        <v>33</v>
      </c>
      <c r="G12" s="1" t="s">
        <v>34</v>
      </c>
    </row>
    <row r="13" ht="14.25" customHeight="1"/>
    <row r="14" ht="14.25" customHeight="1">
      <c r="A14" s="1" t="s">
        <v>35</v>
      </c>
      <c r="C14" s="1" t="s">
        <v>11</v>
      </c>
      <c r="D14" s="1" t="s">
        <v>36</v>
      </c>
      <c r="E14" s="1" t="s">
        <v>37</v>
      </c>
      <c r="G14" s="1" t="s">
        <v>38</v>
      </c>
    </row>
    <row r="15" ht="14.25" customHeight="1">
      <c r="A15" s="1" t="s">
        <v>39</v>
      </c>
      <c r="C15" s="1" t="s">
        <v>40</v>
      </c>
      <c r="D15" s="1" t="s">
        <v>40</v>
      </c>
      <c r="E15" s="1" t="s">
        <v>41</v>
      </c>
      <c r="G15" s="1" t="s">
        <v>42</v>
      </c>
    </row>
    <row r="16" ht="14.25" customHeight="1">
      <c r="A16" s="1" t="s">
        <v>43</v>
      </c>
      <c r="C16" s="1" t="s">
        <v>11</v>
      </c>
      <c r="D16" s="1" t="s">
        <v>44</v>
      </c>
      <c r="E16" s="1" t="s">
        <v>37</v>
      </c>
      <c r="G16" s="1" t="s">
        <v>45</v>
      </c>
    </row>
    <row r="17" ht="14.25" customHeight="1">
      <c r="A17" s="1" t="s">
        <v>46</v>
      </c>
      <c r="C17" s="5" t="s">
        <v>47</v>
      </c>
      <c r="D17" s="5" t="s">
        <v>47</v>
      </c>
      <c r="E17" s="1" t="s">
        <v>41</v>
      </c>
      <c r="G17" s="1" t="s">
        <v>48</v>
      </c>
    </row>
    <row r="18" ht="14.25" customHeight="1">
      <c r="D18" s="1" t="s">
        <v>49</v>
      </c>
      <c r="E18" s="1" t="s">
        <v>50</v>
      </c>
      <c r="G18" s="1" t="s">
        <v>51</v>
      </c>
    </row>
    <row r="19" ht="14.25" customHeight="1">
      <c r="A19" s="1" t="s">
        <v>52</v>
      </c>
      <c r="E19" s="1" t="s">
        <v>41</v>
      </c>
    </row>
    <row r="20" ht="14.25" customHeight="1">
      <c r="A20" s="1" t="s">
        <v>53</v>
      </c>
    </row>
    <row r="21" ht="14.25" customHeight="1"/>
    <row r="22" ht="14.25" customHeight="1">
      <c r="A22" s="1" t="s">
        <v>54</v>
      </c>
      <c r="D22" s="1" t="s">
        <v>55</v>
      </c>
      <c r="E22" s="1" t="s">
        <v>56</v>
      </c>
    </row>
    <row r="23" ht="14.25" customHeight="1"/>
    <row r="24" ht="14.25" customHeight="1"/>
    <row r="25" ht="14.25" customHeight="1">
      <c r="C25" s="1" t="s">
        <v>57</v>
      </c>
    </row>
    <row r="26" ht="14.25" customHeight="1">
      <c r="A26" s="1" t="s">
        <v>58</v>
      </c>
      <c r="B26" s="6">
        <v>1.0</v>
      </c>
      <c r="D26" s="1" t="s">
        <v>59</v>
      </c>
      <c r="E26" s="1" t="s">
        <v>60</v>
      </c>
      <c r="F26" s="7" t="s">
        <v>61</v>
      </c>
      <c r="G26" s="7" t="s">
        <v>62</v>
      </c>
    </row>
    <row r="27" ht="14.25" customHeight="1">
      <c r="A27" s="1" t="s">
        <v>63</v>
      </c>
      <c r="D27" s="1" t="s">
        <v>59</v>
      </c>
      <c r="E27" s="1" t="s">
        <v>64</v>
      </c>
      <c r="F27" s="7" t="s">
        <v>61</v>
      </c>
      <c r="G27" s="7" t="s">
        <v>62</v>
      </c>
    </row>
    <row r="28" ht="14.25" customHeight="1">
      <c r="C28" s="1" t="s">
        <v>65</v>
      </c>
    </row>
    <row r="29" ht="14.25" customHeight="1">
      <c r="D29" s="1" t="s">
        <v>66</v>
      </c>
      <c r="E29" s="1" t="s">
        <v>67</v>
      </c>
    </row>
    <row r="30" ht="14.25" customHeight="1">
      <c r="D30" s="1" t="s">
        <v>66</v>
      </c>
      <c r="E30" s="1" t="s">
        <v>60</v>
      </c>
    </row>
    <row r="31" ht="14.25" customHeight="1">
      <c r="D31" s="1" t="s">
        <v>66</v>
      </c>
      <c r="E31" s="1" t="s">
        <v>64</v>
      </c>
      <c r="F31" s="1" t="s">
        <v>68</v>
      </c>
    </row>
    <row r="32" ht="14.25" customHeight="1">
      <c r="D32" s="1" t="s">
        <v>66</v>
      </c>
      <c r="E32" s="1" t="s">
        <v>69</v>
      </c>
      <c r="F32" s="1" t="s">
        <v>70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C39" s="1" t="s">
        <v>71</v>
      </c>
    </row>
    <row r="40" ht="14.25" customHeight="1">
      <c r="A40" s="1" t="s">
        <v>72</v>
      </c>
      <c r="D40" s="1" t="s">
        <v>73</v>
      </c>
      <c r="G40" s="1" t="s">
        <v>74</v>
      </c>
    </row>
    <row r="41" ht="14.25" customHeight="1">
      <c r="A41" s="1" t="s">
        <v>75</v>
      </c>
      <c r="D41" s="1" t="s">
        <v>76</v>
      </c>
      <c r="G41" s="1" t="s">
        <v>77</v>
      </c>
    </row>
    <row r="42" ht="14.25" customHeight="1"/>
    <row r="43" ht="14.25" customHeight="1"/>
    <row r="44" ht="14.25" customHeight="1">
      <c r="C44" s="1" t="s">
        <v>78</v>
      </c>
    </row>
    <row r="45" ht="14.25" customHeight="1">
      <c r="A45" s="1" t="s">
        <v>79</v>
      </c>
      <c r="D45" s="1" t="s">
        <v>80</v>
      </c>
      <c r="E45" s="1" t="s">
        <v>64</v>
      </c>
      <c r="F45" s="1" t="s">
        <v>81</v>
      </c>
      <c r="G45" s="1" t="s">
        <v>82</v>
      </c>
    </row>
    <row r="46" ht="14.25" customHeight="1">
      <c r="A46" s="1" t="s">
        <v>83</v>
      </c>
      <c r="D46" s="1" t="s">
        <v>84</v>
      </c>
      <c r="E46" s="1" t="s">
        <v>64</v>
      </c>
      <c r="F46" s="1" t="s">
        <v>85</v>
      </c>
      <c r="G46" s="1" t="s">
        <v>86</v>
      </c>
    </row>
    <row r="47" ht="14.25" customHeight="1">
      <c r="A47" s="1" t="s">
        <v>87</v>
      </c>
      <c r="D47" s="1" t="s">
        <v>88</v>
      </c>
      <c r="E47" s="1" t="s">
        <v>64</v>
      </c>
      <c r="F47" s="1" t="s">
        <v>89</v>
      </c>
      <c r="G47" s="1" t="s">
        <v>90</v>
      </c>
    </row>
    <row r="48" ht="14.25" customHeight="1">
      <c r="A48" s="1" t="s">
        <v>91</v>
      </c>
      <c r="E48" s="1" t="s">
        <v>64</v>
      </c>
      <c r="F48" s="1" t="s">
        <v>92</v>
      </c>
      <c r="G48" s="1" t="s">
        <v>93</v>
      </c>
    </row>
    <row r="49" ht="14.25" customHeight="1">
      <c r="A49" s="1" t="s">
        <v>94</v>
      </c>
      <c r="B49" s="6">
        <v>4.0</v>
      </c>
      <c r="D49" s="1" t="s">
        <v>80</v>
      </c>
      <c r="E49" s="1" t="s">
        <v>60</v>
      </c>
      <c r="F49" s="1" t="s">
        <v>81</v>
      </c>
      <c r="G49" s="1" t="s">
        <v>82</v>
      </c>
    </row>
    <row r="50" ht="14.25" customHeight="1">
      <c r="A50" s="1" t="s">
        <v>95</v>
      </c>
      <c r="B50" s="6">
        <v>19.0</v>
      </c>
      <c r="D50" s="1" t="s">
        <v>84</v>
      </c>
      <c r="E50" s="1" t="s">
        <v>60</v>
      </c>
      <c r="F50" s="1" t="s">
        <v>85</v>
      </c>
      <c r="G50" s="1" t="s">
        <v>86</v>
      </c>
    </row>
    <row r="51" ht="14.25" customHeight="1"/>
    <row r="52" ht="14.25" customHeight="1"/>
    <row r="53" ht="14.25" customHeight="1">
      <c r="A53" s="1" t="s">
        <v>96</v>
      </c>
      <c r="D53" s="1" t="s">
        <v>97</v>
      </c>
      <c r="E53" s="1" t="s">
        <v>98</v>
      </c>
      <c r="G53" s="1" t="s">
        <v>99</v>
      </c>
    </row>
    <row r="54" ht="14.25" customHeight="1">
      <c r="A54" s="1" t="s">
        <v>100</v>
      </c>
      <c r="D54" s="1" t="s">
        <v>97</v>
      </c>
      <c r="E54" s="1" t="s">
        <v>101</v>
      </c>
      <c r="G54" s="1" t="s">
        <v>102</v>
      </c>
    </row>
    <row r="55" ht="14.25" customHeight="1"/>
    <row r="56" ht="14.25" customHeight="1">
      <c r="A56" s="1" t="s">
        <v>103</v>
      </c>
    </row>
    <row r="57" ht="14.25" customHeight="1">
      <c r="A57" s="1" t="s">
        <v>104</v>
      </c>
    </row>
    <row r="58" ht="14.25" customHeight="1"/>
    <row r="59" ht="14.25" customHeight="1">
      <c r="A59" s="1" t="s">
        <v>0</v>
      </c>
    </row>
    <row r="60" ht="14.25" customHeight="1">
      <c r="A60" s="2" t="s">
        <v>105</v>
      </c>
      <c r="B60" s="2"/>
    </row>
    <row r="61" ht="14.25" customHeight="1">
      <c r="A61" s="3" t="s">
        <v>2</v>
      </c>
      <c r="B61" s="3"/>
      <c r="C61" s="3" t="s">
        <v>4</v>
      </c>
      <c r="D61" s="3"/>
      <c r="E61" s="3"/>
      <c r="F61" s="3"/>
    </row>
    <row r="62" ht="14.25" customHeight="1">
      <c r="C62" s="1" t="s">
        <v>5</v>
      </c>
      <c r="D62" s="3" t="s">
        <v>6</v>
      </c>
      <c r="E62" s="3" t="s">
        <v>7</v>
      </c>
    </row>
    <row r="63" ht="14.25" customHeight="1">
      <c r="D63" s="1" t="s">
        <v>55</v>
      </c>
      <c r="E63" s="1" t="s">
        <v>56</v>
      </c>
    </row>
    <row r="64" ht="14.25" customHeight="1">
      <c r="D64" s="1" t="s">
        <v>106</v>
      </c>
      <c r="E64" s="1" t="s">
        <v>107</v>
      </c>
    </row>
    <row r="65" ht="14.25" customHeight="1">
      <c r="D65" s="7" t="s">
        <v>108</v>
      </c>
      <c r="E65" s="1" t="s">
        <v>67</v>
      </c>
      <c r="F65" s="1" t="s">
        <v>109</v>
      </c>
      <c r="G65" s="1" t="s">
        <v>86</v>
      </c>
    </row>
    <row r="66" ht="14.25" customHeight="1">
      <c r="D66" s="7" t="s">
        <v>108</v>
      </c>
      <c r="E66" s="1" t="s">
        <v>64</v>
      </c>
      <c r="F66" s="1" t="s">
        <v>109</v>
      </c>
      <c r="G66" s="1" t="s">
        <v>93</v>
      </c>
    </row>
    <row r="67" ht="14.25" customHeight="1">
      <c r="D67" s="7" t="s">
        <v>108</v>
      </c>
      <c r="E67" s="1" t="s">
        <v>67</v>
      </c>
      <c r="F67" s="1" t="s">
        <v>109</v>
      </c>
      <c r="G67" s="1" t="s">
        <v>86</v>
      </c>
    </row>
    <row r="68" ht="14.25" customHeight="1">
      <c r="D68" s="1" t="s">
        <v>110</v>
      </c>
    </row>
    <row r="69" ht="14.25" customHeight="1">
      <c r="D69" s="1" t="s">
        <v>110</v>
      </c>
    </row>
    <row r="70" ht="14.25" customHeight="1">
      <c r="D70" s="1" t="s">
        <v>110</v>
      </c>
    </row>
    <row r="71" ht="14.25" customHeight="1">
      <c r="D71" s="1" t="s">
        <v>110</v>
      </c>
    </row>
    <row r="72" ht="14.25" customHeight="1">
      <c r="D72" s="1" t="s">
        <v>110</v>
      </c>
    </row>
    <row r="73" ht="14.25" customHeight="1">
      <c r="D73" s="1" t="s">
        <v>110</v>
      </c>
    </row>
    <row r="74" ht="14.25" customHeight="1">
      <c r="D74" s="1" t="s">
        <v>110</v>
      </c>
    </row>
    <row r="75" ht="14.25" customHeight="1">
      <c r="D75" s="1" t="s">
        <v>110</v>
      </c>
    </row>
    <row r="76" ht="14.25" customHeight="1">
      <c r="D76" s="1" t="s">
        <v>110</v>
      </c>
    </row>
    <row r="77" ht="14.25" customHeight="1">
      <c r="D77" s="1" t="s">
        <v>110</v>
      </c>
    </row>
    <row r="78" ht="14.25" customHeight="1">
      <c r="D78" s="1" t="s">
        <v>110</v>
      </c>
    </row>
    <row r="79" ht="14.25" customHeight="1">
      <c r="C79" s="1" t="s">
        <v>57</v>
      </c>
    </row>
    <row r="80" ht="14.25" customHeight="1">
      <c r="A80" s="1" t="s">
        <v>111</v>
      </c>
    </row>
    <row r="81" ht="14.25" customHeight="1">
      <c r="A81" s="1" t="s">
        <v>112</v>
      </c>
      <c r="B81" s="6">
        <v>4.0</v>
      </c>
      <c r="D81" s="1" t="s">
        <v>59</v>
      </c>
      <c r="E81" s="1" t="s">
        <v>67</v>
      </c>
      <c r="F81" s="7" t="s">
        <v>61</v>
      </c>
      <c r="G81" s="7" t="s">
        <v>62</v>
      </c>
    </row>
    <row r="82" ht="14.25" customHeight="1">
      <c r="C82" s="1" t="s">
        <v>71</v>
      </c>
    </row>
    <row r="83" ht="14.25" customHeight="1"/>
    <row r="84" ht="14.25" customHeight="1"/>
    <row r="85" ht="14.25" customHeight="1"/>
    <row r="86" ht="14.25" customHeight="1"/>
    <row r="87" ht="14.25" customHeight="1">
      <c r="C87" s="1" t="s">
        <v>78</v>
      </c>
    </row>
    <row r="88" ht="14.25" customHeight="1">
      <c r="A88" s="1" t="s">
        <v>113</v>
      </c>
      <c r="B88" s="6">
        <v>13.0</v>
      </c>
      <c r="D88" s="1" t="s">
        <v>80</v>
      </c>
      <c r="E88" s="1" t="s">
        <v>67</v>
      </c>
      <c r="F88" s="1" t="s">
        <v>81</v>
      </c>
      <c r="G88" s="1" t="s">
        <v>82</v>
      </c>
    </row>
    <row r="89" ht="14.25" customHeight="1">
      <c r="A89" s="1" t="s">
        <v>114</v>
      </c>
      <c r="B89" s="6">
        <v>9.0</v>
      </c>
      <c r="D89" s="1" t="s">
        <v>84</v>
      </c>
      <c r="E89" s="1" t="s">
        <v>67</v>
      </c>
      <c r="F89" s="1" t="s">
        <v>85</v>
      </c>
      <c r="G89" s="1" t="s">
        <v>86</v>
      </c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5"/>
    <col customWidth="1" min="3" max="3" width="13.63"/>
    <col customWidth="1" min="4" max="7" width="11.38"/>
    <col customWidth="1" min="8" max="8" width="13.63"/>
    <col customWidth="1" min="9" max="13" width="11.38"/>
    <col customWidth="1" min="14" max="14" width="8.63"/>
    <col customWidth="1" min="15" max="15" width="13.63"/>
    <col customWidth="1" min="16" max="16" width="18.63"/>
    <col customWidth="1" min="17" max="26" width="8.63"/>
  </cols>
  <sheetData>
    <row r="1" ht="14.25" customHeight="1">
      <c r="A1" s="1" t="s">
        <v>115</v>
      </c>
      <c r="B1" s="1">
        <v>1.450377E-4</v>
      </c>
    </row>
    <row r="2" ht="14.25" customHeight="1">
      <c r="A2" s="2" t="s">
        <v>116</v>
      </c>
      <c r="D2" s="8" t="s">
        <v>117</v>
      </c>
      <c r="F2" s="2" t="s">
        <v>118</v>
      </c>
      <c r="I2" s="8" t="s">
        <v>117</v>
      </c>
      <c r="M2" s="2" t="s">
        <v>119</v>
      </c>
      <c r="P2" s="1" t="s">
        <v>117</v>
      </c>
    </row>
    <row r="3" ht="14.25" customHeight="1">
      <c r="A3" s="1" t="s">
        <v>120</v>
      </c>
      <c r="B3" s="1" t="s">
        <v>121</v>
      </c>
      <c r="C3" s="1" t="s">
        <v>122</v>
      </c>
      <c r="D3" s="1" t="s">
        <v>123</v>
      </c>
      <c r="E3" s="1" t="s">
        <v>124</v>
      </c>
      <c r="F3" s="1" t="s">
        <v>120</v>
      </c>
      <c r="G3" s="1" t="s">
        <v>121</v>
      </c>
      <c r="H3" s="1" t="s">
        <v>122</v>
      </c>
      <c r="I3" s="1" t="s">
        <v>125</v>
      </c>
      <c r="J3" s="1" t="s">
        <v>126</v>
      </c>
      <c r="K3" s="1" t="s">
        <v>127</v>
      </c>
      <c r="L3" s="1" t="s">
        <v>128</v>
      </c>
      <c r="M3" s="1" t="s">
        <v>120</v>
      </c>
      <c r="N3" s="1" t="s">
        <v>121</v>
      </c>
      <c r="O3" s="1" t="s">
        <v>122</v>
      </c>
      <c r="P3" s="1" t="s">
        <v>129</v>
      </c>
    </row>
    <row r="4" ht="14.25" customHeight="1">
      <c r="A4" s="1" t="s">
        <v>130</v>
      </c>
      <c r="B4" s="1">
        <v>125.0</v>
      </c>
      <c r="C4" s="1">
        <f t="shared" ref="C4:C33" si="1">B4/$B$1</f>
        <v>861844.8858</v>
      </c>
      <c r="D4" s="1">
        <v>-2.0655</v>
      </c>
      <c r="E4" s="1">
        <v>-2.079</v>
      </c>
      <c r="F4" s="1" t="s">
        <v>130</v>
      </c>
      <c r="G4" s="1">
        <v>125.0</v>
      </c>
      <c r="H4" s="1">
        <f t="shared" ref="H4:H18" si="2">G4/$B$1</f>
        <v>861844.8858</v>
      </c>
      <c r="I4" s="1">
        <v>-2.5666</v>
      </c>
      <c r="J4" s="1">
        <v>-2.4729</v>
      </c>
      <c r="K4" s="1">
        <v>-2.5177</v>
      </c>
      <c r="L4" s="1">
        <v>-2.4915</v>
      </c>
      <c r="M4" s="1" t="s">
        <v>131</v>
      </c>
      <c r="N4" s="1">
        <v>5.0</v>
      </c>
      <c r="O4" s="1">
        <f t="shared" ref="O4:O14" si="3">N4/$B$1</f>
        <v>34473.79543</v>
      </c>
      <c r="P4" s="1">
        <v>-2.038</v>
      </c>
    </row>
    <row r="5" ht="14.25" customHeight="1">
      <c r="B5" s="1">
        <v>225.0</v>
      </c>
      <c r="C5" s="1">
        <f t="shared" si="1"/>
        <v>1551320.795</v>
      </c>
      <c r="D5" s="1">
        <v>-2.2161</v>
      </c>
      <c r="E5" s="1">
        <v>-2.2282</v>
      </c>
      <c r="G5" s="1">
        <v>225.0</v>
      </c>
      <c r="H5" s="1">
        <f t="shared" si="2"/>
        <v>1551320.795</v>
      </c>
      <c r="I5" s="1">
        <v>-3.036</v>
      </c>
      <c r="J5" s="1">
        <v>-2.964</v>
      </c>
      <c r="K5" s="1">
        <v>-3.0177</v>
      </c>
      <c r="L5" s="1">
        <v>-2.9901</v>
      </c>
      <c r="N5" s="1">
        <v>25.0</v>
      </c>
      <c r="O5" s="1">
        <f t="shared" si="3"/>
        <v>172368.9772</v>
      </c>
      <c r="P5" s="1">
        <v>-2.7769</v>
      </c>
    </row>
    <row r="6" ht="14.25" customHeight="1">
      <c r="B6" s="1">
        <v>325.0</v>
      </c>
      <c r="C6" s="1">
        <f t="shared" si="1"/>
        <v>2240796.703</v>
      </c>
      <c r="D6" s="1">
        <v>-2.3674</v>
      </c>
      <c r="E6" s="1">
        <v>-2.3766</v>
      </c>
      <c r="G6" s="1">
        <v>325.0</v>
      </c>
      <c r="H6" s="1">
        <f t="shared" si="2"/>
        <v>2240796.703</v>
      </c>
      <c r="I6" s="1">
        <v>-3.5269</v>
      </c>
      <c r="J6" s="1">
        <v>-3.454</v>
      </c>
      <c r="K6" s="1">
        <v>-3.519</v>
      </c>
      <c r="L6" s="1">
        <v>-3.4873</v>
      </c>
      <c r="N6" s="1">
        <v>45.0</v>
      </c>
      <c r="O6" s="1">
        <f t="shared" si="3"/>
        <v>310264.1589</v>
      </c>
      <c r="P6" s="1">
        <v>-3.5191</v>
      </c>
    </row>
    <row r="7" ht="14.25" customHeight="1">
      <c r="B7" s="1">
        <v>425.0</v>
      </c>
      <c r="C7" s="1">
        <f t="shared" si="1"/>
        <v>2930272.612</v>
      </c>
      <c r="D7" s="1">
        <v>-2.5185</v>
      </c>
      <c r="E7" s="1">
        <v>-2.535</v>
      </c>
      <c r="G7" s="1">
        <v>425.0</v>
      </c>
      <c r="H7" s="1">
        <f t="shared" si="2"/>
        <v>2930272.612</v>
      </c>
      <c r="I7" s="1">
        <v>-4.0174</v>
      </c>
      <c r="J7" s="1">
        <v>-3.9451</v>
      </c>
      <c r="K7" s="1">
        <v>-4.0203</v>
      </c>
      <c r="L7" s="1">
        <v>-3.9851</v>
      </c>
      <c r="N7" s="1">
        <v>65.0</v>
      </c>
      <c r="O7" s="1">
        <f t="shared" si="3"/>
        <v>448159.3406</v>
      </c>
      <c r="P7" s="1">
        <v>-4.2597</v>
      </c>
    </row>
    <row r="8" ht="14.25" customHeight="1">
      <c r="B8" s="1">
        <v>525.0</v>
      </c>
      <c r="C8" s="1">
        <f t="shared" si="1"/>
        <v>3619748.521</v>
      </c>
      <c r="D8" s="1">
        <v>-2.6696</v>
      </c>
      <c r="E8" s="1">
        <v>-2.6843</v>
      </c>
      <c r="G8" s="1">
        <v>525.0</v>
      </c>
      <c r="H8" s="1">
        <f t="shared" si="2"/>
        <v>3619748.521</v>
      </c>
      <c r="I8" s="1">
        <v>-4.5078</v>
      </c>
      <c r="J8" s="1">
        <v>-4.4358</v>
      </c>
      <c r="K8" s="1">
        <v>-4.523</v>
      </c>
      <c r="L8" s="1">
        <v>-4.4807</v>
      </c>
      <c r="N8" s="1">
        <v>85.0</v>
      </c>
      <c r="O8" s="1">
        <f t="shared" si="3"/>
        <v>586054.5224</v>
      </c>
      <c r="P8" s="1">
        <v>-4.9963</v>
      </c>
    </row>
    <row r="9" ht="14.25" customHeight="1">
      <c r="B9" s="1">
        <v>625.0</v>
      </c>
      <c r="C9" s="1">
        <f t="shared" si="1"/>
        <v>4309224.429</v>
      </c>
      <c r="D9" s="1">
        <v>-2.8205</v>
      </c>
      <c r="E9" s="1">
        <v>-2.8339</v>
      </c>
      <c r="G9" s="1">
        <v>625.0</v>
      </c>
      <c r="H9" s="1">
        <f t="shared" si="2"/>
        <v>4309224.429</v>
      </c>
      <c r="I9" s="1">
        <v>-4.9962</v>
      </c>
      <c r="J9" s="1">
        <v>-4.9257</v>
      </c>
      <c r="K9" s="1">
        <v>-5.0246</v>
      </c>
      <c r="L9" s="1">
        <v>-4.9791</v>
      </c>
      <c r="N9" s="1">
        <v>105.0</v>
      </c>
      <c r="O9" s="1">
        <f t="shared" si="3"/>
        <v>723949.7041</v>
      </c>
      <c r="P9" s="1">
        <v>-5.7312</v>
      </c>
    </row>
    <row r="10" ht="14.25" customHeight="1">
      <c r="B10" s="1">
        <v>725.0</v>
      </c>
      <c r="C10" s="1">
        <f t="shared" si="1"/>
        <v>4998700.338</v>
      </c>
      <c r="D10" s="1">
        <v>-2.971</v>
      </c>
      <c r="E10" s="1">
        <v>-2.983</v>
      </c>
      <c r="G10" s="1">
        <v>725.0</v>
      </c>
      <c r="H10" s="1">
        <f t="shared" si="2"/>
        <v>4998700.338</v>
      </c>
      <c r="I10" s="1">
        <v>-5.4846</v>
      </c>
      <c r="J10" s="1">
        <v>-5.4156</v>
      </c>
      <c r="K10" s="1">
        <v>-5.528</v>
      </c>
      <c r="L10" s="1">
        <v>-5.4748</v>
      </c>
      <c r="N10" s="1">
        <v>125.0</v>
      </c>
      <c r="O10" s="1">
        <f t="shared" si="3"/>
        <v>861844.8858</v>
      </c>
      <c r="P10" s="1">
        <v>-6.4626</v>
      </c>
    </row>
    <row r="11" ht="14.25" customHeight="1">
      <c r="B11" s="1">
        <v>825.0</v>
      </c>
      <c r="C11" s="1">
        <f t="shared" si="1"/>
        <v>5688176.247</v>
      </c>
      <c r="D11" s="1">
        <v>-3.1221</v>
      </c>
      <c r="E11" s="1">
        <v>-3.1323</v>
      </c>
      <c r="G11" s="1">
        <v>825.0</v>
      </c>
      <c r="H11" s="1">
        <f t="shared" si="2"/>
        <v>5688176.247</v>
      </c>
      <c r="I11" s="1">
        <v>-5.9715</v>
      </c>
      <c r="J11" s="1">
        <v>-5.9048</v>
      </c>
      <c r="K11" s="1">
        <v>-6.0272</v>
      </c>
      <c r="L11" s="1">
        <v>-5.9695</v>
      </c>
      <c r="N11" s="1">
        <v>145.0</v>
      </c>
      <c r="O11" s="1">
        <f t="shared" si="3"/>
        <v>999740.0676</v>
      </c>
      <c r="P11" s="1">
        <v>-7.1913</v>
      </c>
    </row>
    <row r="12" ht="14.25" customHeight="1">
      <c r="B12" s="1">
        <v>925.0</v>
      </c>
      <c r="C12" s="1">
        <f t="shared" si="1"/>
        <v>6377652.155</v>
      </c>
      <c r="D12" s="1">
        <v>-3.2739</v>
      </c>
      <c r="E12" s="1">
        <v>-3.2813</v>
      </c>
      <c r="G12" s="1">
        <v>925.0</v>
      </c>
      <c r="H12" s="1">
        <f t="shared" si="2"/>
        <v>6377652.155</v>
      </c>
      <c r="I12" s="1">
        <v>-6.4565</v>
      </c>
      <c r="J12" s="1">
        <v>-6.3941</v>
      </c>
      <c r="K12" s="1">
        <v>-6.5304</v>
      </c>
      <c r="L12" s="1">
        <v>-6.4605</v>
      </c>
      <c r="N12" s="1">
        <v>165.0</v>
      </c>
      <c r="O12" s="1">
        <f t="shared" si="3"/>
        <v>1137635.249</v>
      </c>
      <c r="P12" s="1">
        <v>-7.9157</v>
      </c>
    </row>
    <row r="13" ht="14.25" customHeight="1">
      <c r="B13" s="1">
        <v>1025.0</v>
      </c>
      <c r="C13" s="1">
        <f t="shared" si="1"/>
        <v>7067128.064</v>
      </c>
      <c r="D13" s="1">
        <v>-3.4243</v>
      </c>
      <c r="E13" s="1">
        <v>-3.4305</v>
      </c>
      <c r="G13" s="1">
        <v>1025.0</v>
      </c>
      <c r="H13" s="1">
        <f t="shared" si="2"/>
        <v>7067128.064</v>
      </c>
      <c r="I13" s="1">
        <v>-6.9408</v>
      </c>
      <c r="J13" s="1">
        <v>-6.8812</v>
      </c>
      <c r="K13" s="1">
        <v>-7.0318</v>
      </c>
      <c r="L13" s="1">
        <v>-6.9534</v>
      </c>
      <c r="N13" s="1">
        <v>185.0</v>
      </c>
      <c r="O13" s="1">
        <f t="shared" si="3"/>
        <v>1275530.431</v>
      </c>
      <c r="P13" s="1">
        <v>-8.6367</v>
      </c>
    </row>
    <row r="14" ht="14.25" customHeight="1">
      <c r="B14" s="1">
        <v>1125.0</v>
      </c>
      <c r="C14" s="1">
        <f t="shared" si="1"/>
        <v>7756603.973</v>
      </c>
      <c r="D14" s="1">
        <v>-3.5757</v>
      </c>
      <c r="E14" s="1">
        <v>-3.5791</v>
      </c>
      <c r="G14" s="1">
        <v>1125.0</v>
      </c>
      <c r="H14" s="1">
        <f t="shared" si="2"/>
        <v>7756603.973</v>
      </c>
      <c r="I14" s="1">
        <v>-7.4232</v>
      </c>
      <c r="J14" s="1">
        <v>-7.3695</v>
      </c>
      <c r="K14" s="1">
        <v>-7.5325</v>
      </c>
      <c r="L14" s="1">
        <v>-7.4428</v>
      </c>
      <c r="N14" s="1">
        <v>205.0</v>
      </c>
      <c r="O14" s="1">
        <f t="shared" si="3"/>
        <v>1413425.613</v>
      </c>
      <c r="P14" s="1">
        <v>-9.3553</v>
      </c>
    </row>
    <row r="15" ht="14.25" customHeight="1">
      <c r="B15" s="1">
        <v>1225.0</v>
      </c>
      <c r="C15" s="1">
        <f t="shared" si="1"/>
        <v>8446079.881</v>
      </c>
      <c r="D15" s="1">
        <v>-3.7263</v>
      </c>
      <c r="E15" s="1">
        <v>-3.7281</v>
      </c>
      <c r="G15" s="1">
        <v>1225.0</v>
      </c>
      <c r="H15" s="1">
        <f t="shared" si="2"/>
        <v>8446079.881</v>
      </c>
      <c r="I15" s="1">
        <v>-7.9044</v>
      </c>
      <c r="J15" s="1">
        <v>-7.8557</v>
      </c>
      <c r="K15" s="1">
        <v>-8.0361</v>
      </c>
      <c r="L15" s="1">
        <v>-7.932</v>
      </c>
    </row>
    <row r="16" ht="14.25" customHeight="1">
      <c r="B16" s="1">
        <v>1325.0</v>
      </c>
      <c r="C16" s="1">
        <f t="shared" si="1"/>
        <v>9135555.79</v>
      </c>
      <c r="D16" s="1">
        <v>-3.8781</v>
      </c>
      <c r="E16" s="1">
        <v>-3.8766</v>
      </c>
      <c r="G16" s="1">
        <v>1325.0</v>
      </c>
      <c r="H16" s="1">
        <f t="shared" si="2"/>
        <v>9135555.79</v>
      </c>
      <c r="I16" s="1">
        <v>-8.3836</v>
      </c>
      <c r="J16" s="1">
        <v>-8.3397</v>
      </c>
      <c r="K16" s="1">
        <v>-8.5381</v>
      </c>
      <c r="L16" s="1">
        <v>-8.4212</v>
      </c>
    </row>
    <row r="17" ht="14.25" customHeight="1">
      <c r="B17" s="1">
        <v>1425.0</v>
      </c>
      <c r="C17" s="1">
        <f t="shared" si="1"/>
        <v>9825031.699</v>
      </c>
      <c r="D17" s="1">
        <v>-4.0287</v>
      </c>
      <c r="E17" s="1">
        <v>-4.0256</v>
      </c>
      <c r="G17" s="1">
        <v>1425.0</v>
      </c>
      <c r="H17" s="1">
        <f t="shared" si="2"/>
        <v>9825031.699</v>
      </c>
      <c r="I17" s="1">
        <v>-8.8615</v>
      </c>
      <c r="J17" s="1">
        <v>-8.8256</v>
      </c>
      <c r="K17" s="1">
        <v>-9.0384</v>
      </c>
      <c r="L17" s="1">
        <v>-8.9064</v>
      </c>
    </row>
    <row r="18" ht="14.25" customHeight="1">
      <c r="B18" s="1">
        <v>1525.0</v>
      </c>
      <c r="C18" s="1">
        <f t="shared" si="1"/>
        <v>10514507.61</v>
      </c>
      <c r="D18" s="1">
        <v>-4.1794</v>
      </c>
      <c r="E18" s="1">
        <v>-4.1743</v>
      </c>
      <c r="G18" s="1">
        <v>1525.0</v>
      </c>
      <c r="H18" s="1">
        <f t="shared" si="2"/>
        <v>10514507.61</v>
      </c>
      <c r="I18" s="1">
        <v>-8.9804</v>
      </c>
      <c r="J18" s="1">
        <v>-9.312</v>
      </c>
      <c r="K18" s="1">
        <v>-9.5368</v>
      </c>
      <c r="L18" s="1">
        <v>-9.1367</v>
      </c>
    </row>
    <row r="19" ht="14.25" customHeight="1">
      <c r="B19" s="1">
        <v>1625.0</v>
      </c>
      <c r="C19" s="1">
        <f t="shared" si="1"/>
        <v>11203983.52</v>
      </c>
      <c r="D19" s="1">
        <v>-4.3305</v>
      </c>
      <c r="E19" s="1">
        <v>-4.3234</v>
      </c>
    </row>
    <row r="20" ht="14.25" customHeight="1">
      <c r="B20" s="1">
        <v>1725.0</v>
      </c>
      <c r="C20" s="1">
        <f t="shared" si="1"/>
        <v>11893459.42</v>
      </c>
      <c r="D20" s="1">
        <v>-4.4818</v>
      </c>
      <c r="E20" s="1">
        <v>-4.4714</v>
      </c>
    </row>
    <row r="21" ht="14.25" customHeight="1">
      <c r="B21" s="1">
        <v>1825.0</v>
      </c>
      <c r="C21" s="1">
        <f t="shared" si="1"/>
        <v>12582935.33</v>
      </c>
      <c r="D21" s="1">
        <v>-4.6328</v>
      </c>
      <c r="E21" s="1">
        <v>-4.62</v>
      </c>
    </row>
    <row r="22" ht="14.25" customHeight="1">
      <c r="B22" s="1">
        <v>1925.0</v>
      </c>
      <c r="C22" s="1">
        <f t="shared" si="1"/>
        <v>13272411.24</v>
      </c>
      <c r="D22" s="1">
        <v>-4.7847</v>
      </c>
      <c r="E22" s="1">
        <v>-4.7682</v>
      </c>
    </row>
    <row r="23" ht="14.25" customHeight="1">
      <c r="B23" s="1">
        <v>2025.0</v>
      </c>
      <c r="C23" s="1">
        <f t="shared" si="1"/>
        <v>13961887.15</v>
      </c>
      <c r="D23" s="1">
        <v>-4.936</v>
      </c>
      <c r="E23" s="1">
        <v>-4.9166</v>
      </c>
    </row>
    <row r="24" ht="14.25" customHeight="1">
      <c r="B24" s="1">
        <v>2125.0</v>
      </c>
      <c r="C24" s="1">
        <f t="shared" si="1"/>
        <v>14651363.06</v>
      </c>
      <c r="D24" s="1">
        <v>-5.087</v>
      </c>
      <c r="E24" s="1">
        <v>-5.0649</v>
      </c>
    </row>
    <row r="25" ht="14.25" customHeight="1">
      <c r="B25" s="1">
        <v>2225.0</v>
      </c>
      <c r="C25" s="1">
        <f t="shared" si="1"/>
        <v>15340838.97</v>
      </c>
      <c r="D25" s="1">
        <v>-5.2377</v>
      </c>
      <c r="E25" s="1">
        <v>-5.2128</v>
      </c>
    </row>
    <row r="26" ht="14.25" customHeight="1">
      <c r="B26" s="1">
        <v>2325.0</v>
      </c>
      <c r="C26" s="1">
        <f t="shared" si="1"/>
        <v>16030314.88</v>
      </c>
      <c r="D26" s="1">
        <v>-5.3881</v>
      </c>
      <c r="E26" s="1">
        <v>-5.3606</v>
      </c>
    </row>
    <row r="27" ht="14.25" customHeight="1">
      <c r="B27" s="1">
        <v>2425.0</v>
      </c>
      <c r="C27" s="1">
        <f t="shared" si="1"/>
        <v>16719790.79</v>
      </c>
      <c r="D27" s="1">
        <v>-5.5407</v>
      </c>
      <c r="E27" s="1">
        <v>-5.5084</v>
      </c>
    </row>
    <row r="28" ht="14.25" customHeight="1">
      <c r="B28" s="1">
        <v>2525.0</v>
      </c>
      <c r="C28" s="1">
        <f t="shared" si="1"/>
        <v>17409266.69</v>
      </c>
      <c r="D28" s="1">
        <v>-5.6896</v>
      </c>
      <c r="E28" s="1">
        <v>-5.6568</v>
      </c>
    </row>
    <row r="29" ht="14.25" customHeight="1">
      <c r="B29" s="1">
        <v>2625.0</v>
      </c>
      <c r="C29" s="1">
        <f t="shared" si="1"/>
        <v>18098742.6</v>
      </c>
      <c r="D29" s="1">
        <v>-5.8403</v>
      </c>
      <c r="E29" s="1">
        <v>-5.8035</v>
      </c>
    </row>
    <row r="30" ht="14.25" customHeight="1">
      <c r="B30" s="1">
        <v>2725.0</v>
      </c>
      <c r="C30" s="1">
        <f t="shared" si="1"/>
        <v>18788218.51</v>
      </c>
      <c r="D30" s="1">
        <v>-5.9912</v>
      </c>
      <c r="E30" s="1">
        <v>-5.9507</v>
      </c>
    </row>
    <row r="31" ht="14.25" customHeight="1">
      <c r="B31" s="1">
        <v>2825.0</v>
      </c>
      <c r="C31" s="1">
        <f t="shared" si="1"/>
        <v>19477694.42</v>
      </c>
      <c r="D31" s="1">
        <v>-6.1435</v>
      </c>
      <c r="E31" s="1">
        <v>-6.0997</v>
      </c>
    </row>
    <row r="32" ht="14.25" customHeight="1">
      <c r="B32" s="1">
        <v>2925.0</v>
      </c>
      <c r="C32" s="1">
        <f t="shared" si="1"/>
        <v>20167170.33</v>
      </c>
      <c r="D32" s="1">
        <v>-6.2954</v>
      </c>
      <c r="E32" s="1">
        <v>-6.2475</v>
      </c>
    </row>
    <row r="33" ht="14.25" customHeight="1">
      <c r="B33" s="1">
        <v>3025.0</v>
      </c>
      <c r="C33" s="1">
        <f t="shared" si="1"/>
        <v>20856646.24</v>
      </c>
      <c r="D33" s="1">
        <v>-6.4466</v>
      </c>
      <c r="E33" s="1">
        <v>-6.3946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2:E2"/>
    <mergeCell ref="I2:L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3" width="8.63"/>
  </cols>
  <sheetData>
    <row r="1" ht="14.25" customHeight="1">
      <c r="A1" s="2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14.25" customHeight="1">
      <c r="A3" s="2"/>
      <c r="B3" s="2"/>
      <c r="C3" s="2" t="s">
        <v>133</v>
      </c>
      <c r="D3" s="2"/>
      <c r="E3" s="2" t="s">
        <v>134</v>
      </c>
      <c r="F3" s="2"/>
      <c r="G3" s="2" t="s">
        <v>135</v>
      </c>
      <c r="H3" s="2"/>
      <c r="I3" s="2" t="s">
        <v>136</v>
      </c>
      <c r="J3" s="2"/>
      <c r="K3" s="2" t="s">
        <v>137</v>
      </c>
      <c r="L3" s="2"/>
      <c r="M3" s="2" t="s">
        <v>138</v>
      </c>
      <c r="N3" s="2"/>
      <c r="O3" s="2" t="s">
        <v>139</v>
      </c>
      <c r="P3" s="2"/>
      <c r="Q3" s="2" t="s">
        <v>140</v>
      </c>
      <c r="R3" s="2"/>
      <c r="S3" s="2" t="s">
        <v>141</v>
      </c>
      <c r="T3" s="2"/>
      <c r="U3" s="2" t="s">
        <v>142</v>
      </c>
      <c r="V3" s="2"/>
      <c r="W3" s="2" t="s">
        <v>143</v>
      </c>
      <c r="X3" s="2"/>
      <c r="Y3" s="2" t="s">
        <v>144</v>
      </c>
      <c r="Z3" s="2"/>
      <c r="AA3" s="2" t="s">
        <v>145</v>
      </c>
      <c r="AB3" s="2"/>
      <c r="AC3" s="2" t="s">
        <v>146</v>
      </c>
      <c r="AD3" s="2"/>
      <c r="AE3" s="2" t="s">
        <v>147</v>
      </c>
      <c r="AF3" s="2"/>
      <c r="AG3" s="2" t="s">
        <v>148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>
      <c r="F315" s="1" t="s">
        <v>149</v>
      </c>
      <c r="G315" s="1">
        <v>-4.5969</v>
      </c>
    </row>
    <row r="316" ht="14.25" customHeight="1">
      <c r="F316" s="1" t="s">
        <v>150</v>
      </c>
      <c r="G316" s="1">
        <v>-4.766</v>
      </c>
    </row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>
      <c r="AE435" s="1" t="s">
        <v>151</v>
      </c>
      <c r="AF435" s="1" t="s">
        <v>152</v>
      </c>
    </row>
    <row r="436" ht="14.25" customHeight="1">
      <c r="AE436" s="1">
        <v>0.0</v>
      </c>
      <c r="AF436" s="1">
        <v>-4.5990161895752</v>
      </c>
    </row>
    <row r="437" ht="14.25" customHeight="1">
      <c r="AE437" s="1">
        <v>0.01</v>
      </c>
      <c r="AF437" s="1">
        <v>-4.59638595581055</v>
      </c>
    </row>
    <row r="438" ht="14.25" customHeight="1">
      <c r="AE438" s="1">
        <v>0.02</v>
      </c>
      <c r="AF438" s="1">
        <v>-4.59868764877319</v>
      </c>
    </row>
    <row r="439" ht="14.25" customHeight="1">
      <c r="AE439" s="1">
        <v>0.03</v>
      </c>
      <c r="AF439" s="1">
        <v>-4.59868764877319</v>
      </c>
    </row>
    <row r="440" ht="14.25" customHeight="1">
      <c r="AE440" s="1">
        <v>0.04</v>
      </c>
      <c r="AF440" s="1">
        <v>-4.59868764877319</v>
      </c>
    </row>
    <row r="441" ht="14.25" customHeight="1">
      <c r="AE441" s="1">
        <v>0.05</v>
      </c>
      <c r="AF441" s="1">
        <v>-4.59868764877319</v>
      </c>
    </row>
    <row r="442" ht="14.25" customHeight="1">
      <c r="AE442" s="1">
        <v>0.06</v>
      </c>
      <c r="AF442" s="1">
        <v>-4.59868764877319</v>
      </c>
    </row>
    <row r="443" ht="14.25" customHeight="1">
      <c r="AE443" s="1">
        <v>0.07</v>
      </c>
      <c r="AF443" s="1">
        <v>-4.59868764877319</v>
      </c>
    </row>
    <row r="444" ht="14.25" customHeight="1">
      <c r="AE444" s="1">
        <v>0.08</v>
      </c>
      <c r="AF444" s="1">
        <v>-4.59868764877319</v>
      </c>
    </row>
    <row r="445" ht="14.25" customHeight="1">
      <c r="AE445" s="1">
        <v>0.09</v>
      </c>
      <c r="AF445" s="1">
        <v>-4.59868764877319</v>
      </c>
    </row>
    <row r="446" ht="14.25" customHeight="1">
      <c r="AE446" s="1">
        <v>0.1</v>
      </c>
      <c r="AF446" s="1">
        <v>-4.59868764877319</v>
      </c>
    </row>
    <row r="447" ht="14.25" customHeight="1">
      <c r="AE447" s="1">
        <v>0.11</v>
      </c>
      <c r="AF447" s="1">
        <v>-4.59868764877319</v>
      </c>
    </row>
    <row r="448" ht="14.25" customHeight="1">
      <c r="AE448" s="1">
        <v>0.12</v>
      </c>
      <c r="AF448" s="1">
        <v>-4.59868764877319</v>
      </c>
    </row>
    <row r="449" ht="14.25" customHeight="1">
      <c r="AE449" s="1">
        <v>0.13</v>
      </c>
      <c r="AF449" s="1">
        <v>-4.59704351425171</v>
      </c>
    </row>
    <row r="450" ht="14.25" customHeight="1">
      <c r="AE450" s="1">
        <v>0.14</v>
      </c>
      <c r="AF450" s="1">
        <v>-4.60131788253784</v>
      </c>
    </row>
    <row r="451" ht="14.25" customHeight="1">
      <c r="AE451" s="1">
        <v>0.15</v>
      </c>
      <c r="AF451" s="1">
        <v>-4.60131788253784</v>
      </c>
    </row>
    <row r="452" ht="14.25" customHeight="1">
      <c r="AE452" s="1">
        <v>0.16</v>
      </c>
      <c r="AF452" s="1">
        <v>-4.59309768676758</v>
      </c>
    </row>
    <row r="453" ht="14.25" customHeight="1">
      <c r="AE453" s="1">
        <v>0.17</v>
      </c>
      <c r="AF453" s="1">
        <v>-4.59309768676758</v>
      </c>
    </row>
    <row r="454" ht="14.25" customHeight="1">
      <c r="AE454" s="1">
        <v>0.18</v>
      </c>
      <c r="AF454" s="1">
        <v>-4.59770107269287</v>
      </c>
    </row>
    <row r="455" ht="14.25" customHeight="1">
      <c r="AE455" s="1">
        <v>0.19</v>
      </c>
      <c r="AF455" s="1">
        <v>-4.59770107269287</v>
      </c>
    </row>
    <row r="456" ht="14.25" customHeight="1">
      <c r="AE456" s="1">
        <v>0.2</v>
      </c>
      <c r="AF456" s="1">
        <v>-4.59572839736939</v>
      </c>
    </row>
    <row r="457" ht="14.25" customHeight="1">
      <c r="AE457" s="1">
        <v>0.21</v>
      </c>
      <c r="AF457" s="1">
        <v>-4.59572839736939</v>
      </c>
    </row>
    <row r="458" ht="14.25" customHeight="1">
      <c r="AE458" s="1">
        <v>0.22</v>
      </c>
      <c r="AF458" s="1">
        <v>-4.59704351425171</v>
      </c>
    </row>
    <row r="459" ht="14.25" customHeight="1">
      <c r="AE459" s="1">
        <v>0.23</v>
      </c>
      <c r="AF459" s="1">
        <v>-4.59704351425171</v>
      </c>
    </row>
    <row r="460" ht="14.25" customHeight="1">
      <c r="AE460" s="1">
        <v>0.24</v>
      </c>
      <c r="AF460" s="1">
        <v>-4.60066032409668</v>
      </c>
    </row>
    <row r="461" ht="14.25" customHeight="1">
      <c r="AE461" s="1">
        <v>0.25</v>
      </c>
      <c r="AF461" s="1">
        <v>-4.60066032409668</v>
      </c>
    </row>
    <row r="462" ht="14.25" customHeight="1">
      <c r="AE462" s="1">
        <v>0.26</v>
      </c>
      <c r="AF462" s="1">
        <v>-4.59934520721436</v>
      </c>
    </row>
    <row r="463" ht="14.25" customHeight="1">
      <c r="AE463" s="1">
        <v>0.27</v>
      </c>
      <c r="AF463" s="1">
        <v>-4.59934520721436</v>
      </c>
    </row>
    <row r="464" ht="14.25" customHeight="1">
      <c r="AE464" s="1">
        <v>0.28</v>
      </c>
      <c r="AF464" s="1">
        <v>-4.59244012832642</v>
      </c>
    </row>
    <row r="465" ht="14.25" customHeight="1">
      <c r="AE465" s="1">
        <v>0.29</v>
      </c>
      <c r="AF465" s="1">
        <v>-4.59244012832642</v>
      </c>
    </row>
    <row r="466" ht="14.25" customHeight="1">
      <c r="AE466" s="1">
        <v>0.3</v>
      </c>
      <c r="AF466" s="1">
        <v>-4.59309768676758</v>
      </c>
    </row>
    <row r="467" ht="14.25" customHeight="1">
      <c r="AE467" s="1">
        <v>0.31</v>
      </c>
      <c r="AF467" s="1">
        <v>-4.59309768676758</v>
      </c>
    </row>
    <row r="468" ht="14.25" customHeight="1">
      <c r="AE468" s="1">
        <v>0.32</v>
      </c>
      <c r="AF468" s="1">
        <v>-4.59309768676758</v>
      </c>
    </row>
    <row r="469" ht="14.25" customHeight="1">
      <c r="AE469" s="1">
        <v>0.33</v>
      </c>
      <c r="AF469" s="1">
        <v>-4.60098886489868</v>
      </c>
    </row>
    <row r="470" ht="14.25" customHeight="1">
      <c r="AE470" s="1">
        <v>0.34</v>
      </c>
      <c r="AF470" s="1">
        <v>-4.59112501144409</v>
      </c>
    </row>
    <row r="471" ht="14.25" customHeight="1">
      <c r="AE471" s="1">
        <v>0.35</v>
      </c>
      <c r="AF471" s="1">
        <v>-4.59112501144409</v>
      </c>
    </row>
    <row r="472" ht="14.25" customHeight="1">
      <c r="AE472" s="1">
        <v>0.36</v>
      </c>
      <c r="AF472" s="1">
        <v>-4.59671449661255</v>
      </c>
    </row>
    <row r="473" ht="14.25" customHeight="1">
      <c r="AE473" s="1">
        <v>0.37</v>
      </c>
      <c r="AF473" s="1">
        <v>-4.59802961349487</v>
      </c>
    </row>
    <row r="474" ht="14.25" customHeight="1">
      <c r="AE474" s="1">
        <v>0.38</v>
      </c>
      <c r="AF474" s="1">
        <v>-4.59802961349487</v>
      </c>
    </row>
    <row r="475" ht="14.25" customHeight="1">
      <c r="AE475" s="1">
        <v>0.39</v>
      </c>
      <c r="AF475" s="1">
        <v>-4.59802961349487</v>
      </c>
    </row>
    <row r="476" ht="14.25" customHeight="1">
      <c r="AE476" s="1">
        <v>0.4</v>
      </c>
      <c r="AF476" s="1">
        <v>-4.59802961349487</v>
      </c>
    </row>
    <row r="477" ht="14.25" customHeight="1">
      <c r="AE477" s="1">
        <v>0.41</v>
      </c>
      <c r="AF477" s="1">
        <v>-4.59802961349487</v>
      </c>
    </row>
    <row r="478" ht="14.25" customHeight="1">
      <c r="AE478" s="1">
        <v>0.42</v>
      </c>
      <c r="AF478" s="1">
        <v>-4.59802961349487</v>
      </c>
    </row>
    <row r="479" ht="14.25" customHeight="1">
      <c r="AE479" s="1">
        <v>0.43</v>
      </c>
      <c r="AF479" s="1">
        <v>-4.59802961349487</v>
      </c>
    </row>
    <row r="480" ht="14.25" customHeight="1">
      <c r="AE480" s="1">
        <v>0.44</v>
      </c>
      <c r="AF480" s="1">
        <v>-4.59802961349487</v>
      </c>
    </row>
    <row r="481" ht="14.25" customHeight="1">
      <c r="AE481" s="1">
        <v>0.45</v>
      </c>
      <c r="AF481" s="1">
        <v>-4.59802961349487</v>
      </c>
    </row>
    <row r="482" ht="14.25" customHeight="1">
      <c r="AE482" s="1">
        <v>0.46</v>
      </c>
      <c r="AF482" s="1">
        <v>-4.60131788253784</v>
      </c>
    </row>
    <row r="483" ht="14.25" customHeight="1">
      <c r="AE483" s="1">
        <v>0.47</v>
      </c>
      <c r="AF483" s="1">
        <v>-4.60131788253784</v>
      </c>
    </row>
    <row r="484" ht="14.25" customHeight="1">
      <c r="AE484" s="1">
        <v>0.48</v>
      </c>
      <c r="AF484" s="1">
        <v>-4.60131788253784</v>
      </c>
    </row>
    <row r="485" ht="14.25" customHeight="1">
      <c r="AE485" s="1">
        <v>0.49</v>
      </c>
      <c r="AF485" s="1">
        <v>-4.59539937973023</v>
      </c>
    </row>
    <row r="486" ht="14.25" customHeight="1">
      <c r="AE486" s="1">
        <v>0.5</v>
      </c>
      <c r="AF486" s="1">
        <v>-4.60000276565552</v>
      </c>
    </row>
    <row r="487" ht="14.25" customHeight="1">
      <c r="AE487" s="1">
        <v>0.51</v>
      </c>
      <c r="AF487" s="1">
        <v>-4.59802961349487</v>
      </c>
    </row>
    <row r="488" ht="14.25" customHeight="1">
      <c r="AE488" s="1">
        <v>0.52</v>
      </c>
      <c r="AF488" s="1">
        <v>-4.59802961349487</v>
      </c>
    </row>
    <row r="489" ht="14.25" customHeight="1">
      <c r="AE489" s="1">
        <v>0.53</v>
      </c>
      <c r="AF489" s="1">
        <v>-4.60000276565552</v>
      </c>
    </row>
    <row r="490" ht="14.25" customHeight="1">
      <c r="AE490" s="1">
        <v>0.54</v>
      </c>
      <c r="AF490" s="1">
        <v>-4.60000276565552</v>
      </c>
    </row>
    <row r="491" ht="14.25" customHeight="1">
      <c r="AE491" s="1">
        <v>0.55</v>
      </c>
      <c r="AF491" s="1">
        <v>-4.59474182128906</v>
      </c>
    </row>
    <row r="492" ht="14.25" customHeight="1">
      <c r="AE492" s="1">
        <v>0.56</v>
      </c>
      <c r="AF492" s="1">
        <v>-4.59967374801636</v>
      </c>
    </row>
    <row r="493" ht="14.25" customHeight="1">
      <c r="AE493" s="1">
        <v>0.57</v>
      </c>
      <c r="AF493" s="1">
        <v>-4.59967374801636</v>
      </c>
    </row>
    <row r="494" ht="14.25" customHeight="1">
      <c r="AE494" s="1">
        <v>0.58</v>
      </c>
      <c r="AF494" s="1">
        <v>-4.59572839736939</v>
      </c>
    </row>
    <row r="495" ht="14.25" customHeight="1">
      <c r="AE495" s="1">
        <v>0.59</v>
      </c>
      <c r="AF495" s="1">
        <v>-4.59770107269287</v>
      </c>
    </row>
    <row r="496" ht="14.25" customHeight="1">
      <c r="AE496" s="1">
        <v>0.6</v>
      </c>
      <c r="AF496" s="1">
        <v>-4.59770107269287</v>
      </c>
    </row>
    <row r="497" ht="14.25" customHeight="1">
      <c r="AE497" s="1">
        <v>0.61</v>
      </c>
      <c r="AF497" s="1">
        <v>-4.59441328048706</v>
      </c>
    </row>
    <row r="498" ht="14.25" customHeight="1">
      <c r="AE498" s="1">
        <v>0.62</v>
      </c>
      <c r="AF498" s="1">
        <v>-4.60066032409668</v>
      </c>
    </row>
    <row r="499" ht="14.25" customHeight="1">
      <c r="AE499" s="1">
        <v>0.63</v>
      </c>
      <c r="AF499" s="1">
        <v>-4.59770107269287</v>
      </c>
    </row>
    <row r="500" ht="14.25" customHeight="1">
      <c r="AE500" s="1">
        <v>0.64</v>
      </c>
      <c r="AF500" s="1">
        <v>-4.59770107269287</v>
      </c>
    </row>
    <row r="501" ht="14.25" customHeight="1">
      <c r="AE501" s="1">
        <v>0.65</v>
      </c>
      <c r="AF501" s="1">
        <v>-4.5990161895752</v>
      </c>
    </row>
    <row r="502" ht="14.25" customHeight="1">
      <c r="AE502" s="1">
        <v>0.66</v>
      </c>
      <c r="AF502" s="1">
        <v>-4.5990161895752</v>
      </c>
    </row>
    <row r="503" ht="14.25" customHeight="1">
      <c r="AE503" s="1">
        <v>0.67</v>
      </c>
      <c r="AF503" s="1">
        <v>-4.59375524520874</v>
      </c>
    </row>
    <row r="504" ht="14.25" customHeight="1">
      <c r="AE504" s="1">
        <v>0.68</v>
      </c>
      <c r="AF504" s="1">
        <v>-4.59375524520874</v>
      </c>
    </row>
    <row r="505" ht="14.25" customHeight="1">
      <c r="AE505" s="1">
        <v>0.69</v>
      </c>
      <c r="AF505" s="1">
        <v>-4.59539937973023</v>
      </c>
    </row>
    <row r="506" ht="14.25" customHeight="1">
      <c r="AE506" s="1">
        <v>0.7</v>
      </c>
      <c r="AF506" s="1">
        <v>-4.59441328048706</v>
      </c>
    </row>
    <row r="507" ht="14.25" customHeight="1">
      <c r="AE507" s="1">
        <v>0.71</v>
      </c>
      <c r="AF507" s="1">
        <v>-4.60164642333984</v>
      </c>
    </row>
    <row r="508" ht="14.25" customHeight="1">
      <c r="AE508" s="1">
        <v>0.72</v>
      </c>
      <c r="AF508" s="1">
        <v>-4.60164642333984</v>
      </c>
    </row>
    <row r="509" ht="14.25" customHeight="1">
      <c r="AE509" s="1">
        <v>0.73</v>
      </c>
      <c r="AF509" s="1">
        <v>-4.60164642333984</v>
      </c>
    </row>
    <row r="510" ht="14.25" customHeight="1">
      <c r="AE510" s="1">
        <v>0.74</v>
      </c>
      <c r="AF510" s="1">
        <v>-4.60164642333984</v>
      </c>
    </row>
    <row r="511" ht="14.25" customHeight="1">
      <c r="AE511" s="1">
        <v>0.75</v>
      </c>
      <c r="AF511" s="1">
        <v>-4.60164642333984</v>
      </c>
    </row>
    <row r="512" ht="14.25" customHeight="1">
      <c r="AE512" s="1">
        <v>0.76</v>
      </c>
      <c r="AF512" s="1">
        <v>-4.60164642333984</v>
      </c>
    </row>
    <row r="513" ht="14.25" customHeight="1">
      <c r="AE513" s="1">
        <v>0.77</v>
      </c>
      <c r="AF513" s="1">
        <v>-4.60164642333984</v>
      </c>
    </row>
    <row r="514" ht="14.25" customHeight="1">
      <c r="AE514" s="1">
        <v>0.78</v>
      </c>
      <c r="AF514" s="1">
        <v>-4.60164642333984</v>
      </c>
    </row>
    <row r="515" ht="14.25" customHeight="1">
      <c r="AE515" s="1">
        <v>0.79</v>
      </c>
      <c r="AF515" s="1">
        <v>-4.59474182128906</v>
      </c>
    </row>
    <row r="516" ht="14.25" customHeight="1">
      <c r="AE516" s="1">
        <v>0.8</v>
      </c>
      <c r="AF516" s="1">
        <v>-4.59375524520874</v>
      </c>
    </row>
    <row r="517" ht="14.25" customHeight="1">
      <c r="AE517" s="1">
        <v>0.81</v>
      </c>
      <c r="AF517" s="1">
        <v>-4.59507083892822</v>
      </c>
    </row>
    <row r="518" ht="14.25" customHeight="1">
      <c r="AE518" s="1">
        <v>0.82</v>
      </c>
      <c r="AF518" s="1">
        <v>-4.59507083892822</v>
      </c>
    </row>
    <row r="519" ht="14.25" customHeight="1">
      <c r="AE519" s="1">
        <v>0.83</v>
      </c>
      <c r="AF519" s="1">
        <v>-4.59770107269287</v>
      </c>
    </row>
    <row r="520" ht="14.25" customHeight="1">
      <c r="AE520" s="1">
        <v>0.84</v>
      </c>
      <c r="AF520" s="1">
        <v>-4.59770107269287</v>
      </c>
    </row>
    <row r="521" ht="14.25" customHeight="1">
      <c r="AE521" s="1">
        <v>0.85</v>
      </c>
      <c r="AF521" s="1">
        <v>-4.5861930847168</v>
      </c>
    </row>
    <row r="522" ht="14.25" customHeight="1">
      <c r="AE522" s="1">
        <v>0.86</v>
      </c>
      <c r="AF522" s="1">
        <v>-4.5990161895752</v>
      </c>
    </row>
    <row r="523" ht="14.25" customHeight="1">
      <c r="AE523" s="1">
        <v>0.87</v>
      </c>
      <c r="AF523" s="1">
        <v>-4.5990161895752</v>
      </c>
    </row>
    <row r="524" ht="14.25" customHeight="1">
      <c r="AE524" s="1">
        <v>0.88</v>
      </c>
      <c r="AF524" s="1">
        <v>-4.59737205505371</v>
      </c>
    </row>
    <row r="525" ht="14.25" customHeight="1">
      <c r="AE525" s="1">
        <v>0.89</v>
      </c>
      <c r="AF525" s="1">
        <v>-4.60000276565552</v>
      </c>
    </row>
    <row r="526" ht="14.25" customHeight="1">
      <c r="AE526" s="1">
        <v>0.9</v>
      </c>
      <c r="AF526" s="1">
        <v>-4.60000276565552</v>
      </c>
    </row>
    <row r="527" ht="14.25" customHeight="1">
      <c r="AE527" s="1">
        <v>0.91</v>
      </c>
      <c r="AF527" s="1">
        <v>-4.59145402908325</v>
      </c>
    </row>
    <row r="528" ht="14.25" customHeight="1">
      <c r="AE528" s="1">
        <v>0.92</v>
      </c>
      <c r="AF528" s="1">
        <v>-4.60361957550049</v>
      </c>
    </row>
    <row r="529" ht="14.25" customHeight="1">
      <c r="AE529" s="1">
        <v>0.93</v>
      </c>
      <c r="AF529" s="1">
        <v>-4.60361957550049</v>
      </c>
    </row>
    <row r="530" ht="14.25" customHeight="1">
      <c r="AE530" s="1">
        <v>0.94</v>
      </c>
      <c r="AF530" s="1">
        <v>-4.59638595581055</v>
      </c>
    </row>
    <row r="531" ht="14.25" customHeight="1">
      <c r="AE531" s="1">
        <v>0.95</v>
      </c>
      <c r="AF531" s="1">
        <v>-4.59638595581055</v>
      </c>
    </row>
    <row r="532" ht="14.25" customHeight="1">
      <c r="AE532" s="1">
        <v>0.96</v>
      </c>
      <c r="AF532" s="1">
        <v>-4.59835863113403</v>
      </c>
    </row>
    <row r="533" ht="14.25" customHeight="1">
      <c r="AE533" s="1">
        <v>0.97</v>
      </c>
      <c r="AF533" s="1">
        <v>-4.59112501144409</v>
      </c>
    </row>
    <row r="534" ht="14.25" customHeight="1">
      <c r="AE534" s="1">
        <v>0.98</v>
      </c>
      <c r="AF534" s="1">
        <v>-4.59112501144409</v>
      </c>
    </row>
    <row r="535" ht="14.25" customHeight="1">
      <c r="AE535" s="1">
        <v>0.99</v>
      </c>
      <c r="AF535" s="1">
        <v>-4.59507083892822</v>
      </c>
    </row>
    <row r="536" ht="14.25" customHeight="1">
      <c r="AE536" s="1">
        <v>1.0</v>
      </c>
      <c r="AF536" s="1">
        <v>-4.59507083892822</v>
      </c>
    </row>
    <row r="537" ht="14.25" customHeight="1">
      <c r="AE537" s="1">
        <v>1.01</v>
      </c>
      <c r="AF537" s="1">
        <v>-4.59704351425171</v>
      </c>
    </row>
    <row r="538" ht="14.25" customHeight="1">
      <c r="AE538" s="1">
        <v>1.02</v>
      </c>
      <c r="AF538" s="1">
        <v>-4.59704351425171</v>
      </c>
    </row>
    <row r="539" ht="14.25" customHeight="1">
      <c r="AE539" s="1">
        <v>1.03</v>
      </c>
      <c r="AF539" s="1">
        <v>-4.59835863113403</v>
      </c>
    </row>
    <row r="540" ht="14.25" customHeight="1">
      <c r="AE540" s="1">
        <v>1.04</v>
      </c>
      <c r="AF540" s="1">
        <v>-4.60098886489868</v>
      </c>
    </row>
    <row r="541" ht="14.25" customHeight="1">
      <c r="AE541" s="1">
        <v>1.05</v>
      </c>
      <c r="AF541" s="1">
        <v>-4.60098886489868</v>
      </c>
    </row>
    <row r="542" ht="14.25" customHeight="1">
      <c r="AE542" s="1">
        <v>1.06</v>
      </c>
      <c r="AF542" s="1">
        <v>-4.59178256988525</v>
      </c>
    </row>
    <row r="543" ht="14.25" customHeight="1">
      <c r="AE543" s="1">
        <v>1.07</v>
      </c>
      <c r="AF543" s="1">
        <v>-4.59934520721436</v>
      </c>
    </row>
    <row r="544" ht="14.25" customHeight="1">
      <c r="AE544" s="1">
        <v>1.08</v>
      </c>
      <c r="AF544" s="1">
        <v>-4.59802961349487</v>
      </c>
    </row>
    <row r="545" ht="14.25" customHeight="1">
      <c r="AE545" s="1">
        <v>1.09</v>
      </c>
      <c r="AF545" s="1">
        <v>-4.59802961349487</v>
      </c>
    </row>
    <row r="546" ht="14.25" customHeight="1">
      <c r="AE546" s="1">
        <v>1.1</v>
      </c>
      <c r="AF546" s="1">
        <v>-4.59802961349487</v>
      </c>
    </row>
    <row r="547" ht="14.25" customHeight="1">
      <c r="AE547" s="1">
        <v>1.11</v>
      </c>
      <c r="AF547" s="1">
        <v>-4.59441328048706</v>
      </c>
    </row>
    <row r="548" ht="14.25" customHeight="1">
      <c r="AE548" s="1">
        <v>1.12</v>
      </c>
      <c r="AF548" s="1">
        <v>-4.59441328048706</v>
      </c>
    </row>
    <row r="549" ht="14.25" customHeight="1">
      <c r="AE549" s="1">
        <v>1.13</v>
      </c>
      <c r="AF549" s="1">
        <v>-4.59737205505371</v>
      </c>
    </row>
    <row r="550" ht="14.25" customHeight="1">
      <c r="AE550" s="1">
        <v>1.14</v>
      </c>
      <c r="AF550" s="1">
        <v>-4.59737205505371</v>
      </c>
    </row>
    <row r="551" ht="14.25" customHeight="1">
      <c r="AE551" s="1">
        <v>1.15</v>
      </c>
      <c r="AF551" s="1">
        <v>-4.59671449661255</v>
      </c>
    </row>
    <row r="552" ht="14.25" customHeight="1">
      <c r="AE552" s="1">
        <v>1.16</v>
      </c>
      <c r="AF552" s="1">
        <v>-4.59737205505371</v>
      </c>
    </row>
    <row r="553" ht="14.25" customHeight="1">
      <c r="AE553" s="1">
        <v>1.17</v>
      </c>
      <c r="AF553" s="1">
        <v>-4.59737205505371</v>
      </c>
    </row>
    <row r="554" ht="14.25" customHeight="1">
      <c r="AE554" s="1">
        <v>1.18</v>
      </c>
      <c r="AF554" s="1">
        <v>-4.59342670440674</v>
      </c>
    </row>
    <row r="555" ht="14.25" customHeight="1">
      <c r="AE555" s="1">
        <v>1.19</v>
      </c>
      <c r="AF555" s="1">
        <v>-4.59342670440674</v>
      </c>
    </row>
    <row r="556" ht="14.25" customHeight="1">
      <c r="AE556" s="1">
        <v>1.2</v>
      </c>
      <c r="AF556" s="1">
        <v>-4.60164642333984</v>
      </c>
    </row>
    <row r="557" ht="14.25" customHeight="1">
      <c r="AE557" s="1">
        <v>1.21</v>
      </c>
      <c r="AF557" s="1">
        <v>-4.59671449661255</v>
      </c>
    </row>
    <row r="558" ht="14.25" customHeight="1">
      <c r="AE558" s="1">
        <v>1.22</v>
      </c>
      <c r="AF558" s="1">
        <v>-4.59671449661255</v>
      </c>
    </row>
    <row r="559" ht="14.25" customHeight="1">
      <c r="AE559" s="1">
        <v>1.23</v>
      </c>
      <c r="AF559" s="1">
        <v>-4.60361957550049</v>
      </c>
    </row>
    <row r="560" ht="14.25" customHeight="1">
      <c r="AE560" s="1">
        <v>1.24</v>
      </c>
      <c r="AF560" s="1">
        <v>-4.59507083892822</v>
      </c>
    </row>
    <row r="561" ht="14.25" customHeight="1">
      <c r="AE561" s="1">
        <v>1.25</v>
      </c>
      <c r="AF561" s="1">
        <v>-4.59507083892822</v>
      </c>
    </row>
    <row r="562" ht="14.25" customHeight="1">
      <c r="AE562" s="1">
        <v>1.26</v>
      </c>
      <c r="AF562" s="1">
        <v>-4.59145402908325</v>
      </c>
    </row>
    <row r="563" ht="14.25" customHeight="1">
      <c r="AE563" s="1">
        <v>1.27</v>
      </c>
      <c r="AF563" s="1">
        <v>-4.59145402908325</v>
      </c>
    </row>
    <row r="564" ht="14.25" customHeight="1">
      <c r="AE564" s="1">
        <v>1.28</v>
      </c>
      <c r="AF564" s="1">
        <v>-4.59802961349487</v>
      </c>
    </row>
    <row r="565" ht="14.25" customHeight="1">
      <c r="AE565" s="1">
        <v>1.29</v>
      </c>
      <c r="AF565" s="1">
        <v>-4.59802961349487</v>
      </c>
    </row>
    <row r="566" ht="14.25" customHeight="1">
      <c r="AE566" s="1">
        <v>1.3</v>
      </c>
      <c r="AF566" s="1">
        <v>-4.59802961349487</v>
      </c>
    </row>
    <row r="567" ht="14.25" customHeight="1">
      <c r="AE567" s="1">
        <v>1.31</v>
      </c>
      <c r="AF567" s="1">
        <v>-4.59178256988525</v>
      </c>
    </row>
    <row r="568" ht="14.25" customHeight="1">
      <c r="AE568" s="1">
        <v>1.32</v>
      </c>
      <c r="AF568" s="1">
        <v>-4.59178256988525</v>
      </c>
    </row>
    <row r="569" ht="14.25" customHeight="1">
      <c r="AE569" s="1">
        <v>1.33</v>
      </c>
      <c r="AF569" s="1">
        <v>-4.59178256988525</v>
      </c>
    </row>
    <row r="570" ht="14.25" customHeight="1">
      <c r="AE570" s="1">
        <v>1.34</v>
      </c>
      <c r="AF570" s="1">
        <v>-4.59737205505371</v>
      </c>
    </row>
    <row r="571" ht="14.25" customHeight="1">
      <c r="AE571" s="1">
        <v>1.35</v>
      </c>
      <c r="AF571" s="1">
        <v>-4.59178256988525</v>
      </c>
    </row>
    <row r="572" ht="14.25" customHeight="1">
      <c r="AE572" s="1">
        <v>1.36</v>
      </c>
      <c r="AF572" s="1">
        <v>-4.59770107269287</v>
      </c>
    </row>
    <row r="573" ht="14.25" customHeight="1">
      <c r="AE573" s="1">
        <v>1.37</v>
      </c>
      <c r="AF573" s="1">
        <v>-4.59770107269287</v>
      </c>
    </row>
    <row r="574" ht="14.25" customHeight="1">
      <c r="AE574" s="1">
        <v>1.38</v>
      </c>
      <c r="AF574" s="1">
        <v>-4.59342670440674</v>
      </c>
    </row>
    <row r="575" ht="14.25" customHeight="1">
      <c r="AE575" s="1">
        <v>1.39</v>
      </c>
      <c r="AF575" s="1">
        <v>-4.59342670440674</v>
      </c>
    </row>
    <row r="576" ht="14.25" customHeight="1">
      <c r="AE576" s="1">
        <v>1.4</v>
      </c>
      <c r="AF576" s="1">
        <v>-4.59638595581055</v>
      </c>
    </row>
    <row r="577" ht="14.25" customHeight="1">
      <c r="AE577" s="1">
        <v>1.41</v>
      </c>
      <c r="AF577" s="1">
        <v>-4.59276914596558</v>
      </c>
    </row>
    <row r="578" ht="14.25" customHeight="1">
      <c r="AE578" s="1">
        <v>1.42</v>
      </c>
      <c r="AF578" s="1">
        <v>-4.59276914596558</v>
      </c>
    </row>
    <row r="579" ht="14.25" customHeight="1">
      <c r="AE579" s="1">
        <v>1.43</v>
      </c>
      <c r="AF579" s="1">
        <v>-4.60394811630249</v>
      </c>
    </row>
    <row r="580" ht="14.25" customHeight="1">
      <c r="AE580" s="1">
        <v>1.44</v>
      </c>
      <c r="AF580" s="1">
        <v>-4.60394811630249</v>
      </c>
    </row>
    <row r="581" ht="14.25" customHeight="1">
      <c r="AE581" s="1">
        <v>1.45</v>
      </c>
      <c r="AF581" s="1">
        <v>-4.59013891220093</v>
      </c>
    </row>
    <row r="582" ht="14.25" customHeight="1">
      <c r="AE582" s="1">
        <v>1.46</v>
      </c>
      <c r="AF582" s="1">
        <v>-4.59572839736939</v>
      </c>
    </row>
    <row r="583" ht="14.25" customHeight="1">
      <c r="AE583" s="1">
        <v>1.47</v>
      </c>
      <c r="AF583" s="1">
        <v>-4.59572839736939</v>
      </c>
    </row>
    <row r="584" ht="14.25" customHeight="1">
      <c r="AE584" s="1">
        <v>1.48</v>
      </c>
      <c r="AF584" s="1">
        <v>-4.59375524520874</v>
      </c>
    </row>
    <row r="585" ht="14.25" customHeight="1">
      <c r="AE585" s="1">
        <v>1.49</v>
      </c>
      <c r="AF585" s="1">
        <v>-4.59770107269287</v>
      </c>
    </row>
    <row r="586" ht="14.25" customHeight="1">
      <c r="AE586" s="1">
        <v>1.5</v>
      </c>
      <c r="AF586" s="1">
        <v>-4.59770107269287</v>
      </c>
    </row>
    <row r="587" ht="14.25" customHeight="1">
      <c r="AE587" s="1">
        <v>1.51</v>
      </c>
      <c r="AF587" s="1">
        <v>-4.59474182128906</v>
      </c>
    </row>
    <row r="588" ht="14.25" customHeight="1">
      <c r="AE588" s="1">
        <v>1.52</v>
      </c>
      <c r="AF588" s="1">
        <v>-4.59868764877319</v>
      </c>
    </row>
    <row r="589" ht="14.25" customHeight="1">
      <c r="AE589" s="1">
        <v>1.53</v>
      </c>
      <c r="AF589" s="1">
        <v>-4.59868764877319</v>
      </c>
    </row>
    <row r="590" ht="14.25" customHeight="1">
      <c r="AE590" s="1">
        <v>1.54</v>
      </c>
      <c r="AF590" s="1">
        <v>-4.59770107269287</v>
      </c>
    </row>
    <row r="591" ht="14.25" customHeight="1">
      <c r="AE591" s="1">
        <v>1.55</v>
      </c>
      <c r="AF591" s="1">
        <v>-4.59770107269287</v>
      </c>
    </row>
    <row r="592" ht="14.25" customHeight="1">
      <c r="AE592" s="1">
        <v>1.56</v>
      </c>
      <c r="AF592" s="1">
        <v>-4.59013891220093</v>
      </c>
    </row>
    <row r="593" ht="14.25" customHeight="1">
      <c r="AE593" s="1">
        <v>1.57</v>
      </c>
      <c r="AF593" s="1">
        <v>-4.59013891220093</v>
      </c>
    </row>
    <row r="594" ht="14.25" customHeight="1">
      <c r="AE594" s="1">
        <v>1.58</v>
      </c>
      <c r="AF594" s="1">
        <v>-4.59868764877319</v>
      </c>
    </row>
    <row r="595" ht="14.25" customHeight="1">
      <c r="AE595" s="1">
        <v>1.59</v>
      </c>
      <c r="AF595" s="1">
        <v>-4.59868764877319</v>
      </c>
    </row>
    <row r="596" ht="14.25" customHeight="1">
      <c r="AE596" s="1">
        <v>1.6</v>
      </c>
      <c r="AF596" s="1">
        <v>-4.59802961349487</v>
      </c>
    </row>
    <row r="597" ht="14.25" customHeight="1">
      <c r="AE597" s="1">
        <v>1.61</v>
      </c>
      <c r="AF597" s="1">
        <v>-4.59802961349487</v>
      </c>
    </row>
    <row r="598" ht="14.25" customHeight="1">
      <c r="AE598" s="1">
        <v>1.62</v>
      </c>
      <c r="AF598" s="1">
        <v>-4.59802961349487</v>
      </c>
    </row>
    <row r="599" ht="14.25" customHeight="1">
      <c r="AE599" s="1">
        <v>1.63</v>
      </c>
      <c r="AF599" s="1">
        <v>-4.59638595581055</v>
      </c>
    </row>
    <row r="600" ht="14.25" customHeight="1">
      <c r="AE600" s="1">
        <v>1.64</v>
      </c>
      <c r="AF600" s="1">
        <v>-4.59802961349487</v>
      </c>
    </row>
    <row r="601" ht="14.25" customHeight="1">
      <c r="AE601" s="1">
        <v>1.65</v>
      </c>
      <c r="AF601" s="1">
        <v>-4.59802961349487</v>
      </c>
    </row>
    <row r="602" ht="14.25" customHeight="1">
      <c r="AE602" s="1">
        <v>1.66</v>
      </c>
      <c r="AF602" s="1">
        <v>-4.60066032409668</v>
      </c>
    </row>
    <row r="603" ht="14.25" customHeight="1">
      <c r="AE603" s="1">
        <v>1.67</v>
      </c>
      <c r="AF603" s="1">
        <v>-4.60066032409668</v>
      </c>
    </row>
    <row r="604" ht="14.25" customHeight="1">
      <c r="AE604" s="1">
        <v>1.68</v>
      </c>
      <c r="AF604" s="1">
        <v>-4.601975440979</v>
      </c>
    </row>
    <row r="605" ht="14.25" customHeight="1">
      <c r="AE605" s="1">
        <v>1.69</v>
      </c>
      <c r="AF605" s="1">
        <v>-4.601975440979</v>
      </c>
    </row>
    <row r="606" ht="14.25" customHeight="1">
      <c r="AE606" s="1">
        <v>1.7</v>
      </c>
      <c r="AF606" s="1">
        <v>-4.601975440979</v>
      </c>
    </row>
    <row r="607" ht="14.25" customHeight="1">
      <c r="AE607" s="1">
        <v>1.71</v>
      </c>
      <c r="AF607" s="1">
        <v>-4.59934520721436</v>
      </c>
    </row>
    <row r="608" ht="14.25" customHeight="1">
      <c r="AE608" s="1">
        <v>1.72</v>
      </c>
      <c r="AF608" s="1">
        <v>-4.59934520721436</v>
      </c>
    </row>
    <row r="609" ht="14.25" customHeight="1">
      <c r="AE609" s="1">
        <v>1.73</v>
      </c>
      <c r="AF609" s="1">
        <v>-4.59934520721436</v>
      </c>
    </row>
    <row r="610" ht="14.25" customHeight="1">
      <c r="AE610" s="1">
        <v>1.74</v>
      </c>
      <c r="AF610" s="1">
        <v>-4.59605693817139</v>
      </c>
    </row>
    <row r="611" ht="14.25" customHeight="1">
      <c r="AE611" s="1">
        <v>1.75</v>
      </c>
      <c r="AF611" s="1">
        <v>-4.59342670440674</v>
      </c>
    </row>
    <row r="612" ht="14.25" customHeight="1">
      <c r="AE612" s="1">
        <v>1.76</v>
      </c>
      <c r="AF612" s="1">
        <v>-4.59737205505371</v>
      </c>
    </row>
    <row r="613" ht="14.25" customHeight="1">
      <c r="AE613" s="1">
        <v>1.77</v>
      </c>
      <c r="AF613" s="1">
        <v>-4.59737205505371</v>
      </c>
    </row>
    <row r="614" ht="14.25" customHeight="1">
      <c r="AE614" s="1">
        <v>1.78</v>
      </c>
      <c r="AF614" s="1">
        <v>-4.59441328048706</v>
      </c>
    </row>
    <row r="615" ht="14.25" customHeight="1">
      <c r="AE615" s="1">
        <v>1.79</v>
      </c>
      <c r="AF615" s="1">
        <v>-4.59539937973023</v>
      </c>
    </row>
    <row r="616" ht="14.25" customHeight="1">
      <c r="AE616" s="1">
        <v>1.8</v>
      </c>
      <c r="AF616" s="1">
        <v>-4.59539937973023</v>
      </c>
    </row>
    <row r="617" ht="14.25" customHeight="1">
      <c r="AE617" s="1">
        <v>1.81</v>
      </c>
      <c r="AF617" s="1">
        <v>-4.59868764877319</v>
      </c>
    </row>
    <row r="618" ht="14.25" customHeight="1">
      <c r="AE618" s="1">
        <v>1.82</v>
      </c>
      <c r="AF618" s="1">
        <v>-4.59868764877319</v>
      </c>
    </row>
    <row r="619" ht="14.25" customHeight="1">
      <c r="AE619" s="1">
        <v>1.83</v>
      </c>
      <c r="AF619" s="1">
        <v>-4.58980989456177</v>
      </c>
    </row>
    <row r="620" ht="14.25" customHeight="1">
      <c r="AE620" s="1">
        <v>1.84</v>
      </c>
      <c r="AF620" s="1">
        <v>-4.59868764877319</v>
      </c>
    </row>
    <row r="621" ht="14.25" customHeight="1">
      <c r="AE621" s="1">
        <v>1.85</v>
      </c>
      <c r="AF621" s="1">
        <v>-4.59868764877319</v>
      </c>
    </row>
    <row r="622" ht="14.25" customHeight="1">
      <c r="AE622" s="1">
        <v>1.86</v>
      </c>
      <c r="AF622" s="1">
        <v>-4.60460567474365</v>
      </c>
    </row>
    <row r="623" ht="14.25" customHeight="1">
      <c r="AE623" s="1">
        <v>1.87</v>
      </c>
      <c r="AF623" s="1">
        <v>-4.59671449661255</v>
      </c>
    </row>
    <row r="624" ht="14.25" customHeight="1">
      <c r="AE624" s="1">
        <v>1.88</v>
      </c>
      <c r="AF624" s="1">
        <v>-4.59671449661255</v>
      </c>
    </row>
    <row r="625" ht="14.25" customHeight="1">
      <c r="AE625" s="1">
        <v>1.89</v>
      </c>
      <c r="AF625" s="1">
        <v>-4.59671449661255</v>
      </c>
    </row>
    <row r="626" ht="14.25" customHeight="1">
      <c r="AE626" s="1">
        <v>1.9</v>
      </c>
      <c r="AF626" s="1">
        <v>-4.59638595581055</v>
      </c>
    </row>
    <row r="627" ht="14.25" customHeight="1">
      <c r="AE627" s="1">
        <v>1.91</v>
      </c>
      <c r="AF627" s="1">
        <v>-4.60164642333984</v>
      </c>
    </row>
    <row r="628" ht="14.25" customHeight="1">
      <c r="AE628" s="1">
        <v>1.92</v>
      </c>
      <c r="AF628" s="1">
        <v>-4.60164642333984</v>
      </c>
    </row>
    <row r="629" ht="14.25" customHeight="1">
      <c r="AE629" s="1">
        <v>1.93</v>
      </c>
      <c r="AF629" s="1">
        <v>-4.59770107269287</v>
      </c>
    </row>
    <row r="630" ht="14.25" customHeight="1">
      <c r="AE630" s="1">
        <v>1.94</v>
      </c>
      <c r="AF630" s="1">
        <v>-4.59770107269287</v>
      </c>
    </row>
    <row r="631" ht="14.25" customHeight="1">
      <c r="AE631" s="1">
        <v>1.95</v>
      </c>
      <c r="AF631" s="1">
        <v>-4.59375524520874</v>
      </c>
    </row>
    <row r="632" ht="14.25" customHeight="1">
      <c r="AE632" s="1">
        <v>1.96</v>
      </c>
      <c r="AF632" s="1">
        <v>-4.59375524520874</v>
      </c>
    </row>
    <row r="633" ht="14.25" customHeight="1">
      <c r="AE633" s="1">
        <v>1.97</v>
      </c>
      <c r="AF633" s="1">
        <v>-4.59967374801636</v>
      </c>
    </row>
    <row r="634" ht="14.25" customHeight="1">
      <c r="AE634" s="1">
        <v>1.98</v>
      </c>
      <c r="AF634" s="1">
        <v>-4.59342670440674</v>
      </c>
    </row>
    <row r="635" ht="14.25" customHeight="1">
      <c r="AE635" s="1">
        <v>1.99</v>
      </c>
      <c r="AF635" s="1">
        <v>-4.59342670440674</v>
      </c>
    </row>
    <row r="636" ht="14.25" customHeight="1">
      <c r="AE636" s="1">
        <v>2.0</v>
      </c>
      <c r="AF636" s="1">
        <v>-4.60131788253784</v>
      </c>
    </row>
    <row r="637" ht="14.25" customHeight="1">
      <c r="AE637" s="1">
        <v>2.01</v>
      </c>
      <c r="AF637" s="1">
        <v>-4.58882331848145</v>
      </c>
    </row>
    <row r="638" ht="14.25" customHeight="1">
      <c r="AE638" s="1">
        <v>2.02</v>
      </c>
      <c r="AF638" s="1">
        <v>-4.58882331848145</v>
      </c>
    </row>
    <row r="639" ht="14.25" customHeight="1">
      <c r="AE639" s="1">
        <v>2.03</v>
      </c>
      <c r="AF639" s="1">
        <v>-4.601975440979</v>
      </c>
    </row>
    <row r="640" ht="14.25" customHeight="1">
      <c r="AE640" s="1">
        <v>2.04</v>
      </c>
      <c r="AF640" s="1">
        <v>-4.59474182128906</v>
      </c>
    </row>
    <row r="641" ht="14.25" customHeight="1">
      <c r="AE641" s="1">
        <v>2.05</v>
      </c>
      <c r="AF641" s="1">
        <v>-4.59474182128906</v>
      </c>
    </row>
    <row r="642" ht="14.25" customHeight="1">
      <c r="AE642" s="1">
        <v>2.06</v>
      </c>
      <c r="AF642" s="1">
        <v>-4.59967374801636</v>
      </c>
    </row>
    <row r="643" ht="14.25" customHeight="1">
      <c r="AE643" s="1">
        <v>2.07</v>
      </c>
      <c r="AF643" s="1">
        <v>-4.59507083892822</v>
      </c>
    </row>
    <row r="644" ht="14.25" customHeight="1">
      <c r="AE644" s="1">
        <v>2.08</v>
      </c>
      <c r="AF644" s="1">
        <v>-4.59507083892822</v>
      </c>
    </row>
    <row r="645" ht="14.25" customHeight="1">
      <c r="AE645" s="1">
        <v>2.09</v>
      </c>
      <c r="AF645" s="1">
        <v>-4.59474182128906</v>
      </c>
    </row>
    <row r="646" ht="14.25" customHeight="1">
      <c r="AE646" s="1">
        <v>2.1</v>
      </c>
      <c r="AF646" s="1">
        <v>-4.59474182128906</v>
      </c>
    </row>
    <row r="647" ht="14.25" customHeight="1">
      <c r="AE647" s="1">
        <v>2.11</v>
      </c>
      <c r="AF647" s="1">
        <v>-4.59474182128906</v>
      </c>
    </row>
    <row r="648" ht="14.25" customHeight="1">
      <c r="AE648" s="1">
        <v>2.12</v>
      </c>
      <c r="AF648" s="1">
        <v>-4.59539937973023</v>
      </c>
    </row>
    <row r="649" ht="14.25" customHeight="1">
      <c r="AE649" s="1">
        <v>2.13</v>
      </c>
      <c r="AF649" s="1">
        <v>-4.59539937973023</v>
      </c>
    </row>
    <row r="650" ht="14.25" customHeight="1">
      <c r="AE650" s="1">
        <v>2.14</v>
      </c>
      <c r="AF650" s="1">
        <v>-4.59474182128906</v>
      </c>
    </row>
    <row r="651" ht="14.25" customHeight="1">
      <c r="AE651" s="1">
        <v>2.15</v>
      </c>
      <c r="AF651" s="1">
        <v>-4.59474182128906</v>
      </c>
    </row>
    <row r="652" ht="14.25" customHeight="1">
      <c r="AE652" s="1">
        <v>2.16</v>
      </c>
      <c r="AF652" s="1">
        <v>-4.59474182128906</v>
      </c>
    </row>
    <row r="653" ht="14.25" customHeight="1">
      <c r="AE653" s="1">
        <v>2.17</v>
      </c>
      <c r="AF653" s="1">
        <v>-4.59375524520874</v>
      </c>
    </row>
    <row r="654" ht="14.25" customHeight="1">
      <c r="AE654" s="1">
        <v>2.18</v>
      </c>
      <c r="AF654" s="1">
        <v>-4.59802961349487</v>
      </c>
    </row>
    <row r="655" ht="14.25" customHeight="1">
      <c r="AE655" s="1">
        <v>2.19</v>
      </c>
      <c r="AF655" s="1">
        <v>-4.59802961349487</v>
      </c>
    </row>
    <row r="656" ht="14.25" customHeight="1">
      <c r="AE656" s="1">
        <v>2.2</v>
      </c>
      <c r="AF656" s="1">
        <v>-4.59375524520874</v>
      </c>
    </row>
    <row r="657" ht="14.25" customHeight="1">
      <c r="AE657" s="1">
        <v>2.21</v>
      </c>
      <c r="AF657" s="1">
        <v>-4.59835863113403</v>
      </c>
    </row>
    <row r="658" ht="14.25" customHeight="1">
      <c r="AE658" s="1">
        <v>2.22</v>
      </c>
      <c r="AF658" s="1">
        <v>-4.59835863113403</v>
      </c>
    </row>
    <row r="659" ht="14.25" customHeight="1">
      <c r="AE659" s="1">
        <v>2.23</v>
      </c>
      <c r="AF659" s="1">
        <v>-4.59934520721436</v>
      </c>
    </row>
    <row r="660" ht="14.25" customHeight="1">
      <c r="AE660" s="1">
        <v>2.24</v>
      </c>
      <c r="AF660" s="1">
        <v>-4.59934520721436</v>
      </c>
    </row>
    <row r="661" ht="14.25" customHeight="1">
      <c r="AE661" s="1">
        <v>2.25</v>
      </c>
      <c r="AF661" s="1">
        <v>-4.59211158752441</v>
      </c>
    </row>
    <row r="662" ht="14.25" customHeight="1">
      <c r="AE662" s="1">
        <v>2.26</v>
      </c>
      <c r="AF662" s="1">
        <v>-4.59211158752441</v>
      </c>
    </row>
    <row r="663" ht="14.25" customHeight="1">
      <c r="AE663" s="1">
        <v>2.27</v>
      </c>
      <c r="AF663" s="1">
        <v>-4.5990161895752</v>
      </c>
    </row>
    <row r="664" ht="14.25" customHeight="1">
      <c r="AE664" s="1">
        <v>2.28</v>
      </c>
      <c r="AF664" s="1">
        <v>-4.5990161895752</v>
      </c>
    </row>
    <row r="665" ht="14.25" customHeight="1">
      <c r="AE665" s="1">
        <v>2.29</v>
      </c>
      <c r="AF665" s="1">
        <v>-4.59572839736939</v>
      </c>
    </row>
    <row r="666" ht="14.25" customHeight="1">
      <c r="AE666" s="1">
        <v>2.3</v>
      </c>
      <c r="AF666" s="1">
        <v>-4.5940842628479</v>
      </c>
    </row>
    <row r="667" ht="14.25" customHeight="1">
      <c r="AE667" s="1">
        <v>2.31</v>
      </c>
      <c r="AF667" s="1">
        <v>-4.5940842628479</v>
      </c>
    </row>
    <row r="668" ht="14.25" customHeight="1">
      <c r="AE668" s="1">
        <v>2.32</v>
      </c>
      <c r="AF668" s="1">
        <v>-4.59638595581055</v>
      </c>
    </row>
    <row r="669" ht="14.25" customHeight="1">
      <c r="AE669" s="1">
        <v>2.33</v>
      </c>
      <c r="AF669" s="1">
        <v>-4.59638595581055</v>
      </c>
    </row>
    <row r="670" ht="14.25" customHeight="1">
      <c r="AE670" s="1">
        <v>2.34</v>
      </c>
      <c r="AF670" s="1">
        <v>-4.59638595581055</v>
      </c>
    </row>
    <row r="671" ht="14.25" customHeight="1">
      <c r="AE671" s="1">
        <v>2.35</v>
      </c>
      <c r="AF671" s="1">
        <v>-4.60000276565552</v>
      </c>
    </row>
    <row r="672" ht="14.25" customHeight="1">
      <c r="AE672" s="1">
        <v>2.36</v>
      </c>
      <c r="AF672" s="1">
        <v>-4.59868764877319</v>
      </c>
    </row>
    <row r="673" ht="14.25" customHeight="1">
      <c r="AE673" s="1">
        <v>2.37</v>
      </c>
      <c r="AF673" s="1">
        <v>-4.59868764877319</v>
      </c>
    </row>
    <row r="674" ht="14.25" customHeight="1">
      <c r="AE674" s="1">
        <v>2.38</v>
      </c>
      <c r="AF674" s="1">
        <v>-4.60000276565552</v>
      </c>
    </row>
    <row r="675" ht="14.25" customHeight="1">
      <c r="AE675" s="1">
        <v>2.39</v>
      </c>
      <c r="AF675" s="1">
        <v>-4.60000276565552</v>
      </c>
    </row>
    <row r="676" ht="14.25" customHeight="1">
      <c r="AE676" s="1">
        <v>2.4</v>
      </c>
      <c r="AF676" s="1">
        <v>-4.59967374801636</v>
      </c>
    </row>
    <row r="677" ht="14.25" customHeight="1">
      <c r="AE677" s="1">
        <v>2.41</v>
      </c>
      <c r="AF677" s="1">
        <v>-4.59507083892822</v>
      </c>
    </row>
    <row r="678" ht="14.25" customHeight="1">
      <c r="AE678" s="1">
        <v>2.42</v>
      </c>
      <c r="AF678" s="1">
        <v>-4.59441328048706</v>
      </c>
    </row>
    <row r="679" ht="14.25" customHeight="1">
      <c r="AE679" s="1">
        <v>2.43</v>
      </c>
      <c r="AF679" s="1">
        <v>-4.59441328048706</v>
      </c>
    </row>
    <row r="680" ht="14.25" customHeight="1">
      <c r="AE680" s="1">
        <v>2.44</v>
      </c>
      <c r="AF680" s="1">
        <v>-4.59441328048706</v>
      </c>
    </row>
    <row r="681" ht="14.25" customHeight="1">
      <c r="AE681" s="1">
        <v>2.45</v>
      </c>
      <c r="AF681" s="1">
        <v>-4.59441328048706</v>
      </c>
    </row>
    <row r="682" ht="14.25" customHeight="1">
      <c r="AE682" s="1">
        <v>2.46</v>
      </c>
      <c r="AF682" s="1">
        <v>-4.59441328048706</v>
      </c>
    </row>
    <row r="683" ht="14.25" customHeight="1">
      <c r="AE683" s="1">
        <v>2.47</v>
      </c>
      <c r="AF683" s="1">
        <v>-4.59704351425171</v>
      </c>
    </row>
    <row r="684" ht="14.25" customHeight="1">
      <c r="AE684" s="1">
        <v>2.48</v>
      </c>
      <c r="AF684" s="1">
        <v>-4.59704351425171</v>
      </c>
    </row>
    <row r="685" ht="14.25" customHeight="1">
      <c r="AE685" s="1">
        <v>2.49</v>
      </c>
      <c r="AF685" s="1">
        <v>-4.59309768676758</v>
      </c>
    </row>
    <row r="686" ht="14.25" customHeight="1">
      <c r="AE686" s="1">
        <v>2.5</v>
      </c>
      <c r="AF686" s="1">
        <v>-4.59671449661255</v>
      </c>
    </row>
    <row r="687" ht="14.25" customHeight="1">
      <c r="AE687" s="1">
        <v>2.51</v>
      </c>
      <c r="AF687" s="1">
        <v>-4.59605693817139</v>
      </c>
    </row>
    <row r="688" ht="14.25" customHeight="1">
      <c r="AE688" s="1">
        <v>2.52</v>
      </c>
      <c r="AF688" s="1">
        <v>-4.59605693817139</v>
      </c>
    </row>
    <row r="689" ht="14.25" customHeight="1">
      <c r="AE689" s="1">
        <v>2.53</v>
      </c>
      <c r="AF689" s="1">
        <v>-4.59737205505371</v>
      </c>
    </row>
    <row r="690" ht="14.25" customHeight="1">
      <c r="AE690" s="1">
        <v>2.54</v>
      </c>
      <c r="AF690" s="1">
        <v>-4.59737205505371</v>
      </c>
    </row>
    <row r="691" ht="14.25" customHeight="1">
      <c r="AE691" s="1">
        <v>2.55</v>
      </c>
      <c r="AF691" s="1">
        <v>-4.59572839736939</v>
      </c>
    </row>
    <row r="692" ht="14.25" customHeight="1">
      <c r="AE692" s="1">
        <v>2.56</v>
      </c>
      <c r="AF692" s="1">
        <v>-4.59572839736939</v>
      </c>
    </row>
    <row r="693" ht="14.25" customHeight="1">
      <c r="AE693" s="1">
        <v>2.57</v>
      </c>
      <c r="AF693" s="1">
        <v>-4.60131788253784</v>
      </c>
    </row>
    <row r="694" ht="14.25" customHeight="1">
      <c r="AE694" s="1">
        <v>2.58</v>
      </c>
      <c r="AF694" s="1">
        <v>-4.59737205505371</v>
      </c>
    </row>
    <row r="695" ht="14.25" customHeight="1">
      <c r="AE695" s="1">
        <v>2.59</v>
      </c>
      <c r="AF695" s="1">
        <v>-4.59737205505371</v>
      </c>
    </row>
    <row r="696" ht="14.25" customHeight="1">
      <c r="AE696" s="1">
        <v>2.6</v>
      </c>
      <c r="AF696" s="1">
        <v>-4.59605693817139</v>
      </c>
    </row>
    <row r="697" ht="14.25" customHeight="1">
      <c r="AE697" s="1">
        <v>2.61</v>
      </c>
      <c r="AF697" s="1">
        <v>-4.59309768676758</v>
      </c>
    </row>
    <row r="698" ht="14.25" customHeight="1">
      <c r="AE698" s="1">
        <v>2.62</v>
      </c>
      <c r="AF698" s="1">
        <v>-4.59309768676758</v>
      </c>
    </row>
    <row r="699" ht="14.25" customHeight="1">
      <c r="AE699" s="1">
        <v>2.63</v>
      </c>
      <c r="AF699" s="1">
        <v>-4.5940842628479</v>
      </c>
    </row>
    <row r="700" ht="14.25" customHeight="1">
      <c r="AE700" s="1">
        <v>2.64</v>
      </c>
      <c r="AF700" s="1">
        <v>-4.5940842628479</v>
      </c>
    </row>
    <row r="701" ht="14.25" customHeight="1">
      <c r="AE701" s="1">
        <v>2.65</v>
      </c>
      <c r="AF701" s="1">
        <v>-4.59539937973023</v>
      </c>
    </row>
    <row r="702" ht="14.25" customHeight="1">
      <c r="AE702" s="1">
        <v>2.66</v>
      </c>
      <c r="AF702" s="1">
        <v>-4.59770107269287</v>
      </c>
    </row>
    <row r="703" ht="14.25" customHeight="1">
      <c r="AE703" s="1">
        <v>2.67</v>
      </c>
      <c r="AF703" s="1">
        <v>-4.59770107269287</v>
      </c>
    </row>
    <row r="704" ht="14.25" customHeight="1">
      <c r="AE704" s="1">
        <v>2.68</v>
      </c>
      <c r="AF704" s="1">
        <v>-4.59375524520874</v>
      </c>
    </row>
    <row r="705" ht="14.25" customHeight="1">
      <c r="AE705" s="1">
        <v>2.69</v>
      </c>
      <c r="AF705" s="1">
        <v>-4.59539937973023</v>
      </c>
    </row>
    <row r="706" ht="14.25" customHeight="1">
      <c r="AE706" s="1">
        <v>2.7</v>
      </c>
      <c r="AF706" s="1">
        <v>-4.59112501144409</v>
      </c>
    </row>
    <row r="707" ht="14.25" customHeight="1">
      <c r="AE707" s="1">
        <v>2.71</v>
      </c>
      <c r="AF707" s="1">
        <v>-4.59112501144409</v>
      </c>
    </row>
    <row r="708" ht="14.25" customHeight="1">
      <c r="AE708" s="1">
        <v>2.72</v>
      </c>
      <c r="AF708" s="1">
        <v>-4.59967374801636</v>
      </c>
    </row>
    <row r="709" ht="14.25" customHeight="1">
      <c r="AE709" s="1">
        <v>2.73</v>
      </c>
      <c r="AF709" s="1">
        <v>-4.59934520721436</v>
      </c>
    </row>
    <row r="710" ht="14.25" customHeight="1">
      <c r="AE710" s="1">
        <v>2.74</v>
      </c>
      <c r="AF710" s="1">
        <v>-4.59934520721436</v>
      </c>
    </row>
    <row r="711" ht="14.25" customHeight="1">
      <c r="AE711" s="1">
        <v>2.75</v>
      </c>
      <c r="AF711" s="1">
        <v>-4.59671449661255</v>
      </c>
    </row>
    <row r="712" ht="14.25" customHeight="1">
      <c r="AE712" s="1">
        <v>2.76</v>
      </c>
      <c r="AF712" s="1">
        <v>-4.59671449661255</v>
      </c>
    </row>
    <row r="713" ht="14.25" customHeight="1">
      <c r="AE713" s="1">
        <v>2.77</v>
      </c>
      <c r="AF713" s="1">
        <v>-4.60164642333984</v>
      </c>
    </row>
    <row r="714" ht="14.25" customHeight="1">
      <c r="AE714" s="1">
        <v>2.78</v>
      </c>
      <c r="AF714" s="1">
        <v>-4.60164642333984</v>
      </c>
    </row>
    <row r="715" ht="14.25" customHeight="1">
      <c r="AE715" s="1">
        <v>2.79</v>
      </c>
      <c r="AF715" s="1">
        <v>-4.59770107269287</v>
      </c>
    </row>
    <row r="716" ht="14.25" customHeight="1">
      <c r="AE716" s="1">
        <v>2.8</v>
      </c>
      <c r="AF716" s="1">
        <v>-4.59967374801636</v>
      </c>
    </row>
    <row r="717" ht="14.25" customHeight="1">
      <c r="AE717" s="1">
        <v>2.81</v>
      </c>
      <c r="AF717" s="1">
        <v>-4.59967374801636</v>
      </c>
    </row>
    <row r="718" ht="14.25" customHeight="1">
      <c r="AE718" s="1">
        <v>2.82</v>
      </c>
      <c r="AF718" s="1">
        <v>-4.59934520721436</v>
      </c>
    </row>
    <row r="719" ht="14.25" customHeight="1">
      <c r="AE719" s="1">
        <v>2.83</v>
      </c>
      <c r="AF719" s="1">
        <v>-4.59934520721436</v>
      </c>
    </row>
    <row r="720" ht="14.25" customHeight="1">
      <c r="AE720" s="1">
        <v>2.84</v>
      </c>
      <c r="AF720" s="1">
        <v>-4.59474182128906</v>
      </c>
    </row>
    <row r="721" ht="14.25" customHeight="1">
      <c r="AE721" s="1">
        <v>2.85</v>
      </c>
      <c r="AF721" s="1">
        <v>-4.59474182128906</v>
      </c>
    </row>
    <row r="722" ht="14.25" customHeight="1">
      <c r="AE722" s="1">
        <v>2.86</v>
      </c>
      <c r="AF722" s="1">
        <v>-4.59342670440674</v>
      </c>
    </row>
    <row r="723" ht="14.25" customHeight="1">
      <c r="AE723" s="1">
        <v>2.87</v>
      </c>
      <c r="AF723" s="1">
        <v>-4.59342670440674</v>
      </c>
    </row>
    <row r="724" ht="14.25" customHeight="1">
      <c r="AE724" s="1">
        <v>2.88</v>
      </c>
      <c r="AF724" s="1">
        <v>-4.59342670440674</v>
      </c>
    </row>
    <row r="725" ht="14.25" customHeight="1">
      <c r="AE725" s="1">
        <v>2.89</v>
      </c>
      <c r="AF725" s="1">
        <v>-4.59770107269287</v>
      </c>
    </row>
    <row r="726" ht="14.25" customHeight="1">
      <c r="AE726" s="1">
        <v>2.9</v>
      </c>
      <c r="AF726" s="1">
        <v>-4.59079647064209</v>
      </c>
    </row>
    <row r="727" ht="14.25" customHeight="1">
      <c r="AE727" s="1">
        <v>2.91</v>
      </c>
      <c r="AF727" s="1">
        <v>-4.59079647064209</v>
      </c>
    </row>
    <row r="728" ht="14.25" customHeight="1">
      <c r="AE728" s="1">
        <v>2.92</v>
      </c>
      <c r="AF728" s="1">
        <v>-4.60000276565552</v>
      </c>
    </row>
    <row r="729" ht="14.25" customHeight="1">
      <c r="AE729" s="1">
        <v>2.93</v>
      </c>
      <c r="AF729" s="1">
        <v>-4.60000276565552</v>
      </c>
    </row>
    <row r="730" ht="14.25" customHeight="1">
      <c r="AE730" s="1">
        <v>2.94</v>
      </c>
      <c r="AF730" s="1">
        <v>-4.59474182128906</v>
      </c>
    </row>
    <row r="731" ht="14.25" customHeight="1">
      <c r="AE731" s="1">
        <v>2.95</v>
      </c>
      <c r="AF731" s="1">
        <v>-4.5990161895752</v>
      </c>
    </row>
    <row r="732" ht="14.25" customHeight="1">
      <c r="AE732" s="1">
        <v>2.96</v>
      </c>
      <c r="AF732" s="1">
        <v>-4.5990161895752</v>
      </c>
    </row>
    <row r="733" ht="14.25" customHeight="1">
      <c r="AE733" s="1">
        <v>2.97</v>
      </c>
      <c r="AF733" s="1">
        <v>-4.5940842628479</v>
      </c>
    </row>
    <row r="734" ht="14.25" customHeight="1">
      <c r="AE734" s="1">
        <v>2.98</v>
      </c>
      <c r="AF734" s="1">
        <v>-4.59835863113403</v>
      </c>
    </row>
    <row r="735" ht="14.25" customHeight="1">
      <c r="AE735" s="1">
        <v>2.99</v>
      </c>
      <c r="AF735" s="1">
        <v>-4.59835863113403</v>
      </c>
    </row>
    <row r="736" ht="14.25" customHeight="1">
      <c r="AE736" s="1">
        <v>3.0</v>
      </c>
      <c r="AF736" s="1">
        <v>-4.59539937973023</v>
      </c>
    </row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153</v>
      </c>
      <c r="B1" s="9">
        <v>0.004</v>
      </c>
      <c r="C1" s="1" t="s">
        <v>154</v>
      </c>
    </row>
    <row r="2" ht="14.25" customHeight="1">
      <c r="A2" s="1" t="s">
        <v>155</v>
      </c>
      <c r="B2" s="9">
        <v>0.02</v>
      </c>
      <c r="C2" s="1" t="s">
        <v>154</v>
      </c>
    </row>
    <row r="3" ht="14.25" customHeight="1"/>
    <row r="4" ht="14.25" customHeight="1"/>
    <row r="5" ht="14.25" customHeight="1">
      <c r="A5" s="1" t="s">
        <v>156</v>
      </c>
      <c r="B5" s="9">
        <v>250.0</v>
      </c>
      <c r="C5" s="1" t="s">
        <v>157</v>
      </c>
    </row>
    <row r="6" ht="14.25" customHeight="1">
      <c r="A6" s="1" t="s">
        <v>158</v>
      </c>
      <c r="B6" s="9">
        <v>10000.0</v>
      </c>
      <c r="C6" s="1" t="s">
        <v>157</v>
      </c>
    </row>
    <row r="7" ht="14.25" customHeight="1">
      <c r="A7" s="1" t="s">
        <v>159</v>
      </c>
      <c r="B7" s="10">
        <f>1/(1/B5+1/B6)</f>
        <v>243.902439</v>
      </c>
      <c r="C7" s="1" t="s">
        <v>157</v>
      </c>
    </row>
    <row r="8" ht="14.25" customHeight="1">
      <c r="A8" s="1" t="s">
        <v>160</v>
      </c>
      <c r="B8" s="9">
        <v>10.0</v>
      </c>
      <c r="C8" s="1" t="s">
        <v>161</v>
      </c>
      <c r="D8" s="1">
        <f t="shared" ref="D8:D10" si="1">B8*0.000001</f>
        <v>0.00001</v>
      </c>
      <c r="E8" s="1" t="s">
        <v>162</v>
      </c>
    </row>
    <row r="9" ht="14.25" customHeight="1">
      <c r="A9" s="1" t="s">
        <v>163</v>
      </c>
      <c r="B9" s="9">
        <v>2.0</v>
      </c>
      <c r="C9" s="1" t="s">
        <v>161</v>
      </c>
      <c r="D9" s="1">
        <f t="shared" si="1"/>
        <v>0.000002</v>
      </c>
      <c r="E9" s="1" t="s">
        <v>162</v>
      </c>
    </row>
    <row r="10" ht="14.25" customHeight="1">
      <c r="A10" s="1" t="s">
        <v>164</v>
      </c>
      <c r="B10" s="10">
        <f>B8+B9</f>
        <v>12</v>
      </c>
      <c r="C10" s="1" t="s">
        <v>161</v>
      </c>
      <c r="D10" s="1">
        <f t="shared" si="1"/>
        <v>0.000012</v>
      </c>
      <c r="E10" s="1" t="s">
        <v>162</v>
      </c>
    </row>
    <row r="11" ht="14.25" customHeight="1"/>
    <row r="12" ht="14.25" customHeight="1">
      <c r="A12" s="1" t="s">
        <v>165</v>
      </c>
      <c r="B12" s="10">
        <f t="shared" ref="B12:B13" si="2">B1*$B$7</f>
        <v>0.9756097561</v>
      </c>
      <c r="C12" s="1" t="s">
        <v>166</v>
      </c>
    </row>
    <row r="13" ht="14.25" customHeight="1">
      <c r="A13" s="1" t="s">
        <v>167</v>
      </c>
      <c r="B13" s="10">
        <f t="shared" si="2"/>
        <v>4.87804878</v>
      </c>
      <c r="C13" s="1" t="s">
        <v>166</v>
      </c>
    </row>
    <row r="14" ht="14.25" customHeight="1"/>
    <row r="15" ht="14.25" customHeight="1">
      <c r="A15" s="1" t="s">
        <v>168</v>
      </c>
      <c r="B15" s="10">
        <f>1/B7/D10</f>
        <v>341.6666667</v>
      </c>
      <c r="C15" s="1" t="s">
        <v>169</v>
      </c>
      <c r="D15" s="10">
        <f>B15/2/PI()</f>
        <v>54.37793889</v>
      </c>
      <c r="E15" s="1" t="s">
        <v>170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65.25"/>
    <col customWidth="1" min="4" max="4" width="8.63"/>
    <col customWidth="1" min="5" max="5" width="81.88"/>
    <col customWidth="1" min="6" max="26" width="8.63"/>
  </cols>
  <sheetData>
    <row r="1" ht="14.25" customHeight="1">
      <c r="A1" s="2" t="s">
        <v>171</v>
      </c>
      <c r="B1" s="2"/>
    </row>
    <row r="2" ht="14.25" customHeight="1">
      <c r="A2" s="2" t="s">
        <v>172</v>
      </c>
      <c r="B2" s="2"/>
    </row>
    <row r="3" ht="14.25" customHeight="1">
      <c r="A3" s="2" t="s">
        <v>173</v>
      </c>
      <c r="B3" s="2"/>
      <c r="C3" s="2" t="s">
        <v>174</v>
      </c>
      <c r="D3" s="2" t="s">
        <v>175</v>
      </c>
      <c r="E3" s="2" t="s">
        <v>176</v>
      </c>
      <c r="F3" s="2" t="s">
        <v>177</v>
      </c>
    </row>
    <row r="4" ht="14.25" customHeight="1">
      <c r="A4" s="7"/>
      <c r="B4" s="7"/>
      <c r="C4" s="7" t="s">
        <v>178</v>
      </c>
      <c r="D4" s="7">
        <v>2.0</v>
      </c>
      <c r="E4" s="7" t="s">
        <v>179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2" t="s">
        <v>180</v>
      </c>
      <c r="B13" s="2"/>
    </row>
    <row r="14" ht="14.25" customHeight="1">
      <c r="A14" s="2" t="s">
        <v>173</v>
      </c>
      <c r="B14" s="2"/>
      <c r="C14" s="2" t="s">
        <v>174</v>
      </c>
      <c r="D14" s="2" t="s">
        <v>175</v>
      </c>
      <c r="E14" s="2" t="s">
        <v>176</v>
      </c>
      <c r="F14" s="2" t="s">
        <v>177</v>
      </c>
    </row>
    <row r="15" ht="14.25" customHeight="1">
      <c r="C15" s="1" t="s">
        <v>181</v>
      </c>
      <c r="D15" s="1">
        <v>1.0</v>
      </c>
      <c r="E15" s="1" t="s">
        <v>182</v>
      </c>
    </row>
    <row r="16" ht="14.25" customHeight="1">
      <c r="C16" s="1" t="s">
        <v>183</v>
      </c>
      <c r="D16" s="1">
        <v>1.0</v>
      </c>
      <c r="E16" s="1" t="s">
        <v>184</v>
      </c>
    </row>
    <row r="17" ht="14.25" customHeight="1">
      <c r="C17" s="1" t="s">
        <v>185</v>
      </c>
      <c r="D17" s="1">
        <v>0.0</v>
      </c>
      <c r="E17" s="1" t="s">
        <v>186</v>
      </c>
      <c r="F17" s="1" t="s">
        <v>187</v>
      </c>
    </row>
    <row r="18" ht="14.25" customHeight="1">
      <c r="C18" s="1" t="s">
        <v>188</v>
      </c>
      <c r="D18" s="1">
        <v>0.0</v>
      </c>
      <c r="E18" s="1" t="s">
        <v>189</v>
      </c>
    </row>
    <row r="19" ht="14.25" customHeight="1">
      <c r="C19" s="1" t="s">
        <v>190</v>
      </c>
    </row>
    <row r="20" ht="14.25" customHeight="1">
      <c r="C20" s="1" t="s">
        <v>191</v>
      </c>
      <c r="D20" s="1">
        <v>1.0</v>
      </c>
      <c r="E20" s="1" t="s">
        <v>192</v>
      </c>
    </row>
    <row r="21" ht="14.25" customHeight="1"/>
    <row r="22" ht="14.25" customHeight="1"/>
    <row r="23" ht="14.25" customHeight="1">
      <c r="A23" s="2" t="s">
        <v>193</v>
      </c>
    </row>
    <row r="24" ht="14.25" customHeight="1">
      <c r="A24" s="2" t="s">
        <v>194</v>
      </c>
      <c r="B24" s="2"/>
    </row>
    <row r="25" ht="14.25" customHeight="1">
      <c r="A25" s="2" t="s">
        <v>173</v>
      </c>
      <c r="B25" s="2"/>
      <c r="C25" s="2" t="s">
        <v>174</v>
      </c>
      <c r="D25" s="2" t="s">
        <v>175</v>
      </c>
      <c r="E25" s="2" t="s">
        <v>176</v>
      </c>
      <c r="F25" s="2" t="s">
        <v>177</v>
      </c>
    </row>
    <row r="26" ht="14.25" customHeight="1">
      <c r="C26" s="1" t="s">
        <v>195</v>
      </c>
      <c r="D26" s="1">
        <v>2.0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>
      <c r="A32" s="2" t="s">
        <v>196</v>
      </c>
      <c r="B32" s="2"/>
    </row>
    <row r="33" ht="14.25" customHeight="1">
      <c r="A33" s="2" t="s">
        <v>173</v>
      </c>
      <c r="B33" s="2"/>
      <c r="C33" s="2" t="s">
        <v>174</v>
      </c>
      <c r="D33" s="2" t="s">
        <v>175</v>
      </c>
      <c r="E33" s="2" t="s">
        <v>176</v>
      </c>
      <c r="F33" s="2" t="s">
        <v>177</v>
      </c>
    </row>
    <row r="34" ht="14.25" customHeight="1">
      <c r="A34" s="7"/>
      <c r="B34" s="7"/>
      <c r="C34" s="7" t="s">
        <v>197</v>
      </c>
      <c r="D34" s="7">
        <v>1.0</v>
      </c>
      <c r="E34" s="7" t="s">
        <v>198</v>
      </c>
      <c r="F34" s="7" t="s">
        <v>199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ht="14.25" customHeight="1">
      <c r="A39" s="2" t="s">
        <v>200</v>
      </c>
      <c r="B39" s="2"/>
    </row>
    <row r="40" ht="14.25" customHeight="1">
      <c r="A40" s="2" t="s">
        <v>173</v>
      </c>
      <c r="B40" s="2" t="s">
        <v>201</v>
      </c>
      <c r="C40" s="2" t="s">
        <v>174</v>
      </c>
      <c r="D40" s="2" t="s">
        <v>175</v>
      </c>
      <c r="E40" s="2" t="s">
        <v>176</v>
      </c>
      <c r="F40" s="2" t="s">
        <v>177</v>
      </c>
    </row>
    <row r="41" ht="14.25" customHeight="1">
      <c r="A41" s="7" t="s">
        <v>202</v>
      </c>
      <c r="B41" s="7"/>
      <c r="C41" s="7"/>
      <c r="D41" s="7"/>
      <c r="E41" s="7" t="s">
        <v>203</v>
      </c>
      <c r="F41" s="7" t="s">
        <v>204</v>
      </c>
      <c r="G41" s="7"/>
      <c r="H41" s="7"/>
      <c r="I41" s="7"/>
      <c r="J41" s="7"/>
      <c r="K41" s="7"/>
      <c r="L41" s="7"/>
    </row>
    <row r="42" ht="14.25" customHeight="1">
      <c r="A42" s="7"/>
      <c r="B42" s="7"/>
      <c r="C42" s="7" t="s">
        <v>205</v>
      </c>
      <c r="D42" s="7">
        <v>3.0</v>
      </c>
      <c r="E42" s="7" t="s">
        <v>206</v>
      </c>
      <c r="F42" s="7"/>
      <c r="G42" s="7"/>
      <c r="H42" s="7"/>
      <c r="I42" s="7"/>
      <c r="J42" s="7"/>
      <c r="K42" s="7"/>
      <c r="L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14.25" customHeight="1">
      <c r="A44" s="1" t="s">
        <v>207</v>
      </c>
      <c r="C44" s="7"/>
      <c r="D44" s="7"/>
      <c r="E44" s="7" t="s">
        <v>208</v>
      </c>
      <c r="F44" s="7"/>
      <c r="G44" s="7"/>
      <c r="H44" s="7"/>
      <c r="I44" s="7"/>
      <c r="J44" s="7"/>
      <c r="K44" s="7"/>
      <c r="L44" s="7"/>
    </row>
    <row r="45" ht="14.25" customHeight="1">
      <c r="A45" s="1" t="s">
        <v>209</v>
      </c>
      <c r="C45" s="7"/>
      <c r="D45" s="7"/>
      <c r="E45" s="7" t="s">
        <v>210</v>
      </c>
      <c r="F45" s="7"/>
      <c r="G45" s="7"/>
      <c r="H45" s="7"/>
      <c r="I45" s="7"/>
      <c r="J45" s="7"/>
      <c r="K45" s="7"/>
      <c r="L45" s="7"/>
    </row>
    <row r="46" ht="14.25" customHeight="1">
      <c r="A46" s="7" t="s">
        <v>61</v>
      </c>
      <c r="B46" s="7" t="s">
        <v>62</v>
      </c>
      <c r="C46" s="7"/>
      <c r="D46" s="7"/>
      <c r="E46" s="7" t="s">
        <v>211</v>
      </c>
      <c r="F46" s="7"/>
      <c r="G46" s="7"/>
      <c r="H46" s="7"/>
      <c r="I46" s="7"/>
      <c r="J46" s="7"/>
      <c r="K46" s="7"/>
      <c r="L46" s="7"/>
    </row>
    <row r="47" ht="14.25" customHeight="1">
      <c r="A47" s="7"/>
      <c r="B47" s="7"/>
      <c r="C47" s="7" t="s">
        <v>212</v>
      </c>
      <c r="D47" s="7">
        <v>0.0</v>
      </c>
      <c r="E47" s="5" t="s">
        <v>213</v>
      </c>
      <c r="F47" s="7"/>
      <c r="G47" s="7"/>
      <c r="H47" s="7"/>
      <c r="I47" s="7"/>
      <c r="J47" s="7"/>
      <c r="K47" s="7"/>
      <c r="L47" s="7"/>
    </row>
    <row r="48" ht="14.25" customHeight="1">
      <c r="A48" s="7"/>
      <c r="B48" s="7"/>
      <c r="C48" s="7" t="s">
        <v>214</v>
      </c>
      <c r="D48" s="7">
        <v>0.0</v>
      </c>
      <c r="E48" s="7" t="s">
        <v>215</v>
      </c>
      <c r="F48" s="7"/>
      <c r="G48" s="7"/>
      <c r="H48" s="7"/>
      <c r="I48" s="7"/>
      <c r="J48" s="7"/>
      <c r="K48" s="7"/>
      <c r="L48" s="7"/>
    </row>
    <row r="49" ht="14.25" customHeight="1">
      <c r="A49" s="7"/>
      <c r="B49" s="7"/>
      <c r="C49" s="7" t="s">
        <v>216</v>
      </c>
      <c r="D49" s="11">
        <v>1.0</v>
      </c>
      <c r="E49" s="7" t="s">
        <v>217</v>
      </c>
      <c r="F49" s="7"/>
      <c r="G49" s="7"/>
      <c r="H49" s="7"/>
      <c r="I49" s="7"/>
      <c r="J49" s="7"/>
      <c r="K49" s="7"/>
    </row>
    <row r="50" ht="14.25" customHeight="1">
      <c r="A50" s="7"/>
      <c r="B50" s="7"/>
      <c r="C50" s="7" t="s">
        <v>218</v>
      </c>
      <c r="D50" s="12">
        <v>0.0</v>
      </c>
      <c r="E50" s="7" t="s">
        <v>219</v>
      </c>
      <c r="F50" s="7"/>
      <c r="G50" s="7"/>
      <c r="H50" s="7"/>
      <c r="I50" s="7"/>
      <c r="J50" s="7"/>
      <c r="K50" s="7"/>
    </row>
    <row r="51" ht="14.25" customHeight="1">
      <c r="A51" s="1" t="s">
        <v>220</v>
      </c>
      <c r="D51" s="7"/>
      <c r="E51" s="7" t="s">
        <v>221</v>
      </c>
      <c r="F51" s="7"/>
      <c r="G51" s="7"/>
      <c r="H51" s="7"/>
      <c r="I51" s="7"/>
      <c r="J51" s="7"/>
      <c r="K51" s="7"/>
    </row>
    <row r="52" ht="14.25" customHeight="1">
      <c r="A52" s="7"/>
      <c r="B52" s="7"/>
      <c r="C52" s="7" t="s">
        <v>222</v>
      </c>
      <c r="D52" s="7" t="s">
        <v>162</v>
      </c>
      <c r="E52" s="7" t="s">
        <v>223</v>
      </c>
      <c r="F52" s="2"/>
    </row>
    <row r="53" ht="14.25" customHeight="1">
      <c r="A53" s="7"/>
      <c r="B53" s="7"/>
      <c r="C53" s="7" t="s">
        <v>224</v>
      </c>
      <c r="D53" s="7">
        <v>0.0</v>
      </c>
      <c r="E53" s="7" t="s">
        <v>215</v>
      </c>
      <c r="F53" s="7"/>
      <c r="G53" s="7"/>
      <c r="H53" s="7"/>
      <c r="I53" s="7"/>
      <c r="J53" s="7"/>
      <c r="K53" s="7"/>
    </row>
    <row r="54" ht="14.25" customHeight="1">
      <c r="A54" s="7"/>
      <c r="B54" s="7"/>
      <c r="C54" s="7" t="s">
        <v>225</v>
      </c>
      <c r="D54" s="11">
        <v>1.0</v>
      </c>
      <c r="E54" s="7" t="s">
        <v>217</v>
      </c>
      <c r="F54" s="7"/>
      <c r="G54" s="7"/>
      <c r="H54" s="7"/>
      <c r="I54" s="7"/>
      <c r="J54" s="7"/>
      <c r="K54" s="7"/>
    </row>
    <row r="55" ht="14.25" customHeight="1">
      <c r="A55" s="7"/>
      <c r="B55" s="7"/>
      <c r="C55" s="7" t="s">
        <v>226</v>
      </c>
      <c r="D55" s="12">
        <v>0.0</v>
      </c>
      <c r="E55" s="7" t="s">
        <v>219</v>
      </c>
      <c r="F55" s="7"/>
      <c r="G55" s="7"/>
      <c r="H55" s="7"/>
      <c r="I55" s="7"/>
      <c r="J55" s="7"/>
      <c r="K55" s="7"/>
    </row>
    <row r="56" ht="14.25" customHeight="1">
      <c r="A56" s="1" t="s">
        <v>227</v>
      </c>
      <c r="D56" s="7"/>
      <c r="E56" s="7" t="s">
        <v>228</v>
      </c>
      <c r="F56" s="7"/>
      <c r="G56" s="7"/>
      <c r="H56" s="7"/>
      <c r="I56" s="7"/>
      <c r="J56" s="7"/>
      <c r="K56" s="7"/>
    </row>
    <row r="57" ht="14.25" customHeight="1">
      <c r="A57" s="7"/>
      <c r="B57" s="7"/>
      <c r="C57" s="7" t="s">
        <v>229</v>
      </c>
      <c r="D57" s="7" t="s">
        <v>162</v>
      </c>
      <c r="E57" s="7" t="s">
        <v>223</v>
      </c>
      <c r="F57" s="2"/>
    </row>
    <row r="58" ht="14.25" customHeight="1">
      <c r="A58" s="7"/>
      <c r="B58" s="7"/>
      <c r="C58" s="7" t="s">
        <v>230</v>
      </c>
      <c r="D58" s="7">
        <v>0.0</v>
      </c>
      <c r="E58" s="7" t="s">
        <v>215</v>
      </c>
      <c r="F58" s="7"/>
      <c r="G58" s="7"/>
      <c r="H58" s="7"/>
      <c r="I58" s="7"/>
      <c r="J58" s="7"/>
      <c r="K58" s="7"/>
    </row>
    <row r="59" ht="14.25" customHeight="1">
      <c r="A59" s="7"/>
      <c r="B59" s="7"/>
      <c r="C59" s="7" t="s">
        <v>231</v>
      </c>
      <c r="D59" s="11">
        <v>1.0</v>
      </c>
      <c r="E59" s="7" t="s">
        <v>217</v>
      </c>
      <c r="F59" s="7"/>
      <c r="G59" s="7"/>
      <c r="H59" s="7"/>
      <c r="I59" s="7"/>
      <c r="J59" s="7"/>
      <c r="K59" s="7"/>
    </row>
    <row r="60" ht="14.25" customHeight="1">
      <c r="A60" s="7"/>
      <c r="B60" s="7"/>
      <c r="C60" s="7" t="s">
        <v>232</v>
      </c>
      <c r="D60" s="12">
        <v>0.0</v>
      </c>
      <c r="E60" s="7" t="s">
        <v>219</v>
      </c>
      <c r="F60" s="7"/>
      <c r="G60" s="7"/>
      <c r="H60" s="7"/>
      <c r="I60" s="7"/>
      <c r="J60" s="7"/>
      <c r="K60" s="7"/>
    </row>
    <row r="61" ht="14.25" customHeight="1">
      <c r="A61" s="1" t="s">
        <v>233</v>
      </c>
      <c r="B61" s="1" t="s">
        <v>234</v>
      </c>
      <c r="E61" s="7" t="s">
        <v>235</v>
      </c>
    </row>
    <row r="62" ht="14.25" customHeight="1">
      <c r="A62" s="1" t="s">
        <v>236</v>
      </c>
      <c r="E62" s="1" t="s">
        <v>237</v>
      </c>
    </row>
    <row r="63" ht="14.25" customHeight="1"/>
    <row r="64" ht="14.25" customHeight="1">
      <c r="A64" s="2" t="s">
        <v>238</v>
      </c>
      <c r="B64" s="2"/>
    </row>
    <row r="65" ht="14.25" customHeight="1">
      <c r="A65" s="2" t="s">
        <v>173</v>
      </c>
      <c r="B65" s="2" t="s">
        <v>201</v>
      </c>
      <c r="C65" s="2" t="s">
        <v>174</v>
      </c>
      <c r="D65" s="2" t="s">
        <v>175</v>
      </c>
      <c r="E65" s="2" t="s">
        <v>176</v>
      </c>
      <c r="F65" s="2" t="s">
        <v>177</v>
      </c>
    </row>
    <row r="66" ht="14.25" customHeight="1">
      <c r="A66" s="1" t="s">
        <v>81</v>
      </c>
      <c r="B66" s="1" t="s">
        <v>82</v>
      </c>
      <c r="C66" s="1" t="s">
        <v>239</v>
      </c>
      <c r="D66" s="1">
        <v>42.0</v>
      </c>
      <c r="E66" s="1" t="s">
        <v>240</v>
      </c>
    </row>
    <row r="67" ht="14.25" customHeight="1">
      <c r="A67" s="1" t="s">
        <v>85</v>
      </c>
      <c r="B67" s="1" t="s">
        <v>86</v>
      </c>
      <c r="C67" s="1" t="s">
        <v>241</v>
      </c>
      <c r="D67" s="1">
        <v>43.0</v>
      </c>
      <c r="E67" s="1" t="s">
        <v>242</v>
      </c>
    </row>
    <row r="68" ht="14.25" customHeight="1">
      <c r="A68" s="1" t="s">
        <v>89</v>
      </c>
      <c r="B68" s="1" t="s">
        <v>90</v>
      </c>
      <c r="C68" s="1" t="s">
        <v>243</v>
      </c>
      <c r="D68" s="1">
        <v>20.0</v>
      </c>
      <c r="E68" s="1" t="s">
        <v>244</v>
      </c>
      <c r="F68" s="1" t="s">
        <v>245</v>
      </c>
    </row>
    <row r="69" ht="14.25" customHeight="1">
      <c r="A69" s="1" t="s">
        <v>92</v>
      </c>
      <c r="C69" s="1" t="s">
        <v>246</v>
      </c>
      <c r="D69" s="1">
        <v>28.0</v>
      </c>
      <c r="E69" s="1" t="s">
        <v>244</v>
      </c>
      <c r="F69" s="1" t="s">
        <v>247</v>
      </c>
    </row>
    <row r="70" ht="14.25" customHeight="1">
      <c r="A70" s="1" t="s">
        <v>248</v>
      </c>
      <c r="B70" s="1" t="s">
        <v>249</v>
      </c>
      <c r="C70" s="1" t="s">
        <v>250</v>
      </c>
      <c r="D70" s="1">
        <v>14.0</v>
      </c>
      <c r="E70" s="1" t="s">
        <v>251</v>
      </c>
    </row>
    <row r="71" ht="14.25" customHeight="1">
      <c r="A71" s="1" t="s">
        <v>252</v>
      </c>
      <c r="C71" s="1" t="s">
        <v>253</v>
      </c>
    </row>
    <row r="72" ht="14.25" customHeight="1">
      <c r="A72" s="1" t="s">
        <v>254</v>
      </c>
      <c r="C72" s="1" t="s">
        <v>255</v>
      </c>
    </row>
    <row r="73" ht="14.25" customHeight="1">
      <c r="A73" s="1" t="s">
        <v>256</v>
      </c>
      <c r="C73" s="1" t="s">
        <v>257</v>
      </c>
    </row>
    <row r="74" ht="14.25" customHeight="1">
      <c r="A74" s="1" t="s">
        <v>258</v>
      </c>
      <c r="B74" s="1" t="s">
        <v>259</v>
      </c>
      <c r="E74" s="1" t="s">
        <v>260</v>
      </c>
    </row>
    <row r="75" ht="14.25" customHeight="1">
      <c r="A75" s="1" t="s">
        <v>261</v>
      </c>
      <c r="E75" s="7" t="s">
        <v>262</v>
      </c>
    </row>
    <row r="76" ht="14.25" customHeight="1">
      <c r="A76" s="1" t="s">
        <v>263</v>
      </c>
      <c r="E76" s="1" t="s">
        <v>264</v>
      </c>
    </row>
    <row r="77" ht="14.25" customHeight="1"/>
    <row r="78" ht="14.25" customHeight="1">
      <c r="A78" s="2" t="s">
        <v>265</v>
      </c>
      <c r="B78" s="2"/>
      <c r="C78" s="2"/>
      <c r="D78" s="2"/>
      <c r="E78" s="2"/>
    </row>
    <row r="79" ht="14.25" customHeight="1">
      <c r="A79" s="2" t="s">
        <v>173</v>
      </c>
      <c r="B79" s="2" t="s">
        <v>201</v>
      </c>
      <c r="C79" s="2" t="s">
        <v>174</v>
      </c>
      <c r="D79" s="2" t="s">
        <v>175</v>
      </c>
      <c r="E79" s="2" t="s">
        <v>176</v>
      </c>
      <c r="F79" s="2" t="s">
        <v>177</v>
      </c>
    </row>
    <row r="80" ht="14.25" customHeight="1">
      <c r="A80" s="1" t="s">
        <v>68</v>
      </c>
      <c r="C80" s="1" t="s">
        <v>266</v>
      </c>
      <c r="D80" s="1" t="s">
        <v>267</v>
      </c>
      <c r="E80" s="1" t="s">
        <v>268</v>
      </c>
      <c r="F80" s="1" t="s">
        <v>269</v>
      </c>
    </row>
    <row r="81" ht="14.25" customHeight="1">
      <c r="A81" s="1" t="s">
        <v>70</v>
      </c>
      <c r="C81" s="1" t="s">
        <v>270</v>
      </c>
      <c r="D81" s="1">
        <v>6.0</v>
      </c>
      <c r="E81" s="1" t="s">
        <v>69</v>
      </c>
      <c r="F81" s="1" t="s">
        <v>271</v>
      </c>
    </row>
    <row r="82" ht="14.25" customHeight="1">
      <c r="A82" s="1" t="s">
        <v>272</v>
      </c>
      <c r="C82" s="1" t="s">
        <v>273</v>
      </c>
      <c r="D82" s="1">
        <v>20.0</v>
      </c>
      <c r="E82" s="1" t="s">
        <v>274</v>
      </c>
    </row>
    <row r="83" ht="14.25" customHeight="1"/>
    <row r="84" ht="14.25" customHeight="1"/>
    <row r="85" ht="14.25" customHeight="1">
      <c r="A85" s="2" t="s">
        <v>275</v>
      </c>
      <c r="B85" s="2"/>
    </row>
    <row r="86" ht="14.25" customHeight="1">
      <c r="A86" s="2" t="s">
        <v>173</v>
      </c>
      <c r="B86" s="2" t="s">
        <v>201</v>
      </c>
      <c r="C86" s="2" t="s">
        <v>174</v>
      </c>
      <c r="D86" s="2" t="s">
        <v>175</v>
      </c>
      <c r="E86" s="2" t="s">
        <v>176</v>
      </c>
      <c r="F86" s="2" t="s">
        <v>177</v>
      </c>
      <c r="R86" s="1">
        <v>700.0</v>
      </c>
    </row>
    <row r="87" ht="14.25" customHeight="1">
      <c r="A87" s="1" t="s">
        <v>276</v>
      </c>
      <c r="B87" s="1" t="s">
        <v>82</v>
      </c>
      <c r="E87" s="1" t="s">
        <v>277</v>
      </c>
      <c r="F87" s="1" t="s">
        <v>278</v>
      </c>
      <c r="R87" s="1">
        <v>3450.0</v>
      </c>
    </row>
    <row r="88" ht="14.25" customHeight="1">
      <c r="C88" s="1" t="s">
        <v>279</v>
      </c>
      <c r="D88" s="1">
        <v>102.0</v>
      </c>
      <c r="E88" s="1" t="s">
        <v>280</v>
      </c>
    </row>
    <row r="89" ht="14.25" customHeight="1">
      <c r="C89" s="1" t="s">
        <v>281</v>
      </c>
      <c r="D89" s="1" t="s">
        <v>282</v>
      </c>
      <c r="E89" s="1" t="s">
        <v>283</v>
      </c>
    </row>
    <row r="90" ht="14.25" customHeight="1">
      <c r="C90" s="1" t="s">
        <v>284</v>
      </c>
    </row>
    <row r="91" ht="14.25" customHeight="1">
      <c r="A91" s="1" t="s">
        <v>285</v>
      </c>
      <c r="E91" s="1" t="s">
        <v>286</v>
      </c>
    </row>
    <row r="92" ht="14.25" customHeight="1">
      <c r="A92" s="7"/>
      <c r="B92" s="7"/>
      <c r="C92" s="7" t="s">
        <v>287</v>
      </c>
      <c r="D92" s="7">
        <v>102.0</v>
      </c>
      <c r="E92" s="7" t="s">
        <v>288</v>
      </c>
      <c r="F92" s="2"/>
    </row>
    <row r="93" ht="14.25" customHeight="1">
      <c r="A93" s="7"/>
      <c r="B93" s="7"/>
      <c r="C93" s="7" t="s">
        <v>289</v>
      </c>
      <c r="D93" s="11">
        <v>1.0</v>
      </c>
      <c r="E93" s="7" t="s">
        <v>217</v>
      </c>
      <c r="F93" s="7"/>
      <c r="G93" s="7"/>
      <c r="H93" s="7"/>
      <c r="I93" s="7"/>
      <c r="J93" s="7"/>
      <c r="K93" s="7"/>
    </row>
    <row r="94" ht="14.25" customHeight="1">
      <c r="A94" s="7"/>
      <c r="B94" s="7"/>
      <c r="C94" s="7" t="s">
        <v>290</v>
      </c>
      <c r="D94" s="12">
        <v>0.0</v>
      </c>
      <c r="E94" s="7" t="s">
        <v>219</v>
      </c>
      <c r="F94" s="7"/>
      <c r="G94" s="7"/>
      <c r="H94" s="7"/>
      <c r="I94" s="7"/>
      <c r="J94" s="7"/>
      <c r="K94" s="7"/>
    </row>
    <row r="95" ht="14.25" customHeight="1">
      <c r="A95" s="7"/>
      <c r="B95" s="7"/>
      <c r="C95" s="7" t="s">
        <v>291</v>
      </c>
      <c r="D95" s="7">
        <v>2.0</v>
      </c>
      <c r="E95" s="7" t="s">
        <v>292</v>
      </c>
      <c r="F95" s="7"/>
      <c r="G95" s="7"/>
      <c r="H95" s="7"/>
      <c r="I95" s="7"/>
      <c r="J95" s="7"/>
      <c r="K95" s="7"/>
    </row>
    <row r="96" ht="14.25" customHeight="1">
      <c r="A96" s="1" t="s">
        <v>109</v>
      </c>
      <c r="B96" s="1" t="s">
        <v>86</v>
      </c>
    </row>
    <row r="97" ht="14.25" customHeight="1">
      <c r="A97" s="7"/>
      <c r="B97" s="7"/>
      <c r="C97" s="7" t="s">
        <v>293</v>
      </c>
      <c r="D97" s="7">
        <v>108.0</v>
      </c>
      <c r="E97" s="7" t="s">
        <v>294</v>
      </c>
      <c r="F97" s="2"/>
    </row>
    <row r="98" ht="14.25" customHeight="1">
      <c r="A98" s="7"/>
      <c r="B98" s="7"/>
      <c r="C98" s="7" t="s">
        <v>295</v>
      </c>
      <c r="D98" s="11">
        <v>1.0</v>
      </c>
      <c r="E98" s="7" t="s">
        <v>217</v>
      </c>
      <c r="F98" s="7"/>
      <c r="G98" s="7"/>
      <c r="H98" s="7"/>
      <c r="I98" s="7"/>
      <c r="J98" s="7"/>
      <c r="K98" s="7"/>
    </row>
    <row r="99" ht="14.25" customHeight="1">
      <c r="A99" s="7"/>
      <c r="B99" s="7"/>
      <c r="C99" s="7" t="s">
        <v>296</v>
      </c>
      <c r="D99" s="12">
        <v>0.0</v>
      </c>
      <c r="E99" s="7" t="s">
        <v>219</v>
      </c>
      <c r="F99" s="7"/>
      <c r="G99" s="7"/>
      <c r="H99" s="7"/>
      <c r="I99" s="7"/>
      <c r="J99" s="7"/>
      <c r="K99" s="7"/>
    </row>
    <row r="100" ht="14.25" customHeight="1">
      <c r="A100" s="7"/>
      <c r="B100" s="7"/>
      <c r="C100" s="7" t="s">
        <v>297</v>
      </c>
      <c r="D100" s="7">
        <v>2.0</v>
      </c>
      <c r="E100" s="7" t="s">
        <v>292</v>
      </c>
      <c r="F100" s="7"/>
      <c r="G100" s="7"/>
      <c r="H100" s="7"/>
      <c r="I100" s="7"/>
      <c r="J100" s="7"/>
      <c r="K100" s="7"/>
    </row>
    <row r="101" ht="14.25" customHeight="1">
      <c r="A101" s="1" t="s">
        <v>233</v>
      </c>
      <c r="B101" s="1" t="s">
        <v>62</v>
      </c>
      <c r="E101" s="1" t="s">
        <v>298</v>
      </c>
    </row>
    <row r="102" ht="14.25" customHeight="1"/>
    <row r="103" ht="14.25" customHeight="1"/>
    <row r="104" ht="14.25" customHeight="1"/>
    <row r="105" ht="14.25" customHeight="1"/>
    <row r="106" ht="14.25" customHeight="1">
      <c r="D106" s="13"/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88"/>
    <col customWidth="1" min="3" max="3" width="65.25"/>
    <col customWidth="1" min="4" max="4" width="8.63"/>
    <col customWidth="1" min="5" max="5" width="81.88"/>
    <col customWidth="1" min="6" max="26" width="8.63"/>
  </cols>
  <sheetData>
    <row r="1" ht="14.25" customHeight="1">
      <c r="A1" s="2" t="s">
        <v>171</v>
      </c>
      <c r="B1" s="2"/>
    </row>
    <row r="2" ht="14.25" customHeight="1">
      <c r="A2" s="2" t="s">
        <v>172</v>
      </c>
      <c r="B2" s="2"/>
    </row>
    <row r="3" ht="14.25" customHeight="1">
      <c r="A3" s="2" t="s">
        <v>173</v>
      </c>
      <c r="B3" s="2"/>
      <c r="C3" s="2" t="s">
        <v>174</v>
      </c>
      <c r="D3" s="2" t="s">
        <v>175</v>
      </c>
      <c r="E3" s="2" t="s">
        <v>176</v>
      </c>
      <c r="F3" s="2" t="s">
        <v>177</v>
      </c>
    </row>
    <row r="4" ht="14.25" customHeight="1">
      <c r="A4" s="7"/>
      <c r="B4" s="7"/>
      <c r="C4" s="6" t="s">
        <v>299</v>
      </c>
      <c r="D4" s="6">
        <v>0.0</v>
      </c>
      <c r="E4" s="14" t="s">
        <v>300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7"/>
      <c r="B5" s="7"/>
      <c r="C5" s="15" t="s">
        <v>301</v>
      </c>
      <c r="D5" s="15">
        <v>0.0</v>
      </c>
      <c r="E5" s="15" t="s">
        <v>302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7"/>
      <c r="B6" s="7"/>
      <c r="C6" s="7" t="s">
        <v>178</v>
      </c>
      <c r="D6" s="15">
        <v>0.0</v>
      </c>
      <c r="E6" s="15" t="s">
        <v>303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7"/>
      <c r="C7" s="15" t="s">
        <v>304</v>
      </c>
      <c r="D7" s="15">
        <v>0.0</v>
      </c>
      <c r="E7" s="14" t="s">
        <v>305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2" t="s">
        <v>180</v>
      </c>
      <c r="B13" s="2"/>
    </row>
    <row r="14" ht="14.25" customHeight="1">
      <c r="A14" s="2" t="s">
        <v>173</v>
      </c>
      <c r="B14" s="2"/>
      <c r="C14" s="2" t="s">
        <v>174</v>
      </c>
      <c r="D14" s="2" t="s">
        <v>175</v>
      </c>
      <c r="E14" s="2" t="s">
        <v>176</v>
      </c>
      <c r="F14" s="2" t="s">
        <v>177</v>
      </c>
    </row>
    <row r="15" ht="14.25" customHeight="1">
      <c r="C15" s="1" t="s">
        <v>181</v>
      </c>
      <c r="D15" s="1">
        <v>1.0</v>
      </c>
      <c r="E15" s="6" t="s">
        <v>306</v>
      </c>
    </row>
    <row r="16" ht="14.25" customHeight="1">
      <c r="C16" s="1" t="s">
        <v>183</v>
      </c>
      <c r="D16" s="1">
        <v>1.0</v>
      </c>
      <c r="E16" s="1" t="s">
        <v>184</v>
      </c>
    </row>
    <row r="17" ht="14.25" customHeight="1">
      <c r="C17" s="1" t="s">
        <v>185</v>
      </c>
      <c r="D17" s="1">
        <v>0.0</v>
      </c>
      <c r="E17" s="6" t="s">
        <v>307</v>
      </c>
      <c r="F17" s="1" t="s">
        <v>187</v>
      </c>
    </row>
    <row r="18" ht="14.25" customHeight="1">
      <c r="C18" s="1" t="s">
        <v>188</v>
      </c>
      <c r="D18" s="1">
        <v>1.0</v>
      </c>
      <c r="E18" s="1" t="s">
        <v>308</v>
      </c>
    </row>
    <row r="19" ht="14.25" customHeight="1"/>
    <row r="20" ht="14.25" customHeight="1"/>
    <row r="21" ht="14.25" customHeight="1">
      <c r="A21" s="2" t="s">
        <v>193</v>
      </c>
    </row>
    <row r="22" ht="14.25" customHeight="1">
      <c r="A22" s="2" t="s">
        <v>194</v>
      </c>
      <c r="B22" s="2"/>
    </row>
    <row r="23" ht="14.25" customHeight="1">
      <c r="A23" s="2" t="s">
        <v>173</v>
      </c>
      <c r="B23" s="2"/>
      <c r="C23" s="2" t="s">
        <v>174</v>
      </c>
      <c r="D23" s="2" t="s">
        <v>175</v>
      </c>
      <c r="E23" s="2" t="s">
        <v>176</v>
      </c>
      <c r="F23" s="2" t="s">
        <v>177</v>
      </c>
    </row>
    <row r="24" ht="14.25" customHeight="1">
      <c r="C24" s="6" t="s">
        <v>309</v>
      </c>
      <c r="D24" s="6">
        <v>2.0</v>
      </c>
      <c r="E24" s="6" t="s">
        <v>310</v>
      </c>
    </row>
    <row r="25" ht="14.25" customHeight="1">
      <c r="C25" s="6" t="s">
        <v>311</v>
      </c>
      <c r="D25" s="6">
        <v>2.0</v>
      </c>
      <c r="E25" s="6" t="s">
        <v>312</v>
      </c>
    </row>
    <row r="26" ht="14.25" customHeight="1">
      <c r="C26" s="1" t="s">
        <v>195</v>
      </c>
      <c r="D26" s="1">
        <v>2.0</v>
      </c>
      <c r="E26" s="6" t="s">
        <v>313</v>
      </c>
    </row>
    <row r="27" ht="14.25" customHeight="1">
      <c r="C27" s="6"/>
    </row>
    <row r="28" ht="14.25" customHeight="1"/>
    <row r="29" ht="14.25" customHeight="1"/>
    <row r="30" ht="14.25" customHeight="1">
      <c r="A30" s="2" t="s">
        <v>196</v>
      </c>
      <c r="B30" s="2"/>
    </row>
    <row r="31" ht="14.25" customHeight="1">
      <c r="A31" s="2" t="s">
        <v>173</v>
      </c>
      <c r="B31" s="2"/>
      <c r="C31" s="2" t="s">
        <v>174</v>
      </c>
      <c r="D31" s="2" t="s">
        <v>175</v>
      </c>
      <c r="E31" s="2" t="s">
        <v>176</v>
      </c>
      <c r="F31" s="2" t="s">
        <v>177</v>
      </c>
    </row>
    <row r="32" ht="14.25" customHeight="1">
      <c r="A32" s="7"/>
      <c r="B32" s="7"/>
      <c r="C32" s="7" t="s">
        <v>197</v>
      </c>
      <c r="D32" s="15" t="s">
        <v>314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ht="14.25" customHeight="1">
      <c r="A37" s="2" t="s">
        <v>200</v>
      </c>
      <c r="B37" s="2"/>
    </row>
    <row r="38" ht="14.25" customHeight="1">
      <c r="A38" s="2" t="s">
        <v>173</v>
      </c>
      <c r="B38" s="2" t="s">
        <v>201</v>
      </c>
      <c r="C38" s="2" t="s">
        <v>174</v>
      </c>
      <c r="D38" s="2" t="s">
        <v>175</v>
      </c>
      <c r="E38" s="2" t="s">
        <v>176</v>
      </c>
      <c r="F38" s="2" t="s">
        <v>177</v>
      </c>
    </row>
    <row r="39" ht="14.25" customHeight="1">
      <c r="A39" s="7" t="s">
        <v>202</v>
      </c>
      <c r="B39" s="7"/>
      <c r="C39" s="7"/>
      <c r="D39" s="7"/>
      <c r="E39" s="7" t="s">
        <v>203</v>
      </c>
      <c r="F39" s="7"/>
      <c r="G39" s="7"/>
      <c r="H39" s="7"/>
      <c r="I39" s="7"/>
      <c r="J39" s="7"/>
      <c r="K39" s="7"/>
      <c r="L39" s="7"/>
    </row>
    <row r="40" ht="14.25" customHeight="1">
      <c r="A40" s="7"/>
      <c r="B40" s="7"/>
      <c r="C40" s="7" t="s">
        <v>205</v>
      </c>
      <c r="D40" s="15">
        <v>0.0</v>
      </c>
      <c r="E40" s="7"/>
      <c r="F40" s="7" t="s">
        <v>204</v>
      </c>
      <c r="G40" s="7"/>
      <c r="H40" s="7"/>
      <c r="I40" s="7"/>
      <c r="J40" s="7"/>
      <c r="K40" s="7"/>
      <c r="L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ht="14.25" customHeight="1">
      <c r="A42" s="1" t="s">
        <v>207</v>
      </c>
      <c r="C42" s="7"/>
      <c r="D42" s="7"/>
      <c r="E42" s="7" t="s">
        <v>208</v>
      </c>
      <c r="F42" s="7"/>
      <c r="G42" s="7"/>
      <c r="H42" s="7"/>
      <c r="I42" s="7"/>
      <c r="J42" s="7"/>
      <c r="K42" s="7"/>
      <c r="L42" s="7"/>
    </row>
    <row r="43" ht="14.25" customHeight="1">
      <c r="A43" s="1" t="s">
        <v>209</v>
      </c>
      <c r="C43" s="7"/>
      <c r="D43" s="7"/>
      <c r="E43" s="7" t="s">
        <v>210</v>
      </c>
      <c r="F43" s="7"/>
      <c r="G43" s="7"/>
      <c r="H43" s="7"/>
      <c r="I43" s="7"/>
      <c r="J43" s="7"/>
      <c r="K43" s="7"/>
      <c r="L43" s="7"/>
    </row>
    <row r="44" ht="14.25" customHeight="1">
      <c r="A44" s="7" t="s">
        <v>61</v>
      </c>
      <c r="B44" s="7" t="s">
        <v>62</v>
      </c>
      <c r="C44" s="7"/>
      <c r="D44" s="7"/>
      <c r="E44" s="7" t="s">
        <v>211</v>
      </c>
      <c r="F44" s="7"/>
      <c r="G44" s="7"/>
      <c r="H44" s="7"/>
      <c r="I44" s="7"/>
      <c r="J44" s="7"/>
      <c r="K44" s="7"/>
      <c r="L44" s="7"/>
    </row>
    <row r="45" ht="14.25" customHeight="1">
      <c r="A45" s="7"/>
      <c r="B45" s="7"/>
      <c r="C45" s="7" t="s">
        <v>212</v>
      </c>
      <c r="D45" s="7">
        <v>0.0</v>
      </c>
      <c r="E45" s="5" t="s">
        <v>213</v>
      </c>
      <c r="F45" s="7"/>
      <c r="G45" s="7"/>
      <c r="H45" s="7"/>
      <c r="I45" s="7"/>
      <c r="J45" s="7"/>
      <c r="K45" s="7"/>
      <c r="L45" s="7"/>
    </row>
    <row r="46" ht="14.25" customHeight="1">
      <c r="A46" s="7"/>
      <c r="B46" s="7"/>
      <c r="C46" s="7" t="s">
        <v>214</v>
      </c>
      <c r="D46" s="7">
        <v>0.0</v>
      </c>
      <c r="E46" s="7" t="s">
        <v>215</v>
      </c>
      <c r="F46" s="7"/>
      <c r="G46" s="7"/>
      <c r="H46" s="7"/>
      <c r="I46" s="7"/>
      <c r="J46" s="7"/>
      <c r="K46" s="7"/>
      <c r="L46" s="7"/>
    </row>
    <row r="47" ht="14.25" customHeight="1">
      <c r="A47" s="7"/>
      <c r="B47" s="7"/>
      <c r="C47" s="7" t="s">
        <v>216</v>
      </c>
      <c r="D47" s="11">
        <v>1.0</v>
      </c>
      <c r="E47" s="7" t="s">
        <v>217</v>
      </c>
      <c r="F47" s="7"/>
      <c r="G47" s="7"/>
      <c r="H47" s="7"/>
      <c r="I47" s="7"/>
      <c r="J47" s="7"/>
      <c r="K47" s="7"/>
    </row>
    <row r="48" ht="14.25" customHeight="1">
      <c r="A48" s="7"/>
      <c r="B48" s="7"/>
      <c r="C48" s="7" t="s">
        <v>218</v>
      </c>
      <c r="D48" s="12">
        <v>0.0</v>
      </c>
      <c r="E48" s="7" t="s">
        <v>219</v>
      </c>
      <c r="F48" s="7"/>
      <c r="G48" s="7"/>
      <c r="H48" s="7"/>
      <c r="I48" s="7"/>
      <c r="J48" s="7"/>
      <c r="K48" s="7"/>
    </row>
    <row r="49" ht="14.25" customHeight="1">
      <c r="A49" s="1" t="s">
        <v>220</v>
      </c>
      <c r="D49" s="7"/>
      <c r="E49" s="7" t="s">
        <v>221</v>
      </c>
      <c r="F49" s="7"/>
      <c r="G49" s="7"/>
      <c r="H49" s="7"/>
      <c r="I49" s="7"/>
      <c r="J49" s="7"/>
      <c r="K49" s="7"/>
    </row>
    <row r="50" ht="14.25" customHeight="1">
      <c r="A50" s="7"/>
      <c r="B50" s="7"/>
      <c r="C50" s="7" t="s">
        <v>222</v>
      </c>
      <c r="D50" s="7">
        <v>0.0</v>
      </c>
      <c r="E50" s="7" t="s">
        <v>213</v>
      </c>
      <c r="F50" s="2"/>
    </row>
    <row r="51" ht="14.25" customHeight="1">
      <c r="A51" s="7"/>
      <c r="B51" s="7"/>
      <c r="C51" s="7" t="s">
        <v>224</v>
      </c>
      <c r="D51" s="7" t="s">
        <v>162</v>
      </c>
      <c r="E51" s="7" t="s">
        <v>215</v>
      </c>
      <c r="F51" s="7"/>
      <c r="G51" s="7"/>
      <c r="H51" s="7"/>
      <c r="I51" s="7"/>
      <c r="J51" s="7"/>
      <c r="K51" s="7"/>
    </row>
    <row r="52" ht="14.25" customHeight="1">
      <c r="A52" s="7"/>
      <c r="B52" s="7"/>
      <c r="C52" s="7" t="s">
        <v>225</v>
      </c>
      <c r="D52" s="11">
        <v>1.0</v>
      </c>
      <c r="E52" s="7" t="s">
        <v>217</v>
      </c>
      <c r="F52" s="7"/>
      <c r="G52" s="7"/>
      <c r="H52" s="7"/>
      <c r="I52" s="7"/>
      <c r="J52" s="7"/>
      <c r="K52" s="7"/>
    </row>
    <row r="53" ht="14.25" customHeight="1">
      <c r="A53" s="7"/>
      <c r="B53" s="7"/>
      <c r="C53" s="7" t="s">
        <v>226</v>
      </c>
      <c r="D53" s="12">
        <v>0.0</v>
      </c>
      <c r="E53" s="7" t="s">
        <v>219</v>
      </c>
      <c r="F53" s="7"/>
      <c r="G53" s="7"/>
      <c r="H53" s="7"/>
      <c r="I53" s="7"/>
      <c r="J53" s="7"/>
      <c r="K53" s="7"/>
    </row>
    <row r="54" ht="14.25" customHeight="1">
      <c r="A54" s="1" t="s">
        <v>233</v>
      </c>
      <c r="B54" s="1" t="s">
        <v>234</v>
      </c>
      <c r="E54" s="7" t="s">
        <v>235</v>
      </c>
    </row>
    <row r="55" ht="14.25" customHeight="1"/>
    <row r="56" ht="14.25" customHeight="1">
      <c r="A56" s="2" t="s">
        <v>238</v>
      </c>
      <c r="B56" s="2"/>
    </row>
    <row r="57" ht="14.25" customHeight="1">
      <c r="A57" s="2" t="s">
        <v>173</v>
      </c>
      <c r="B57" s="2" t="s">
        <v>201</v>
      </c>
      <c r="C57" s="2" t="s">
        <v>174</v>
      </c>
      <c r="D57" s="2" t="s">
        <v>175</v>
      </c>
      <c r="E57" s="2" t="s">
        <v>176</v>
      </c>
      <c r="F57" s="2" t="s">
        <v>177</v>
      </c>
    </row>
    <row r="58" ht="14.25" customHeight="1">
      <c r="A58" s="1" t="s">
        <v>81</v>
      </c>
      <c r="B58" s="1" t="s">
        <v>82</v>
      </c>
      <c r="C58" s="1" t="s">
        <v>239</v>
      </c>
      <c r="D58" s="1">
        <v>42.0</v>
      </c>
      <c r="E58" s="1" t="s">
        <v>240</v>
      </c>
    </row>
    <row r="59" ht="14.25" customHeight="1">
      <c r="A59" s="1" t="s">
        <v>85</v>
      </c>
      <c r="B59" s="1" t="s">
        <v>86</v>
      </c>
      <c r="C59" s="1" t="s">
        <v>241</v>
      </c>
      <c r="D59" s="1">
        <v>43.0</v>
      </c>
      <c r="E59" s="1" t="s">
        <v>242</v>
      </c>
    </row>
    <row r="60" ht="14.25" customHeight="1">
      <c r="A60" s="1" t="s">
        <v>89</v>
      </c>
      <c r="B60" s="1" t="s">
        <v>90</v>
      </c>
      <c r="C60" s="1" t="s">
        <v>243</v>
      </c>
      <c r="D60" s="6"/>
    </row>
    <row r="61" ht="14.25" customHeight="1">
      <c r="A61" s="1" t="s">
        <v>92</v>
      </c>
      <c r="C61" s="1" t="s">
        <v>246</v>
      </c>
      <c r="D61" s="6" t="s">
        <v>162</v>
      </c>
      <c r="E61" s="6" t="s">
        <v>315</v>
      </c>
    </row>
    <row r="62" ht="14.25" customHeight="1">
      <c r="A62" s="1" t="s">
        <v>248</v>
      </c>
      <c r="B62" s="1" t="s">
        <v>249</v>
      </c>
      <c r="C62" s="1" t="s">
        <v>250</v>
      </c>
      <c r="D62" s="6"/>
    </row>
    <row r="63" ht="14.25" customHeight="1">
      <c r="A63" s="1" t="s">
        <v>252</v>
      </c>
      <c r="C63" s="1" t="s">
        <v>253</v>
      </c>
      <c r="D63" s="6" t="s">
        <v>162</v>
      </c>
      <c r="E63" s="6" t="s">
        <v>315</v>
      </c>
    </row>
    <row r="64" ht="14.25" customHeight="1">
      <c r="A64" s="1" t="s">
        <v>254</v>
      </c>
      <c r="C64" s="1" t="s">
        <v>255</v>
      </c>
      <c r="D64" s="6" t="s">
        <v>162</v>
      </c>
      <c r="E64" s="6" t="s">
        <v>315</v>
      </c>
    </row>
    <row r="65" ht="14.25" customHeight="1">
      <c r="A65" s="1" t="s">
        <v>258</v>
      </c>
      <c r="B65" s="1" t="s">
        <v>259</v>
      </c>
      <c r="E65" s="1" t="s">
        <v>260</v>
      </c>
    </row>
    <row r="66" ht="14.25" customHeight="1"/>
    <row r="67" ht="14.25" customHeight="1">
      <c r="A67" s="2" t="s">
        <v>265</v>
      </c>
      <c r="B67" s="2"/>
      <c r="C67" s="2"/>
      <c r="D67" s="2"/>
      <c r="E67" s="2"/>
    </row>
    <row r="68" ht="14.25" customHeight="1">
      <c r="A68" s="2" t="s">
        <v>173</v>
      </c>
      <c r="B68" s="2" t="s">
        <v>201</v>
      </c>
      <c r="C68" s="2" t="s">
        <v>174</v>
      </c>
      <c r="D68" s="2" t="s">
        <v>175</v>
      </c>
      <c r="E68" s="2" t="s">
        <v>176</v>
      </c>
      <c r="F68" s="2" t="s">
        <v>177</v>
      </c>
    </row>
    <row r="69" ht="14.25" customHeight="1">
      <c r="A69" s="1" t="s">
        <v>316</v>
      </c>
      <c r="C69" s="1" t="s">
        <v>266</v>
      </c>
      <c r="D69" s="1" t="s">
        <v>267</v>
      </c>
      <c r="E69" s="1" t="s">
        <v>268</v>
      </c>
      <c r="F69" s="1" t="s">
        <v>269</v>
      </c>
    </row>
    <row r="70" ht="14.25" customHeight="1">
      <c r="A70" s="1" t="s">
        <v>317</v>
      </c>
      <c r="C70" s="1" t="s">
        <v>270</v>
      </c>
      <c r="D70" s="1">
        <v>6.0</v>
      </c>
      <c r="E70" s="1" t="s">
        <v>69</v>
      </c>
      <c r="F70" s="1" t="s">
        <v>271</v>
      </c>
    </row>
    <row r="71" ht="14.25" customHeight="1">
      <c r="A71" s="1" t="s">
        <v>318</v>
      </c>
      <c r="E71" s="1" t="s">
        <v>319</v>
      </c>
    </row>
    <row r="72" ht="14.25" customHeight="1"/>
    <row r="73" ht="14.25" customHeight="1"/>
    <row r="74" ht="14.25" customHeight="1">
      <c r="A74" s="2" t="s">
        <v>275</v>
      </c>
      <c r="B74" s="2"/>
    </row>
    <row r="75" ht="14.25" customHeight="1">
      <c r="A75" s="2" t="s">
        <v>173</v>
      </c>
      <c r="B75" s="2" t="s">
        <v>201</v>
      </c>
      <c r="C75" s="2" t="s">
        <v>174</v>
      </c>
      <c r="D75" s="2" t="s">
        <v>175</v>
      </c>
      <c r="E75" s="2" t="s">
        <v>176</v>
      </c>
      <c r="F75" s="2" t="s">
        <v>177</v>
      </c>
      <c r="R75" s="1">
        <v>700.0</v>
      </c>
    </row>
    <row r="76" ht="14.25" customHeight="1">
      <c r="A76" s="1" t="s">
        <v>276</v>
      </c>
      <c r="B76" s="1" t="s">
        <v>90</v>
      </c>
      <c r="E76" s="1" t="s">
        <v>277</v>
      </c>
      <c r="F76" s="1" t="s">
        <v>278</v>
      </c>
      <c r="R76" s="1">
        <v>3450.0</v>
      </c>
    </row>
    <row r="77" ht="14.25" customHeight="1">
      <c r="C77" s="1" t="s">
        <v>279</v>
      </c>
      <c r="D77" s="1">
        <v>102.0</v>
      </c>
      <c r="E77" s="1" t="s">
        <v>280</v>
      </c>
    </row>
    <row r="78" ht="14.25" customHeight="1">
      <c r="C78" s="1" t="s">
        <v>281</v>
      </c>
      <c r="D78" s="1" t="s">
        <v>282</v>
      </c>
      <c r="E78" s="1" t="s">
        <v>283</v>
      </c>
    </row>
    <row r="79" ht="14.25" customHeight="1"/>
    <row r="80" ht="14.25" customHeight="1">
      <c r="A80" s="1" t="s">
        <v>109</v>
      </c>
      <c r="B80" s="1" t="s">
        <v>93</v>
      </c>
    </row>
    <row r="81" ht="14.25" customHeight="1">
      <c r="A81" s="7"/>
      <c r="B81" s="7"/>
      <c r="C81" s="7" t="s">
        <v>287</v>
      </c>
      <c r="D81" s="7">
        <v>108.0</v>
      </c>
      <c r="E81" s="7" t="s">
        <v>294</v>
      </c>
      <c r="F81" s="2"/>
    </row>
    <row r="82" ht="14.25" customHeight="1">
      <c r="A82" s="7"/>
      <c r="B82" s="7"/>
      <c r="C82" s="7" t="s">
        <v>320</v>
      </c>
      <c r="D82" s="11">
        <v>1.0</v>
      </c>
      <c r="E82" s="7" t="s">
        <v>217</v>
      </c>
      <c r="F82" s="7"/>
      <c r="G82" s="7"/>
      <c r="H82" s="7"/>
      <c r="I82" s="7"/>
      <c r="J82" s="7"/>
      <c r="K82" s="7"/>
    </row>
    <row r="83" ht="14.25" customHeight="1">
      <c r="A83" s="7"/>
      <c r="B83" s="7"/>
      <c r="C83" s="7" t="s">
        <v>321</v>
      </c>
      <c r="D83" s="12">
        <v>0.0</v>
      </c>
      <c r="E83" s="7" t="s">
        <v>219</v>
      </c>
      <c r="F83" s="7"/>
      <c r="G83" s="7"/>
      <c r="H83" s="7"/>
      <c r="I83" s="7"/>
      <c r="J83" s="7"/>
      <c r="K83" s="7"/>
    </row>
    <row r="84" ht="14.25" customHeight="1">
      <c r="A84" s="1" t="s">
        <v>233</v>
      </c>
      <c r="B84" s="1" t="s">
        <v>322</v>
      </c>
      <c r="E84" s="1" t="s">
        <v>298</v>
      </c>
    </row>
    <row r="85" ht="14.25" customHeight="1"/>
    <row r="86" ht="14.25" customHeight="1"/>
    <row r="87" ht="14.25" customHeight="1"/>
    <row r="88" ht="14.25" customHeight="1"/>
    <row r="89" ht="14.25" customHeight="1">
      <c r="D89" s="13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88"/>
    <col customWidth="1" min="3" max="3" width="65.25"/>
    <col customWidth="1" min="4" max="4" width="8.63"/>
    <col customWidth="1" min="5" max="5" width="81.88"/>
    <col customWidth="1" min="6" max="26" width="8.63"/>
  </cols>
  <sheetData>
    <row r="1" ht="14.25" customHeight="1">
      <c r="A1" s="2" t="s">
        <v>171</v>
      </c>
      <c r="B1" s="2"/>
    </row>
    <row r="2" ht="14.25" customHeight="1">
      <c r="A2" s="2" t="s">
        <v>172</v>
      </c>
      <c r="B2" s="2"/>
    </row>
    <row r="3" ht="14.25" customHeight="1">
      <c r="A3" s="2" t="s">
        <v>173</v>
      </c>
      <c r="B3" s="2"/>
      <c r="C3" s="2" t="s">
        <v>174</v>
      </c>
      <c r="D3" s="2" t="s">
        <v>175</v>
      </c>
      <c r="E3" s="2" t="s">
        <v>176</v>
      </c>
      <c r="F3" s="2" t="s">
        <v>177</v>
      </c>
    </row>
    <row r="4" ht="14.25" customHeight="1">
      <c r="A4" s="7"/>
      <c r="B4" s="7"/>
      <c r="C4" s="7" t="s">
        <v>178</v>
      </c>
      <c r="D4" s="15">
        <v>0.0</v>
      </c>
      <c r="E4" s="7" t="s">
        <v>179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2" t="s">
        <v>180</v>
      </c>
      <c r="B13" s="2"/>
    </row>
    <row r="14" ht="14.25" customHeight="1">
      <c r="A14" s="2" t="s">
        <v>173</v>
      </c>
      <c r="B14" s="2"/>
      <c r="C14" s="2" t="s">
        <v>174</v>
      </c>
      <c r="D14" s="2" t="s">
        <v>175</v>
      </c>
      <c r="E14" s="2" t="s">
        <v>176</v>
      </c>
      <c r="F14" s="2" t="s">
        <v>177</v>
      </c>
    </row>
    <row r="15" ht="14.25" customHeight="1">
      <c r="C15" s="1" t="s">
        <v>181</v>
      </c>
      <c r="D15" s="1">
        <v>1.0</v>
      </c>
      <c r="E15" s="1" t="s">
        <v>182</v>
      </c>
    </row>
    <row r="16" ht="14.25" customHeight="1">
      <c r="C16" s="1" t="s">
        <v>183</v>
      </c>
      <c r="D16" s="1">
        <v>1.0</v>
      </c>
      <c r="E16" s="1" t="s">
        <v>184</v>
      </c>
    </row>
    <row r="17" ht="14.25" customHeight="1">
      <c r="C17" s="1" t="s">
        <v>185</v>
      </c>
      <c r="D17" s="1">
        <v>0.0</v>
      </c>
      <c r="E17" s="1" t="s">
        <v>186</v>
      </c>
      <c r="F17" s="1" t="s">
        <v>187</v>
      </c>
    </row>
    <row r="18" ht="14.25" customHeight="1">
      <c r="C18" s="1" t="s">
        <v>188</v>
      </c>
      <c r="D18" s="1">
        <v>1.0</v>
      </c>
      <c r="E18" s="1" t="s">
        <v>308</v>
      </c>
    </row>
    <row r="19" ht="14.25" customHeight="1"/>
    <row r="20" ht="14.25" customHeight="1"/>
    <row r="21" ht="14.25" customHeight="1">
      <c r="A21" s="2" t="s">
        <v>193</v>
      </c>
    </row>
    <row r="22" ht="14.25" customHeight="1">
      <c r="A22" s="2" t="s">
        <v>194</v>
      </c>
      <c r="B22" s="2"/>
    </row>
    <row r="23" ht="14.25" customHeight="1">
      <c r="A23" s="2" t="s">
        <v>173</v>
      </c>
      <c r="B23" s="2"/>
      <c r="C23" s="2" t="s">
        <v>174</v>
      </c>
      <c r="D23" s="2" t="s">
        <v>175</v>
      </c>
      <c r="E23" s="2" t="s">
        <v>176</v>
      </c>
      <c r="F23" s="2" t="s">
        <v>177</v>
      </c>
    </row>
    <row r="24" ht="14.25" customHeight="1">
      <c r="C24" s="1" t="s">
        <v>195</v>
      </c>
      <c r="D24" s="1">
        <v>2.0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A30" s="2" t="s">
        <v>196</v>
      </c>
      <c r="B30" s="2"/>
    </row>
    <row r="31" ht="14.25" customHeight="1">
      <c r="A31" s="2" t="s">
        <v>173</v>
      </c>
      <c r="B31" s="2"/>
      <c r="C31" s="2" t="s">
        <v>174</v>
      </c>
      <c r="D31" s="2" t="s">
        <v>175</v>
      </c>
      <c r="E31" s="2" t="s">
        <v>176</v>
      </c>
      <c r="F31" s="2" t="s">
        <v>177</v>
      </c>
    </row>
    <row r="32" ht="14.25" customHeight="1">
      <c r="A32" s="7"/>
      <c r="B32" s="7"/>
      <c r="C32" s="7" t="s">
        <v>197</v>
      </c>
      <c r="D32" s="7" t="s">
        <v>323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ht="14.25" customHeight="1">
      <c r="A37" s="2" t="s">
        <v>200</v>
      </c>
      <c r="B37" s="2"/>
    </row>
    <row r="38" ht="14.25" customHeight="1">
      <c r="A38" s="2" t="s">
        <v>173</v>
      </c>
      <c r="B38" s="2" t="s">
        <v>201</v>
      </c>
      <c r="C38" s="2" t="s">
        <v>174</v>
      </c>
      <c r="D38" s="2" t="s">
        <v>175</v>
      </c>
      <c r="E38" s="2" t="s">
        <v>176</v>
      </c>
      <c r="F38" s="2" t="s">
        <v>177</v>
      </c>
    </row>
    <row r="39" ht="14.25" customHeight="1">
      <c r="A39" s="7" t="s">
        <v>202</v>
      </c>
      <c r="B39" s="7"/>
      <c r="C39" s="7"/>
      <c r="D39" s="7"/>
      <c r="E39" s="7" t="s">
        <v>203</v>
      </c>
      <c r="F39" s="7"/>
      <c r="G39" s="7"/>
      <c r="H39" s="7"/>
      <c r="I39" s="7"/>
      <c r="J39" s="7"/>
      <c r="K39" s="7"/>
      <c r="L39" s="7"/>
    </row>
    <row r="40" ht="14.25" customHeight="1">
      <c r="A40" s="7"/>
      <c r="B40" s="7"/>
      <c r="C40" s="7" t="s">
        <v>205</v>
      </c>
      <c r="D40" s="15">
        <v>0.0</v>
      </c>
      <c r="E40" s="7" t="s">
        <v>206</v>
      </c>
      <c r="F40" s="7" t="s">
        <v>204</v>
      </c>
      <c r="G40" s="7"/>
      <c r="H40" s="7"/>
      <c r="I40" s="7"/>
      <c r="J40" s="7"/>
      <c r="K40" s="7"/>
      <c r="L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ht="14.25" customHeight="1">
      <c r="A42" s="1" t="s">
        <v>207</v>
      </c>
      <c r="C42" s="7"/>
      <c r="D42" s="7"/>
      <c r="E42" s="7" t="s">
        <v>208</v>
      </c>
      <c r="F42" s="7"/>
      <c r="G42" s="7"/>
      <c r="H42" s="7"/>
      <c r="I42" s="7"/>
      <c r="J42" s="7"/>
      <c r="K42" s="7"/>
      <c r="L42" s="7"/>
    </row>
    <row r="43" ht="14.25" customHeight="1">
      <c r="A43" s="1" t="s">
        <v>209</v>
      </c>
      <c r="C43" s="7"/>
      <c r="D43" s="7"/>
      <c r="E43" s="7" t="s">
        <v>210</v>
      </c>
      <c r="F43" s="7"/>
      <c r="G43" s="7"/>
      <c r="H43" s="7"/>
      <c r="I43" s="7"/>
      <c r="J43" s="7"/>
      <c r="K43" s="7"/>
      <c r="L43" s="7"/>
    </row>
    <row r="44" ht="14.25" customHeight="1">
      <c r="A44" s="7" t="s">
        <v>61</v>
      </c>
      <c r="B44" s="7" t="s">
        <v>62</v>
      </c>
      <c r="C44" s="7"/>
      <c r="D44" s="7"/>
      <c r="E44" s="7" t="s">
        <v>211</v>
      </c>
      <c r="F44" s="7"/>
      <c r="G44" s="7"/>
      <c r="H44" s="7"/>
      <c r="I44" s="7"/>
      <c r="J44" s="7"/>
      <c r="K44" s="7"/>
      <c r="L44" s="7"/>
    </row>
    <row r="45" ht="14.25" customHeight="1">
      <c r="A45" s="7"/>
      <c r="B45" s="7"/>
      <c r="C45" s="7" t="s">
        <v>212</v>
      </c>
      <c r="D45" s="7">
        <v>0.0</v>
      </c>
      <c r="E45" s="5" t="s">
        <v>213</v>
      </c>
      <c r="F45" s="7"/>
      <c r="G45" s="7"/>
      <c r="H45" s="7"/>
      <c r="I45" s="7"/>
      <c r="J45" s="7"/>
      <c r="K45" s="7"/>
      <c r="L45" s="7"/>
    </row>
    <row r="46" ht="14.25" customHeight="1">
      <c r="A46" s="7"/>
      <c r="B46" s="7"/>
      <c r="C46" s="7" t="s">
        <v>214</v>
      </c>
      <c r="D46" s="7">
        <v>0.0</v>
      </c>
      <c r="E46" s="7" t="s">
        <v>215</v>
      </c>
      <c r="F46" s="7"/>
      <c r="G46" s="7"/>
      <c r="H46" s="7"/>
      <c r="I46" s="7"/>
      <c r="J46" s="7"/>
      <c r="K46" s="7"/>
      <c r="L46" s="7"/>
    </row>
    <row r="47" ht="14.25" customHeight="1">
      <c r="A47" s="7"/>
      <c r="B47" s="7"/>
      <c r="C47" s="7" t="s">
        <v>216</v>
      </c>
      <c r="D47" s="11">
        <v>1.0</v>
      </c>
      <c r="E47" s="7" t="s">
        <v>217</v>
      </c>
      <c r="F47" s="7"/>
      <c r="G47" s="7"/>
      <c r="H47" s="7"/>
      <c r="I47" s="7"/>
      <c r="J47" s="7"/>
      <c r="K47" s="7"/>
    </row>
    <row r="48" ht="14.25" customHeight="1">
      <c r="A48" s="7"/>
      <c r="B48" s="7"/>
      <c r="C48" s="7" t="s">
        <v>218</v>
      </c>
      <c r="D48" s="12">
        <v>0.0</v>
      </c>
      <c r="E48" s="7" t="s">
        <v>219</v>
      </c>
      <c r="F48" s="7"/>
      <c r="G48" s="7"/>
      <c r="H48" s="7"/>
      <c r="I48" s="7"/>
      <c r="J48" s="7"/>
      <c r="K48" s="7"/>
    </row>
    <row r="49" ht="14.25" customHeight="1">
      <c r="A49" s="1" t="s">
        <v>220</v>
      </c>
      <c r="D49" s="7"/>
      <c r="E49" s="7" t="s">
        <v>221</v>
      </c>
      <c r="F49" s="7"/>
      <c r="G49" s="7"/>
      <c r="H49" s="7"/>
      <c r="I49" s="7"/>
      <c r="J49" s="7"/>
      <c r="K49" s="7"/>
    </row>
    <row r="50" ht="14.25" customHeight="1">
      <c r="A50" s="7"/>
      <c r="B50" s="7"/>
      <c r="C50" s="7" t="s">
        <v>222</v>
      </c>
      <c r="D50" s="7" t="s">
        <v>162</v>
      </c>
      <c r="E50" s="7" t="s">
        <v>223</v>
      </c>
      <c r="F50" s="2"/>
    </row>
    <row r="51" ht="14.25" customHeight="1">
      <c r="A51" s="7"/>
      <c r="B51" s="7"/>
      <c r="C51" s="7" t="s">
        <v>224</v>
      </c>
      <c r="D51" s="7">
        <v>0.0</v>
      </c>
      <c r="E51" s="7" t="s">
        <v>215</v>
      </c>
      <c r="F51" s="7"/>
      <c r="G51" s="7"/>
      <c r="H51" s="7"/>
      <c r="I51" s="7"/>
      <c r="J51" s="7"/>
      <c r="K51" s="7"/>
    </row>
    <row r="52" ht="14.25" customHeight="1">
      <c r="A52" s="7"/>
      <c r="B52" s="7"/>
      <c r="C52" s="7" t="s">
        <v>225</v>
      </c>
      <c r="D52" s="11">
        <v>1.0</v>
      </c>
      <c r="E52" s="7" t="s">
        <v>217</v>
      </c>
      <c r="F52" s="7"/>
      <c r="G52" s="7"/>
      <c r="H52" s="7"/>
      <c r="I52" s="7"/>
      <c r="J52" s="7"/>
      <c r="K52" s="7"/>
    </row>
    <row r="53" ht="14.25" customHeight="1">
      <c r="A53" s="7"/>
      <c r="B53" s="7"/>
      <c r="C53" s="7" t="s">
        <v>226</v>
      </c>
      <c r="D53" s="12">
        <v>0.0</v>
      </c>
      <c r="E53" s="7" t="s">
        <v>219</v>
      </c>
      <c r="F53" s="7"/>
      <c r="G53" s="7"/>
      <c r="H53" s="7"/>
      <c r="I53" s="7"/>
      <c r="J53" s="7"/>
      <c r="K53" s="7"/>
    </row>
    <row r="54" ht="14.25" customHeight="1">
      <c r="A54" s="1" t="s">
        <v>233</v>
      </c>
      <c r="B54" s="1" t="s">
        <v>234</v>
      </c>
      <c r="E54" s="7" t="s">
        <v>235</v>
      </c>
    </row>
    <row r="55" ht="14.25" customHeight="1"/>
    <row r="56" ht="14.25" customHeight="1">
      <c r="A56" s="2" t="s">
        <v>238</v>
      </c>
      <c r="B56" s="2"/>
    </row>
    <row r="57" ht="14.25" customHeight="1">
      <c r="A57" s="2" t="s">
        <v>173</v>
      </c>
      <c r="B57" s="2" t="s">
        <v>201</v>
      </c>
      <c r="C57" s="2" t="s">
        <v>174</v>
      </c>
      <c r="D57" s="2" t="s">
        <v>175</v>
      </c>
      <c r="E57" s="2" t="s">
        <v>176</v>
      </c>
      <c r="F57" s="2" t="s">
        <v>177</v>
      </c>
    </row>
    <row r="58" ht="14.25" customHeight="1">
      <c r="A58" s="1" t="s">
        <v>81</v>
      </c>
      <c r="B58" s="1" t="s">
        <v>82</v>
      </c>
      <c r="C58" s="1" t="s">
        <v>239</v>
      </c>
      <c r="D58" s="1">
        <v>42.0</v>
      </c>
      <c r="E58" s="1" t="s">
        <v>240</v>
      </c>
    </row>
    <row r="59" ht="14.25" customHeight="1">
      <c r="A59" s="1" t="s">
        <v>85</v>
      </c>
      <c r="B59" s="1" t="s">
        <v>86</v>
      </c>
      <c r="C59" s="1" t="s">
        <v>241</v>
      </c>
      <c r="D59" s="1">
        <v>43.0</v>
      </c>
      <c r="E59" s="1" t="s">
        <v>242</v>
      </c>
    </row>
    <row r="60" ht="14.25" customHeight="1">
      <c r="A60" s="1" t="s">
        <v>89</v>
      </c>
      <c r="B60" s="1" t="s">
        <v>90</v>
      </c>
      <c r="C60" s="1" t="s">
        <v>243</v>
      </c>
      <c r="D60" s="6">
        <v>0.0</v>
      </c>
      <c r="E60" s="1" t="s">
        <v>244</v>
      </c>
      <c r="F60" s="1" t="s">
        <v>324</v>
      </c>
    </row>
    <row r="61" ht="14.25" customHeight="1">
      <c r="A61" s="1" t="s">
        <v>92</v>
      </c>
      <c r="C61" s="1" t="s">
        <v>246</v>
      </c>
      <c r="D61" s="6">
        <v>0.0</v>
      </c>
      <c r="E61" s="1" t="s">
        <v>251</v>
      </c>
    </row>
    <row r="62" ht="14.25" customHeight="1">
      <c r="A62" s="1" t="s">
        <v>248</v>
      </c>
      <c r="B62" s="1" t="s">
        <v>249</v>
      </c>
      <c r="C62" s="1" t="s">
        <v>250</v>
      </c>
      <c r="D62" s="6">
        <v>0.0</v>
      </c>
      <c r="E62" s="1" t="s">
        <v>244</v>
      </c>
      <c r="F62" s="1" t="s">
        <v>247</v>
      </c>
    </row>
    <row r="63" ht="14.25" customHeight="1">
      <c r="A63" s="1" t="s">
        <v>252</v>
      </c>
      <c r="C63" s="1" t="s">
        <v>253</v>
      </c>
    </row>
    <row r="64" ht="14.25" customHeight="1">
      <c r="A64" s="1" t="s">
        <v>254</v>
      </c>
      <c r="C64" s="1" t="s">
        <v>255</v>
      </c>
    </row>
    <row r="65" ht="14.25" customHeight="1">
      <c r="A65" s="1" t="s">
        <v>258</v>
      </c>
      <c r="B65" s="1" t="s">
        <v>259</v>
      </c>
      <c r="E65" s="1" t="s">
        <v>260</v>
      </c>
    </row>
    <row r="66" ht="14.25" customHeight="1"/>
    <row r="67" ht="14.25" customHeight="1">
      <c r="A67" s="2" t="s">
        <v>265</v>
      </c>
      <c r="B67" s="2"/>
      <c r="C67" s="2"/>
      <c r="D67" s="2"/>
      <c r="E67" s="2"/>
    </row>
    <row r="68" ht="14.25" customHeight="1">
      <c r="A68" s="2" t="s">
        <v>173</v>
      </c>
      <c r="B68" s="2" t="s">
        <v>201</v>
      </c>
      <c r="C68" s="2" t="s">
        <v>174</v>
      </c>
      <c r="D68" s="2" t="s">
        <v>175</v>
      </c>
      <c r="E68" s="2" t="s">
        <v>176</v>
      </c>
      <c r="F68" s="2" t="s">
        <v>177</v>
      </c>
    </row>
    <row r="69" ht="14.25" customHeight="1">
      <c r="A69" s="1" t="s">
        <v>316</v>
      </c>
      <c r="C69" s="1" t="s">
        <v>266</v>
      </c>
      <c r="D69" s="1" t="s">
        <v>267</v>
      </c>
      <c r="E69" s="1" t="s">
        <v>268</v>
      </c>
      <c r="F69" s="1" t="s">
        <v>269</v>
      </c>
    </row>
    <row r="70" ht="14.25" customHeight="1">
      <c r="A70" s="1" t="s">
        <v>317</v>
      </c>
      <c r="C70" s="1" t="s">
        <v>270</v>
      </c>
      <c r="D70" s="1">
        <v>6.0</v>
      </c>
      <c r="E70" s="1" t="s">
        <v>69</v>
      </c>
      <c r="F70" s="1" t="s">
        <v>271</v>
      </c>
    </row>
    <row r="71" ht="14.25" customHeight="1">
      <c r="A71" s="1" t="s">
        <v>318</v>
      </c>
      <c r="E71" s="1" t="s">
        <v>319</v>
      </c>
    </row>
    <row r="72" ht="14.25" customHeight="1"/>
    <row r="73" ht="14.25" customHeight="1"/>
    <row r="74" ht="14.25" customHeight="1">
      <c r="A74" s="2" t="s">
        <v>275</v>
      </c>
      <c r="B74" s="2"/>
    </row>
    <row r="75" ht="14.25" customHeight="1">
      <c r="A75" s="2" t="s">
        <v>173</v>
      </c>
      <c r="B75" s="2" t="s">
        <v>201</v>
      </c>
      <c r="C75" s="2" t="s">
        <v>174</v>
      </c>
      <c r="D75" s="2" t="s">
        <v>175</v>
      </c>
      <c r="E75" s="2" t="s">
        <v>176</v>
      </c>
      <c r="F75" s="2" t="s">
        <v>177</v>
      </c>
      <c r="R75" s="1">
        <v>700.0</v>
      </c>
    </row>
    <row r="76" ht="14.25" customHeight="1">
      <c r="A76" s="1" t="s">
        <v>276</v>
      </c>
      <c r="B76" s="1" t="s">
        <v>82</v>
      </c>
      <c r="E76" s="1" t="s">
        <v>277</v>
      </c>
      <c r="F76" s="1" t="s">
        <v>278</v>
      </c>
      <c r="R76" s="1">
        <v>3450.0</v>
      </c>
    </row>
    <row r="77" ht="14.25" customHeight="1">
      <c r="C77" s="1" t="s">
        <v>279</v>
      </c>
      <c r="D77" s="1">
        <v>102.0</v>
      </c>
      <c r="E77" s="1" t="s">
        <v>280</v>
      </c>
    </row>
    <row r="78" ht="14.25" customHeight="1">
      <c r="C78" s="1" t="s">
        <v>281</v>
      </c>
      <c r="D78" s="1" t="s">
        <v>282</v>
      </c>
      <c r="E78" s="1" t="s">
        <v>283</v>
      </c>
    </row>
    <row r="79" ht="14.25" customHeight="1"/>
    <row r="80" ht="14.25" customHeight="1">
      <c r="A80" s="1" t="s">
        <v>109</v>
      </c>
      <c r="B80" s="1" t="s">
        <v>86</v>
      </c>
    </row>
    <row r="81" ht="14.25" customHeight="1">
      <c r="A81" s="7"/>
      <c r="B81" s="7"/>
      <c r="C81" s="7" t="s">
        <v>287</v>
      </c>
      <c r="D81" s="7">
        <v>108.0</v>
      </c>
      <c r="E81" s="7" t="s">
        <v>294</v>
      </c>
      <c r="F81" s="2"/>
    </row>
    <row r="82" ht="14.25" customHeight="1">
      <c r="A82" s="7"/>
      <c r="B82" s="7"/>
      <c r="C82" s="7" t="s">
        <v>320</v>
      </c>
      <c r="D82" s="11">
        <v>1.0</v>
      </c>
      <c r="E82" s="7" t="s">
        <v>217</v>
      </c>
      <c r="F82" s="7"/>
      <c r="G82" s="7"/>
      <c r="H82" s="7"/>
      <c r="I82" s="7"/>
      <c r="J82" s="7"/>
      <c r="K82" s="7"/>
    </row>
    <row r="83" ht="14.25" customHeight="1">
      <c r="A83" s="7"/>
      <c r="B83" s="7"/>
      <c r="C83" s="7" t="s">
        <v>321</v>
      </c>
      <c r="D83" s="12">
        <v>0.0</v>
      </c>
      <c r="E83" s="7" t="s">
        <v>219</v>
      </c>
      <c r="F83" s="7"/>
      <c r="G83" s="7"/>
      <c r="H83" s="7"/>
      <c r="I83" s="7"/>
      <c r="J83" s="7"/>
      <c r="K83" s="7"/>
    </row>
    <row r="84" ht="14.25" customHeight="1">
      <c r="A84" s="1" t="s">
        <v>233</v>
      </c>
      <c r="B84" s="1" t="s">
        <v>62</v>
      </c>
      <c r="E84" s="1" t="s">
        <v>298</v>
      </c>
    </row>
    <row r="85" ht="14.25" customHeight="1"/>
    <row r="86" ht="14.25" customHeight="1"/>
    <row r="87" ht="14.25" customHeight="1"/>
    <row r="88" ht="14.25" customHeight="1"/>
    <row r="89" ht="14.25" customHeight="1">
      <c r="D89" s="13"/>
    </row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2024-06-04T21:21:31Z</dcterms:created>
  <dc:creator>Jeremy W Simmons</dc:creator>
</cp:coreProperties>
</file>